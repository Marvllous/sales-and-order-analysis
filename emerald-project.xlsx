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93bd7af080be98a/Documents/Data Analytics Internship/10Analytics/Excel live class project/Emerald Project/"/>
    </mc:Choice>
  </mc:AlternateContent>
  <xr:revisionPtr revIDLastSave="988" documentId="8_{41745342-5861-4228-B59D-B3734FD5B24B}" xr6:coauthVersionLast="47" xr6:coauthVersionMax="47" xr10:uidLastSave="{EC9FDEA0-E7CB-46B2-818B-CB6EDDCA91D3}"/>
  <bookViews>
    <workbookView xWindow="-110" yWindow="-110" windowWidth="19420" windowHeight="12220" firstSheet="3" activeTab="8" xr2:uid="{00000000-000D-0000-FFFF-FFFF00000000}"/>
  </bookViews>
  <sheets>
    <sheet name="Orders (2)" sheetId="5" r:id="rId1"/>
    <sheet name="Products (2)" sheetId="6" r:id="rId2"/>
    <sheet name="Customers (2)" sheetId="7" r:id="rId3"/>
    <sheet name="Products" sheetId="2" r:id="rId4"/>
    <sheet name="Customers" sheetId="3" r:id="rId5"/>
    <sheet name="Orders" sheetId="1" r:id="rId6"/>
    <sheet name="Analysis" sheetId="4" r:id="rId7"/>
    <sheet name="Pivot Table" sheetId="8" r:id="rId8"/>
    <sheet name="Dashboard" sheetId="9" r:id="rId9"/>
  </sheets>
  <definedNames>
    <definedName name="_xlchart.v5.0" hidden="1">'Pivot Table'!$A$42</definedName>
    <definedName name="_xlchart.v5.1" hidden="1">'Pivot Table'!$A$43:$A$58</definedName>
    <definedName name="_xlchart.v5.2" hidden="1">'Pivot Table'!$B$42</definedName>
    <definedName name="_xlchart.v5.3" hidden="1">'Pivot Table'!$B$43:$B$58</definedName>
    <definedName name="Slicer_Category">#N/A</definedName>
    <definedName name="Slicer_County">#N/A</definedName>
    <definedName name="Slicer_Customer_Type">#N/A</definedName>
    <definedName name="Slicer_Date_Numb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0" i="4" l="1"/>
  <c r="I81" i="4"/>
  <c r="I82" i="4"/>
  <c r="I83" i="4"/>
  <c r="I79" i="4"/>
  <c r="H80" i="4"/>
  <c r="H81" i="4"/>
  <c r="H82" i="4"/>
  <c r="H83" i="4"/>
  <c r="H79" i="4"/>
  <c r="G79" i="4" a="1"/>
  <c r="H70" i="4"/>
  <c r="H71" i="4"/>
  <c r="H72" i="4"/>
  <c r="H73" i="4"/>
  <c r="H69" i="4"/>
  <c r="G69" i="4" a="1"/>
  <c r="H64" i="4"/>
  <c r="H63" i="4"/>
  <c r="H59" i="4"/>
  <c r="H58" i="4"/>
  <c r="E57" i="4"/>
  <c r="E58" i="4"/>
  <c r="E59" i="4"/>
  <c r="E60" i="4"/>
  <c r="E61" i="4"/>
  <c r="E62" i="4"/>
  <c r="E63" i="4"/>
  <c r="E64" i="4"/>
  <c r="E65" i="4"/>
  <c r="E66" i="4"/>
  <c r="E67" i="4"/>
  <c r="E68" i="4"/>
  <c r="E69" i="4"/>
  <c r="E70" i="4"/>
  <c r="E71" i="4"/>
  <c r="E56" i="4"/>
  <c r="D56" i="4" a="1"/>
  <c r="H51" i="4"/>
  <c r="H52" i="4"/>
  <c r="H50" i="4"/>
  <c r="G50" i="4" a="1"/>
  <c r="H28" i="4"/>
  <c r="H29" i="4"/>
  <c r="H30" i="4"/>
  <c r="H31" i="4"/>
  <c r="H32" i="4"/>
  <c r="H33" i="4"/>
  <c r="H34" i="4"/>
  <c r="H35" i="4"/>
  <c r="H36" i="4"/>
  <c r="H37" i="4"/>
  <c r="H38" i="4"/>
  <c r="H39" i="4"/>
  <c r="H40" i="4"/>
  <c r="H41" i="4"/>
  <c r="H42" i="4"/>
  <c r="H27" i="4"/>
  <c r="G27" i="4" a="1"/>
  <c r="H5" i="4"/>
  <c r="H6" i="4"/>
  <c r="H7" i="4"/>
  <c r="H8" i="4"/>
  <c r="H9" i="4"/>
  <c r="H10" i="4"/>
  <c r="H11" i="4"/>
  <c r="H12" i="4"/>
  <c r="H13" i="4"/>
  <c r="H14" i="4"/>
  <c r="H15" i="4"/>
  <c r="H16" i="4"/>
  <c r="H17" i="4"/>
  <c r="H18" i="4"/>
  <c r="H19" i="4"/>
  <c r="H4" i="4"/>
  <c r="G4" i="4" a="1"/>
  <c r="E5" i="4"/>
  <c r="E6" i="4"/>
  <c r="E7" i="4"/>
  <c r="E8" i="4"/>
  <c r="E4" i="4"/>
  <c r="G135" i="8"/>
  <c r="F135" i="8"/>
  <c r="E135" i="8"/>
  <c r="D135" i="8"/>
  <c r="C135" i="8"/>
  <c r="B135" i="8"/>
  <c r="G134" i="8"/>
  <c r="G133" i="8"/>
  <c r="G132" i="8"/>
  <c r="G131" i="8"/>
  <c r="G130" i="8"/>
  <c r="G129" i="8"/>
  <c r="G128" i="8"/>
  <c r="G127" i="8"/>
  <c r="G126" i="8"/>
  <c r="G125" i="8"/>
  <c r="G124" i="8"/>
  <c r="G123" i="8"/>
  <c r="G122" i="8"/>
  <c r="G121" i="8"/>
  <c r="G120" i="8"/>
  <c r="F134" i="8"/>
  <c r="E134" i="8"/>
  <c r="D134" i="8"/>
  <c r="C134" i="8"/>
  <c r="B134" i="8"/>
  <c r="F133" i="8"/>
  <c r="E133" i="8"/>
  <c r="D133" i="8"/>
  <c r="C133" i="8"/>
  <c r="B133" i="8"/>
  <c r="F132" i="8"/>
  <c r="E132" i="8"/>
  <c r="D132" i="8"/>
  <c r="C132" i="8"/>
  <c r="B132" i="8"/>
  <c r="F131" i="8"/>
  <c r="E131" i="8"/>
  <c r="D131" i="8"/>
  <c r="C131" i="8"/>
  <c r="B131" i="8"/>
  <c r="F130" i="8"/>
  <c r="E130" i="8"/>
  <c r="D130" i="8"/>
  <c r="C130" i="8"/>
  <c r="B130" i="8"/>
  <c r="F129" i="8"/>
  <c r="E129" i="8"/>
  <c r="D129" i="8"/>
  <c r="C129" i="8"/>
  <c r="B129" i="8"/>
  <c r="F128" i="8"/>
  <c r="E128" i="8"/>
  <c r="D128" i="8"/>
  <c r="C128" i="8"/>
  <c r="B128" i="8"/>
  <c r="F127" i="8"/>
  <c r="E127" i="8"/>
  <c r="D127" i="8"/>
  <c r="C127" i="8"/>
  <c r="B127" i="8"/>
  <c r="F126" i="8"/>
  <c r="E126" i="8"/>
  <c r="D126" i="8"/>
  <c r="C126" i="8"/>
  <c r="B126" i="8"/>
  <c r="F125" i="8"/>
  <c r="E125" i="8"/>
  <c r="D125" i="8"/>
  <c r="C125" i="8"/>
  <c r="B125" i="8"/>
  <c r="F124" i="8"/>
  <c r="E124" i="8"/>
  <c r="D124" i="8"/>
  <c r="C124" i="8"/>
  <c r="B124" i="8"/>
  <c r="F123" i="8"/>
  <c r="E123" i="8"/>
  <c r="D123" i="8"/>
  <c r="C123" i="8"/>
  <c r="B123" i="8"/>
  <c r="F122" i="8"/>
  <c r="E122" i="8"/>
  <c r="D122" i="8"/>
  <c r="C122" i="8"/>
  <c r="B122" i="8"/>
  <c r="F121" i="8"/>
  <c r="E121" i="8"/>
  <c r="D121" i="8"/>
  <c r="C121" i="8"/>
  <c r="B121" i="8"/>
  <c r="F120" i="8"/>
  <c r="E120" i="8"/>
  <c r="D120" i="8"/>
  <c r="C120" i="8"/>
  <c r="B120" i="8"/>
  <c r="F119" i="8"/>
  <c r="E119" i="8"/>
  <c r="D119" i="8"/>
  <c r="C119" i="8"/>
  <c r="G119" i="8" s="1"/>
  <c r="B119" i="8"/>
  <c r="H4" i="8"/>
  <c r="I4" i="8"/>
  <c r="D65" i="8"/>
  <c r="D66" i="8"/>
  <c r="D67" i="8"/>
  <c r="D68" i="8"/>
  <c r="D64" i="8"/>
  <c r="C65" i="8"/>
  <c r="C66" i="8"/>
  <c r="C67" i="8"/>
  <c r="C68" i="8"/>
  <c r="C64" i="8"/>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D108" i="8"/>
  <c r="D109" i="8"/>
  <c r="D110" i="8"/>
  <c r="D111" i="8"/>
  <c r="D112" i="8"/>
  <c r="D107" i="8"/>
  <c r="C108" i="8"/>
  <c r="C109" i="8"/>
  <c r="C110" i="8"/>
  <c r="C111" i="8"/>
  <c r="C112" i="8"/>
  <c r="C107" i="8"/>
  <c r="H85" i="8"/>
  <c r="I85" i="8" s="1"/>
  <c r="H86" i="8"/>
  <c r="I86" i="8" s="1"/>
  <c r="H87" i="8"/>
  <c r="I87" i="8" s="1"/>
  <c r="H88" i="8"/>
  <c r="I88" i="8" s="1"/>
  <c r="H89" i="8"/>
  <c r="I89" i="8" s="1"/>
  <c r="H90" i="8"/>
  <c r="I90" i="8" s="1"/>
  <c r="H91" i="8"/>
  <c r="I91" i="8" s="1"/>
  <c r="H92" i="8"/>
  <c r="I92" i="8" s="1"/>
  <c r="H93" i="8"/>
  <c r="I93" i="8" s="1"/>
  <c r="H94" i="8"/>
  <c r="I94" i="8" s="1"/>
  <c r="H95" i="8"/>
  <c r="I95" i="8" s="1"/>
  <c r="H96" i="8"/>
  <c r="I96" i="8" s="1"/>
  <c r="H97" i="8"/>
  <c r="I97" i="8" s="1"/>
  <c r="H98" i="8"/>
  <c r="I98" i="8" s="1"/>
  <c r="H99" i="8"/>
  <c r="I99" i="8" s="1"/>
  <c r="H100" i="8"/>
  <c r="I100" i="8" s="1"/>
  <c r="H101" i="8"/>
  <c r="I101" i="8" s="1"/>
  <c r="H102" i="8"/>
  <c r="I102" i="8" s="1"/>
  <c r="H103" i="8"/>
  <c r="I103" i="8" s="1"/>
  <c r="H84" i="8"/>
  <c r="I84" i="8" s="1"/>
  <c r="F85" i="8"/>
  <c r="E85" i="8" s="1"/>
  <c r="F86" i="8"/>
  <c r="E86" i="8" s="1"/>
  <c r="F87" i="8"/>
  <c r="E87" i="8" s="1"/>
  <c r="F88" i="8"/>
  <c r="E88" i="8" s="1"/>
  <c r="F89" i="8"/>
  <c r="E89" i="8" s="1"/>
  <c r="F90" i="8"/>
  <c r="E90" i="8" s="1"/>
  <c r="F91" i="8"/>
  <c r="E91" i="8" s="1"/>
  <c r="F92" i="8"/>
  <c r="E92" i="8" s="1"/>
  <c r="F93" i="8"/>
  <c r="E93" i="8" s="1"/>
  <c r="F94" i="8"/>
  <c r="E94" i="8" s="1"/>
  <c r="F95" i="8"/>
  <c r="E95" i="8" s="1"/>
  <c r="F96" i="8"/>
  <c r="E96" i="8" s="1"/>
  <c r="F97" i="8"/>
  <c r="E97" i="8" s="1"/>
  <c r="F98" i="8"/>
  <c r="E98" i="8" s="1"/>
  <c r="F99" i="8"/>
  <c r="E99" i="8" s="1"/>
  <c r="F100" i="8"/>
  <c r="E100" i="8" s="1"/>
  <c r="F101" i="8"/>
  <c r="E101" i="8" s="1"/>
  <c r="F102" i="8"/>
  <c r="E102" i="8" s="1"/>
  <c r="F103" i="8"/>
  <c r="E103" i="8" s="1"/>
  <c r="F84" i="8"/>
  <c r="E84" i="8" s="1"/>
  <c r="D85" i="8"/>
  <c r="D86" i="8"/>
  <c r="D87" i="8"/>
  <c r="D88" i="8"/>
  <c r="D89" i="8"/>
  <c r="D90" i="8"/>
  <c r="D91" i="8"/>
  <c r="D92" i="8"/>
  <c r="D93" i="8"/>
  <c r="D94" i="8"/>
  <c r="D95" i="8"/>
  <c r="D96" i="8"/>
  <c r="D97" i="8"/>
  <c r="D98" i="8"/>
  <c r="D99" i="8"/>
  <c r="D100" i="8"/>
  <c r="D101" i="8"/>
  <c r="D102" i="8"/>
  <c r="D103" i="8"/>
  <c r="D104" i="8"/>
  <c r="D84" i="8"/>
  <c r="D5" i="8"/>
  <c r="R6" i="1"/>
  <c r="A3" i="4"/>
  <c r="A6" i="4"/>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R2" i="1"/>
  <c r="R3" i="1"/>
  <c r="R4" i="1"/>
  <c r="R5"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D4" i="4" l="1" a="1"/>
  <c r="D12" i="4" a="1"/>
  <c r="D22" i="4" a="1"/>
  <c r="B48" i="4"/>
  <c r="A42" i="4" a="1"/>
  <c r="D31" i="4" a="1"/>
  <c r="A75" i="4" a="1"/>
  <c r="A50" i="4" a="1"/>
  <c r="A19" i="4" a="1"/>
  <c r="J251" i="1"/>
  <c r="M251" i="1"/>
  <c r="O251" i="1" s="1"/>
  <c r="J250" i="1"/>
  <c r="M250" i="1"/>
  <c r="O250" i="1" s="1"/>
  <c r="J249" i="1"/>
  <c r="M249" i="1"/>
  <c r="O249" i="1" s="1"/>
  <c r="J248" i="1"/>
  <c r="M248" i="1"/>
  <c r="O248" i="1" s="1"/>
  <c r="J247" i="1"/>
  <c r="M247" i="1"/>
  <c r="O247" i="1" s="1"/>
  <c r="J246" i="1"/>
  <c r="M246" i="1"/>
  <c r="O246" i="1" s="1"/>
  <c r="J245" i="1"/>
  <c r="M245" i="1"/>
  <c r="O245" i="1" s="1"/>
  <c r="J244" i="1"/>
  <c r="M244" i="1"/>
  <c r="O244" i="1" s="1"/>
  <c r="J243" i="1"/>
  <c r="M243" i="1"/>
  <c r="O243" i="1" s="1"/>
  <c r="J242" i="1"/>
  <c r="M242" i="1"/>
  <c r="O242" i="1" s="1"/>
  <c r="J241" i="1"/>
  <c r="M241" i="1"/>
  <c r="O241" i="1" s="1"/>
  <c r="J240" i="1"/>
  <c r="M240" i="1"/>
  <c r="O240" i="1" s="1"/>
  <c r="J239" i="1"/>
  <c r="M239" i="1"/>
  <c r="O239" i="1" s="1"/>
  <c r="J238" i="1"/>
  <c r="M238" i="1"/>
  <c r="O238" i="1" s="1"/>
  <c r="J237" i="1"/>
  <c r="M237" i="1"/>
  <c r="O237" i="1" s="1"/>
  <c r="J236" i="1"/>
  <c r="M236" i="1"/>
  <c r="O236" i="1" s="1"/>
  <c r="J235" i="1"/>
  <c r="M235" i="1"/>
  <c r="O235" i="1" s="1"/>
  <c r="J234" i="1"/>
  <c r="M234" i="1"/>
  <c r="O234" i="1" s="1"/>
  <c r="J233" i="1"/>
  <c r="M233" i="1"/>
  <c r="O233" i="1" s="1"/>
  <c r="J232" i="1"/>
  <c r="M232" i="1"/>
  <c r="O232" i="1" s="1"/>
  <c r="J231" i="1"/>
  <c r="M231" i="1"/>
  <c r="O231" i="1" s="1"/>
  <c r="J230" i="1"/>
  <c r="M230" i="1"/>
  <c r="O230" i="1" s="1"/>
  <c r="J229" i="1"/>
  <c r="M229" i="1"/>
  <c r="O229" i="1" s="1"/>
  <c r="J228" i="1"/>
  <c r="M228" i="1"/>
  <c r="O228" i="1" s="1"/>
  <c r="J227" i="1"/>
  <c r="M227" i="1"/>
  <c r="O227" i="1" s="1"/>
  <c r="J226" i="1"/>
  <c r="M226" i="1"/>
  <c r="O226" i="1" s="1"/>
  <c r="J225" i="1"/>
  <c r="M225" i="1"/>
  <c r="O225" i="1" s="1"/>
  <c r="J224" i="1"/>
  <c r="M224" i="1"/>
  <c r="O224" i="1" s="1"/>
  <c r="J223" i="1"/>
  <c r="M223" i="1"/>
  <c r="O223" i="1" s="1"/>
  <c r="J222" i="1"/>
  <c r="M222" i="1"/>
  <c r="O222" i="1" s="1"/>
  <c r="J221" i="1"/>
  <c r="M221" i="1"/>
  <c r="O221" i="1" s="1"/>
  <c r="J220" i="1"/>
  <c r="M220" i="1"/>
  <c r="O220" i="1" s="1"/>
  <c r="J219" i="1"/>
  <c r="M219" i="1"/>
  <c r="O219" i="1" s="1"/>
  <c r="J218" i="1"/>
  <c r="M218" i="1"/>
  <c r="O218" i="1" s="1"/>
  <c r="J217" i="1"/>
  <c r="M217" i="1"/>
  <c r="O217" i="1" s="1"/>
  <c r="J216" i="1"/>
  <c r="M216" i="1"/>
  <c r="O216" i="1" s="1"/>
  <c r="J215" i="1"/>
  <c r="M215" i="1"/>
  <c r="O215" i="1" s="1"/>
  <c r="J214" i="1"/>
  <c r="M214" i="1"/>
  <c r="O214" i="1" s="1"/>
  <c r="J213" i="1"/>
  <c r="M213" i="1"/>
  <c r="O213" i="1" s="1"/>
  <c r="J212" i="1"/>
  <c r="M212" i="1"/>
  <c r="O212" i="1" s="1"/>
  <c r="J211" i="1"/>
  <c r="M211" i="1"/>
  <c r="O211" i="1" s="1"/>
  <c r="J210" i="1"/>
  <c r="M210" i="1"/>
  <c r="O210" i="1" s="1"/>
  <c r="J209" i="1"/>
  <c r="M209" i="1"/>
  <c r="O209" i="1" s="1"/>
  <c r="J208" i="1"/>
  <c r="M208" i="1"/>
  <c r="O208" i="1" s="1"/>
  <c r="J207" i="1"/>
  <c r="M207" i="1"/>
  <c r="O207" i="1" s="1"/>
  <c r="J206" i="1"/>
  <c r="M206" i="1"/>
  <c r="O206" i="1" s="1"/>
  <c r="J205" i="1"/>
  <c r="M205" i="1"/>
  <c r="O205" i="1" s="1"/>
  <c r="J204" i="1"/>
  <c r="M204" i="1"/>
  <c r="O204" i="1" s="1"/>
  <c r="J203" i="1"/>
  <c r="M203" i="1"/>
  <c r="O203" i="1" s="1"/>
  <c r="J202" i="1"/>
  <c r="M202" i="1"/>
  <c r="O202" i="1" s="1"/>
  <c r="J201" i="1"/>
  <c r="M201" i="1"/>
  <c r="O201" i="1" s="1"/>
  <c r="J200" i="1"/>
  <c r="M200" i="1"/>
  <c r="O200" i="1" s="1"/>
  <c r="J199" i="1"/>
  <c r="M199" i="1"/>
  <c r="O199" i="1" s="1"/>
  <c r="J198" i="1"/>
  <c r="M198" i="1"/>
  <c r="O198" i="1" s="1"/>
  <c r="J197" i="1"/>
  <c r="M197" i="1"/>
  <c r="O197" i="1" s="1"/>
  <c r="J196" i="1"/>
  <c r="M196" i="1"/>
  <c r="O196" i="1" s="1"/>
  <c r="J195" i="1"/>
  <c r="M195" i="1"/>
  <c r="O195" i="1" s="1"/>
  <c r="J194" i="1"/>
  <c r="M194" i="1"/>
  <c r="O194" i="1" s="1"/>
  <c r="J193" i="1"/>
  <c r="M193" i="1"/>
  <c r="O193" i="1" s="1"/>
  <c r="J192" i="1"/>
  <c r="M192" i="1"/>
  <c r="O192" i="1" s="1"/>
  <c r="J191" i="1"/>
  <c r="M191" i="1"/>
  <c r="O191" i="1" s="1"/>
  <c r="J190" i="1"/>
  <c r="M190" i="1"/>
  <c r="O190" i="1" s="1"/>
  <c r="J189" i="1"/>
  <c r="M189" i="1"/>
  <c r="O189" i="1" s="1"/>
  <c r="J188" i="1"/>
  <c r="M188" i="1"/>
  <c r="O188" i="1" s="1"/>
  <c r="J187" i="1"/>
  <c r="M187" i="1"/>
  <c r="O187" i="1" s="1"/>
  <c r="J186" i="1"/>
  <c r="M186" i="1"/>
  <c r="O186" i="1" s="1"/>
  <c r="J185" i="1"/>
  <c r="M185" i="1"/>
  <c r="O185" i="1" s="1"/>
  <c r="J184" i="1"/>
  <c r="M184" i="1"/>
  <c r="O184" i="1" s="1"/>
  <c r="J183" i="1"/>
  <c r="M183" i="1"/>
  <c r="O183" i="1" s="1"/>
  <c r="J182" i="1"/>
  <c r="M182" i="1"/>
  <c r="O182" i="1" s="1"/>
  <c r="J181" i="1"/>
  <c r="M181" i="1"/>
  <c r="O181" i="1" s="1"/>
  <c r="J180" i="1"/>
  <c r="M180" i="1"/>
  <c r="O180" i="1" s="1"/>
  <c r="J179" i="1"/>
  <c r="M179" i="1"/>
  <c r="O179" i="1" s="1"/>
  <c r="J178" i="1"/>
  <c r="M178" i="1"/>
  <c r="O178" i="1" s="1"/>
  <c r="J177" i="1"/>
  <c r="M177" i="1"/>
  <c r="O177" i="1" s="1"/>
  <c r="J176" i="1"/>
  <c r="M176" i="1"/>
  <c r="O176" i="1" s="1"/>
  <c r="J175" i="1"/>
  <c r="M175" i="1"/>
  <c r="O175" i="1" s="1"/>
  <c r="J174" i="1"/>
  <c r="M174" i="1"/>
  <c r="O174" i="1" s="1"/>
  <c r="J173" i="1"/>
  <c r="M173" i="1"/>
  <c r="O173" i="1" s="1"/>
  <c r="J172" i="1"/>
  <c r="M172" i="1"/>
  <c r="O172" i="1" s="1"/>
  <c r="J171" i="1"/>
  <c r="M171" i="1"/>
  <c r="O171" i="1" s="1"/>
  <c r="J170" i="1"/>
  <c r="M170" i="1"/>
  <c r="O170" i="1" s="1"/>
  <c r="J169" i="1"/>
  <c r="M169" i="1"/>
  <c r="O169" i="1" s="1"/>
  <c r="J168" i="1"/>
  <c r="M168" i="1"/>
  <c r="O168" i="1" s="1"/>
  <c r="J167" i="1"/>
  <c r="M167" i="1"/>
  <c r="O167" i="1" s="1"/>
  <c r="J166" i="1"/>
  <c r="M166" i="1"/>
  <c r="O166" i="1" s="1"/>
  <c r="J165" i="1"/>
  <c r="M165" i="1"/>
  <c r="O165" i="1" s="1"/>
  <c r="J164" i="1"/>
  <c r="M164" i="1"/>
  <c r="O164" i="1" s="1"/>
  <c r="J163" i="1"/>
  <c r="M163" i="1"/>
  <c r="O163" i="1" s="1"/>
  <c r="J162" i="1"/>
  <c r="M162" i="1"/>
  <c r="O162" i="1" s="1"/>
  <c r="J161" i="1"/>
  <c r="M161" i="1"/>
  <c r="O161" i="1" s="1"/>
  <c r="J160" i="1"/>
  <c r="M160" i="1"/>
  <c r="O160" i="1" s="1"/>
  <c r="J159" i="1"/>
  <c r="M159" i="1"/>
  <c r="O159" i="1" s="1"/>
  <c r="J158" i="1"/>
  <c r="M158" i="1"/>
  <c r="O158" i="1" s="1"/>
  <c r="J157" i="1"/>
  <c r="M157" i="1"/>
  <c r="O157" i="1" s="1"/>
  <c r="J156" i="1"/>
  <c r="M156" i="1"/>
  <c r="O156" i="1" s="1"/>
  <c r="J155" i="1"/>
  <c r="M155" i="1"/>
  <c r="O155" i="1" s="1"/>
  <c r="J154" i="1"/>
  <c r="M154" i="1"/>
  <c r="O154" i="1" s="1"/>
  <c r="J153" i="1"/>
  <c r="M153" i="1"/>
  <c r="O153" i="1" s="1"/>
  <c r="J152" i="1"/>
  <c r="M152" i="1"/>
  <c r="O152" i="1" s="1"/>
  <c r="J151" i="1"/>
  <c r="M151" i="1"/>
  <c r="O151" i="1" s="1"/>
  <c r="J150" i="1"/>
  <c r="M150" i="1"/>
  <c r="O150" i="1" s="1"/>
  <c r="J149" i="1"/>
  <c r="M149" i="1"/>
  <c r="O149" i="1" s="1"/>
  <c r="J148" i="1"/>
  <c r="M148" i="1"/>
  <c r="O148" i="1" s="1"/>
  <c r="J147" i="1"/>
  <c r="M147" i="1"/>
  <c r="O147" i="1" s="1"/>
  <c r="J146" i="1"/>
  <c r="M146" i="1"/>
  <c r="O146" i="1" s="1"/>
  <c r="J145" i="1"/>
  <c r="M145" i="1"/>
  <c r="O145" i="1" s="1"/>
  <c r="J144" i="1"/>
  <c r="M144" i="1"/>
  <c r="O144" i="1" s="1"/>
  <c r="J143" i="1"/>
  <c r="M143" i="1"/>
  <c r="O143" i="1" s="1"/>
  <c r="J142" i="1"/>
  <c r="M142" i="1"/>
  <c r="O142" i="1" s="1"/>
  <c r="J141" i="1"/>
  <c r="M141" i="1"/>
  <c r="O141" i="1" s="1"/>
  <c r="J140" i="1"/>
  <c r="M140" i="1"/>
  <c r="O140" i="1" s="1"/>
  <c r="J139" i="1"/>
  <c r="M139" i="1"/>
  <c r="O139" i="1" s="1"/>
  <c r="J138" i="1"/>
  <c r="M138" i="1"/>
  <c r="O138" i="1" s="1"/>
  <c r="J137" i="1"/>
  <c r="M137" i="1"/>
  <c r="O137" i="1" s="1"/>
  <c r="J136" i="1"/>
  <c r="M136" i="1"/>
  <c r="O136" i="1" s="1"/>
  <c r="J135" i="1"/>
  <c r="M135" i="1"/>
  <c r="O135" i="1" s="1"/>
  <c r="J134" i="1"/>
  <c r="M134" i="1"/>
  <c r="O134" i="1" s="1"/>
  <c r="J133" i="1"/>
  <c r="M133" i="1"/>
  <c r="O133" i="1" s="1"/>
  <c r="J132" i="1"/>
  <c r="M132" i="1"/>
  <c r="O132" i="1" s="1"/>
  <c r="J131" i="1"/>
  <c r="M131" i="1"/>
  <c r="O131" i="1" s="1"/>
  <c r="J130" i="1"/>
  <c r="M130" i="1"/>
  <c r="O130" i="1" s="1"/>
  <c r="J129" i="1"/>
  <c r="M129" i="1"/>
  <c r="O129" i="1" s="1"/>
  <c r="J128" i="1"/>
  <c r="M128" i="1"/>
  <c r="O128" i="1" s="1"/>
  <c r="J127" i="1"/>
  <c r="M127" i="1"/>
  <c r="O127" i="1" s="1"/>
  <c r="J126" i="1"/>
  <c r="M126" i="1"/>
  <c r="O126" i="1" s="1"/>
  <c r="J125" i="1"/>
  <c r="M125" i="1"/>
  <c r="O125" i="1" s="1"/>
  <c r="J124" i="1"/>
  <c r="M124" i="1"/>
  <c r="O124" i="1" s="1"/>
  <c r="J123" i="1"/>
  <c r="M123" i="1"/>
  <c r="O123" i="1" s="1"/>
  <c r="J122" i="1"/>
  <c r="M122" i="1"/>
  <c r="O122" i="1" s="1"/>
  <c r="J121" i="1"/>
  <c r="M121" i="1"/>
  <c r="O121" i="1" s="1"/>
  <c r="J120" i="1"/>
  <c r="M120" i="1"/>
  <c r="O120" i="1" s="1"/>
  <c r="J119" i="1"/>
  <c r="M119" i="1"/>
  <c r="O119" i="1" s="1"/>
  <c r="J118" i="1"/>
  <c r="M118" i="1"/>
  <c r="O118" i="1" s="1"/>
  <c r="J117" i="1"/>
  <c r="M117" i="1"/>
  <c r="O117" i="1" s="1"/>
  <c r="J116" i="1"/>
  <c r="M116" i="1"/>
  <c r="O116" i="1" s="1"/>
  <c r="J115" i="1"/>
  <c r="M115" i="1"/>
  <c r="O115" i="1" s="1"/>
  <c r="J114" i="1"/>
  <c r="M114" i="1"/>
  <c r="O114" i="1" s="1"/>
  <c r="J113" i="1"/>
  <c r="M113" i="1"/>
  <c r="O113" i="1" s="1"/>
  <c r="J112" i="1"/>
  <c r="M112" i="1"/>
  <c r="O112" i="1" s="1"/>
  <c r="J111" i="1"/>
  <c r="M111" i="1"/>
  <c r="O111" i="1" s="1"/>
  <c r="J110" i="1"/>
  <c r="M110" i="1"/>
  <c r="O110" i="1" s="1"/>
  <c r="J109" i="1"/>
  <c r="M109" i="1"/>
  <c r="O109" i="1" s="1"/>
  <c r="J108" i="1"/>
  <c r="M108" i="1"/>
  <c r="O108" i="1" s="1"/>
  <c r="J107" i="1"/>
  <c r="M107" i="1"/>
  <c r="O107" i="1" s="1"/>
  <c r="J106" i="1"/>
  <c r="M106" i="1"/>
  <c r="O106" i="1" s="1"/>
  <c r="J105" i="1"/>
  <c r="M105" i="1"/>
  <c r="O105" i="1" s="1"/>
  <c r="J104" i="1"/>
  <c r="M104" i="1"/>
  <c r="O104" i="1" s="1"/>
  <c r="J103" i="1"/>
  <c r="M103" i="1"/>
  <c r="O103" i="1" s="1"/>
  <c r="J102" i="1"/>
  <c r="M102" i="1"/>
  <c r="O102" i="1" s="1"/>
  <c r="J101" i="1"/>
  <c r="M101" i="1"/>
  <c r="O101" i="1" s="1"/>
  <c r="J100" i="1"/>
  <c r="M100" i="1"/>
  <c r="O100" i="1" s="1"/>
  <c r="J99" i="1"/>
  <c r="M99" i="1"/>
  <c r="O99" i="1" s="1"/>
  <c r="J98" i="1"/>
  <c r="M98" i="1"/>
  <c r="O98" i="1" s="1"/>
  <c r="J97" i="1"/>
  <c r="M97" i="1"/>
  <c r="O97" i="1" s="1"/>
  <c r="J96" i="1"/>
  <c r="M96" i="1"/>
  <c r="O96" i="1" s="1"/>
  <c r="J95" i="1"/>
  <c r="M95" i="1"/>
  <c r="O95" i="1" s="1"/>
  <c r="J94" i="1"/>
  <c r="M94" i="1"/>
  <c r="O94" i="1" s="1"/>
  <c r="J93" i="1"/>
  <c r="M93" i="1"/>
  <c r="O93" i="1" s="1"/>
  <c r="J92" i="1"/>
  <c r="M92" i="1"/>
  <c r="O92" i="1" s="1"/>
  <c r="J91" i="1"/>
  <c r="M91" i="1"/>
  <c r="O91" i="1" s="1"/>
  <c r="J90" i="1"/>
  <c r="M90" i="1"/>
  <c r="O90" i="1" s="1"/>
  <c r="J89" i="1"/>
  <c r="M89" i="1"/>
  <c r="O89" i="1" s="1"/>
  <c r="J88" i="1"/>
  <c r="M88" i="1"/>
  <c r="O88" i="1" s="1"/>
  <c r="J87" i="1"/>
  <c r="M87" i="1"/>
  <c r="O87" i="1" s="1"/>
  <c r="J86" i="1"/>
  <c r="M86" i="1"/>
  <c r="O86" i="1" s="1"/>
  <c r="J85" i="1"/>
  <c r="M85" i="1"/>
  <c r="O85" i="1" s="1"/>
  <c r="J84" i="1"/>
  <c r="M84" i="1"/>
  <c r="O84" i="1" s="1"/>
  <c r="J83" i="1"/>
  <c r="M83" i="1"/>
  <c r="O83" i="1" s="1"/>
  <c r="J82" i="1"/>
  <c r="M82" i="1"/>
  <c r="O82" i="1" s="1"/>
  <c r="J81" i="1"/>
  <c r="M81" i="1"/>
  <c r="O81" i="1" s="1"/>
  <c r="J80" i="1"/>
  <c r="M80" i="1"/>
  <c r="O80" i="1" s="1"/>
  <c r="J79" i="1"/>
  <c r="M79" i="1"/>
  <c r="O79" i="1" s="1"/>
  <c r="J78" i="1"/>
  <c r="M78" i="1"/>
  <c r="O78" i="1" s="1"/>
  <c r="J77" i="1"/>
  <c r="M77" i="1"/>
  <c r="O77" i="1" s="1"/>
  <c r="J76" i="1"/>
  <c r="M76" i="1"/>
  <c r="O76" i="1" s="1"/>
  <c r="J75" i="1"/>
  <c r="M75" i="1"/>
  <c r="O75" i="1" s="1"/>
  <c r="J74" i="1"/>
  <c r="M74" i="1"/>
  <c r="O74" i="1" s="1"/>
  <c r="J73" i="1"/>
  <c r="M73" i="1"/>
  <c r="O73" i="1" s="1"/>
  <c r="J72" i="1"/>
  <c r="M72" i="1"/>
  <c r="O72" i="1" s="1"/>
  <c r="J71" i="1"/>
  <c r="M71" i="1"/>
  <c r="O71" i="1" s="1"/>
  <c r="J70" i="1"/>
  <c r="M70" i="1"/>
  <c r="O70" i="1" s="1"/>
  <c r="J69" i="1"/>
  <c r="M69" i="1"/>
  <c r="O69" i="1" s="1"/>
  <c r="J68" i="1"/>
  <c r="M68" i="1"/>
  <c r="O68" i="1" s="1"/>
  <c r="J67" i="1"/>
  <c r="M67" i="1"/>
  <c r="O67" i="1" s="1"/>
  <c r="J66" i="1"/>
  <c r="M66" i="1"/>
  <c r="O66" i="1" s="1"/>
  <c r="J65" i="1"/>
  <c r="M65" i="1"/>
  <c r="O65" i="1" s="1"/>
  <c r="J64" i="1"/>
  <c r="M64" i="1"/>
  <c r="O64" i="1" s="1"/>
  <c r="J63" i="1"/>
  <c r="M63" i="1"/>
  <c r="O63" i="1" s="1"/>
  <c r="J62" i="1"/>
  <c r="M62" i="1"/>
  <c r="O62" i="1" s="1"/>
  <c r="J61" i="1"/>
  <c r="M61" i="1"/>
  <c r="O61" i="1" s="1"/>
  <c r="J60" i="1"/>
  <c r="M60" i="1"/>
  <c r="O60" i="1" s="1"/>
  <c r="J59" i="1"/>
  <c r="M59" i="1"/>
  <c r="O59" i="1" s="1"/>
  <c r="J58" i="1"/>
  <c r="M58" i="1"/>
  <c r="O58" i="1" s="1"/>
  <c r="J57" i="1"/>
  <c r="M57" i="1"/>
  <c r="O57" i="1" s="1"/>
  <c r="J56" i="1"/>
  <c r="M56" i="1"/>
  <c r="O56" i="1" s="1"/>
  <c r="J55" i="1"/>
  <c r="M55" i="1"/>
  <c r="O55" i="1" s="1"/>
  <c r="J54" i="1"/>
  <c r="M54" i="1"/>
  <c r="O54" i="1" s="1"/>
  <c r="J53" i="1"/>
  <c r="M53" i="1"/>
  <c r="O53" i="1" s="1"/>
  <c r="J52" i="1"/>
  <c r="M52" i="1"/>
  <c r="O52" i="1" s="1"/>
  <c r="J51" i="1"/>
  <c r="M51" i="1"/>
  <c r="O51" i="1" s="1"/>
  <c r="J50" i="1"/>
  <c r="M50" i="1"/>
  <c r="O50" i="1" s="1"/>
  <c r="J49" i="1"/>
  <c r="M49" i="1"/>
  <c r="O49" i="1" s="1"/>
  <c r="J48" i="1"/>
  <c r="M48" i="1"/>
  <c r="O48" i="1" s="1"/>
  <c r="J47" i="1"/>
  <c r="M47" i="1"/>
  <c r="O47" i="1" s="1"/>
  <c r="J46" i="1"/>
  <c r="M46" i="1"/>
  <c r="O46" i="1" s="1"/>
  <c r="J45" i="1"/>
  <c r="M45" i="1"/>
  <c r="O45" i="1" s="1"/>
  <c r="J44" i="1"/>
  <c r="M44" i="1"/>
  <c r="O44" i="1" s="1"/>
  <c r="J43" i="1"/>
  <c r="M43" i="1"/>
  <c r="O43" i="1" s="1"/>
  <c r="J42" i="1"/>
  <c r="M42" i="1"/>
  <c r="O42" i="1" s="1"/>
  <c r="J41" i="1"/>
  <c r="M41" i="1"/>
  <c r="O41" i="1" s="1"/>
  <c r="J40" i="1"/>
  <c r="M40" i="1"/>
  <c r="O40" i="1" s="1"/>
  <c r="J39" i="1"/>
  <c r="M39" i="1"/>
  <c r="O39" i="1" s="1"/>
  <c r="J38" i="1"/>
  <c r="M38" i="1"/>
  <c r="O38" i="1" s="1"/>
  <c r="J37" i="1"/>
  <c r="M37" i="1"/>
  <c r="O37" i="1" s="1"/>
  <c r="J36" i="1"/>
  <c r="M36" i="1"/>
  <c r="O36" i="1" s="1"/>
  <c r="J35" i="1"/>
  <c r="M35" i="1"/>
  <c r="O35" i="1" s="1"/>
  <c r="J34" i="1"/>
  <c r="M34" i="1"/>
  <c r="O34" i="1" s="1"/>
  <c r="J33" i="1"/>
  <c r="M33" i="1"/>
  <c r="O33" i="1" s="1"/>
  <c r="J32" i="1"/>
  <c r="M32" i="1"/>
  <c r="O32" i="1" s="1"/>
  <c r="J31" i="1"/>
  <c r="M31" i="1"/>
  <c r="O31" i="1" s="1"/>
  <c r="J30" i="1"/>
  <c r="M30" i="1"/>
  <c r="O30" i="1" s="1"/>
  <c r="J29" i="1"/>
  <c r="M29" i="1"/>
  <c r="O29" i="1" s="1"/>
  <c r="J28" i="1"/>
  <c r="M28" i="1"/>
  <c r="O28" i="1" s="1"/>
  <c r="J27" i="1"/>
  <c r="M27" i="1"/>
  <c r="O27" i="1" s="1"/>
  <c r="J26" i="1"/>
  <c r="M26" i="1"/>
  <c r="O26" i="1" s="1"/>
  <c r="J25" i="1"/>
  <c r="M25" i="1"/>
  <c r="O25" i="1" s="1"/>
  <c r="J24" i="1"/>
  <c r="M24" i="1"/>
  <c r="O24" i="1" s="1"/>
  <c r="J23" i="1"/>
  <c r="M23" i="1"/>
  <c r="O23" i="1" s="1"/>
  <c r="J22" i="1"/>
  <c r="M22" i="1"/>
  <c r="O22" i="1" s="1"/>
  <c r="J21" i="1"/>
  <c r="M21" i="1"/>
  <c r="O21" i="1" s="1"/>
  <c r="J20" i="1"/>
  <c r="M20" i="1"/>
  <c r="O20" i="1" s="1"/>
  <c r="J19" i="1"/>
  <c r="M19" i="1"/>
  <c r="O19" i="1" s="1"/>
  <c r="J18" i="1"/>
  <c r="M18" i="1"/>
  <c r="O18" i="1" s="1"/>
  <c r="J17" i="1"/>
  <c r="M17" i="1"/>
  <c r="O17" i="1" s="1"/>
  <c r="J16" i="1"/>
  <c r="M16" i="1"/>
  <c r="O16" i="1" s="1"/>
  <c r="J15" i="1"/>
  <c r="M15" i="1"/>
  <c r="O15" i="1" s="1"/>
  <c r="J14" i="1"/>
  <c r="M14" i="1"/>
  <c r="O14" i="1" s="1"/>
  <c r="J13" i="1"/>
  <c r="M13" i="1"/>
  <c r="O13" i="1" s="1"/>
  <c r="J12" i="1"/>
  <c r="M12" i="1"/>
  <c r="O12" i="1" s="1"/>
  <c r="J11" i="1"/>
  <c r="M11" i="1"/>
  <c r="O11" i="1" s="1"/>
  <c r="J10" i="1"/>
  <c r="M10" i="1"/>
  <c r="O10" i="1" s="1"/>
  <c r="J9" i="1"/>
  <c r="M9" i="1"/>
  <c r="O9" i="1" s="1"/>
  <c r="J8" i="1"/>
  <c r="M8" i="1"/>
  <c r="O8" i="1" s="1"/>
  <c r="J7" i="1"/>
  <c r="M7" i="1"/>
  <c r="O7" i="1" s="1"/>
  <c r="J6" i="1"/>
  <c r="M6" i="1"/>
  <c r="O6" i="1" s="1"/>
  <c r="J5" i="1"/>
  <c r="M5" i="1"/>
  <c r="O5" i="1" s="1"/>
  <c r="J4" i="1"/>
  <c r="M4" i="1"/>
  <c r="O4" i="1" s="1"/>
  <c r="J3" i="1"/>
  <c r="M3" i="1"/>
  <c r="O3" i="1" s="1"/>
  <c r="J2" i="1"/>
  <c r="M2" i="1"/>
  <c r="O2" i="1" s="1"/>
  <c r="N19" i="1" l="1"/>
  <c r="N12" i="1"/>
  <c r="N8" i="1"/>
  <c r="N5" i="1"/>
  <c r="N4" i="1"/>
  <c r="N3" i="1"/>
  <c r="N122" i="1"/>
  <c r="N120" i="1"/>
  <c r="N119" i="1"/>
  <c r="N118" i="1"/>
  <c r="N117" i="1"/>
  <c r="N98" i="1"/>
  <c r="N79" i="1"/>
  <c r="N74" i="1"/>
  <c r="N73" i="1"/>
  <c r="N70" i="1"/>
  <c r="N66" i="1"/>
  <c r="N62" i="1"/>
  <c r="N61" i="1"/>
  <c r="N60" i="1"/>
  <c r="N58" i="1"/>
  <c r="N57" i="1"/>
  <c r="N56" i="1"/>
  <c r="N27" i="1"/>
  <c r="N24" i="1"/>
  <c r="N22" i="1"/>
  <c r="N21" i="1"/>
  <c r="N20" i="1"/>
  <c r="N13" i="1"/>
  <c r="N11" i="1"/>
  <c r="N9" i="1"/>
  <c r="N6" i="1"/>
  <c r="N18" i="1"/>
  <c r="N17" i="1"/>
  <c r="N214" i="1"/>
  <c r="N211" i="1"/>
  <c r="N210" i="1"/>
  <c r="N208" i="1"/>
  <c r="A15" i="4"/>
  <c r="N206" i="1"/>
  <c r="N204" i="1"/>
  <c r="N202" i="1"/>
  <c r="N200" i="1"/>
  <c r="N198" i="1"/>
  <c r="N196" i="1"/>
  <c r="N194" i="1"/>
  <c r="N192" i="1"/>
  <c r="N121" i="1"/>
  <c r="N158" i="1"/>
  <c r="N157" i="1"/>
  <c r="N155" i="1"/>
  <c r="N153" i="1"/>
  <c r="N147" i="1"/>
  <c r="N146" i="1"/>
  <c r="N145" i="1"/>
  <c r="N15" i="1"/>
  <c r="N240" i="1"/>
  <c r="N115" i="1"/>
  <c r="N114" i="1"/>
  <c r="N111" i="1"/>
  <c r="N110" i="1"/>
  <c r="N109" i="1"/>
  <c r="N108" i="1"/>
  <c r="N107" i="1"/>
  <c r="N104" i="1"/>
  <c r="N103" i="1"/>
  <c r="N102" i="1"/>
  <c r="N101" i="1"/>
  <c r="N100" i="1"/>
  <c r="N99" i="1"/>
  <c r="N81" i="1"/>
  <c r="N75" i="1"/>
  <c r="N72" i="1"/>
  <c r="N97" i="1"/>
  <c r="N77" i="1"/>
  <c r="N68" i="1"/>
  <c r="N26" i="1"/>
  <c r="N54" i="1"/>
  <c r="N53" i="1"/>
  <c r="N52" i="1"/>
  <c r="N51" i="1"/>
  <c r="N50" i="1"/>
  <c r="N49" i="1"/>
  <c r="N48" i="1"/>
  <c r="N46" i="1"/>
  <c r="N44" i="1"/>
  <c r="N43" i="1"/>
  <c r="N42" i="1"/>
  <c r="N40" i="1"/>
  <c r="N39" i="1"/>
  <c r="N38" i="1"/>
  <c r="N37" i="1"/>
  <c r="N36" i="1"/>
  <c r="N35" i="1"/>
  <c r="N34" i="1"/>
  <c r="N33" i="1"/>
  <c r="N32" i="1"/>
  <c r="N31" i="1"/>
  <c r="N30" i="1"/>
  <c r="N29" i="1"/>
  <c r="N28" i="1"/>
  <c r="N10" i="1"/>
  <c r="N251" i="1"/>
  <c r="N250" i="1"/>
  <c r="N249" i="1"/>
  <c r="N248" i="1"/>
  <c r="N247" i="1"/>
  <c r="N246" i="1"/>
  <c r="N245" i="1"/>
  <c r="N244" i="1"/>
  <c r="N243" i="1"/>
  <c r="N242" i="1"/>
  <c r="N241" i="1"/>
  <c r="N209" i="1"/>
  <c r="N205" i="1"/>
  <c r="N201" i="1"/>
  <c r="N197" i="1"/>
  <c r="N193" i="1"/>
  <c r="N154" i="1"/>
  <c r="N149" i="1"/>
  <c r="N113" i="1"/>
  <c r="N106" i="1"/>
  <c r="N78" i="1"/>
  <c r="N69" i="1"/>
  <c r="N64" i="1"/>
  <c r="N55" i="1"/>
  <c r="N47" i="1"/>
  <c r="N41" i="1"/>
  <c r="N25"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3" i="1"/>
  <c r="N212" i="1"/>
  <c r="N207" i="1"/>
  <c r="N203" i="1"/>
  <c r="N199" i="1"/>
  <c r="N195" i="1"/>
  <c r="N151" i="1"/>
  <c r="N148" i="1"/>
  <c r="N105" i="1"/>
  <c r="N71" i="1"/>
  <c r="N16"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6" i="1"/>
  <c r="N152" i="1"/>
  <c r="N150" i="1"/>
  <c r="N116" i="1"/>
  <c r="N112" i="1"/>
  <c r="N80" i="1"/>
  <c r="N65" i="1"/>
  <c r="N59" i="1"/>
  <c r="N45" i="1"/>
  <c r="N14" i="1"/>
  <c r="N7" i="1"/>
  <c r="N144" i="1"/>
  <c r="N143" i="1"/>
  <c r="N142" i="1"/>
  <c r="N141" i="1"/>
  <c r="N140" i="1"/>
  <c r="N139" i="1"/>
  <c r="N138" i="1"/>
  <c r="N137" i="1"/>
  <c r="N136" i="1"/>
  <c r="N135" i="1"/>
  <c r="N134" i="1"/>
  <c r="N133" i="1"/>
  <c r="N132" i="1"/>
  <c r="N131" i="1"/>
  <c r="N130" i="1"/>
  <c r="N129" i="1"/>
  <c r="N128" i="1"/>
  <c r="N127" i="1"/>
  <c r="N126" i="1"/>
  <c r="N125" i="1"/>
  <c r="N124" i="1"/>
  <c r="N123" i="1"/>
  <c r="N76" i="1"/>
  <c r="N63" i="1"/>
  <c r="N23" i="1"/>
  <c r="N96" i="1"/>
  <c r="N95" i="1"/>
  <c r="N94" i="1"/>
  <c r="N93" i="1"/>
  <c r="N92" i="1"/>
  <c r="N91" i="1"/>
  <c r="N90" i="1"/>
  <c r="N89" i="1"/>
  <c r="N88" i="1"/>
  <c r="N87" i="1"/>
  <c r="N86" i="1"/>
  <c r="N85" i="1"/>
  <c r="N84" i="1"/>
  <c r="N83" i="1"/>
  <c r="N82" i="1"/>
  <c r="N67" i="1"/>
  <c r="E16" i="4"/>
  <c r="E14" i="4"/>
  <c r="E13" i="4"/>
  <c r="E12" i="4"/>
  <c r="E17" i="4"/>
  <c r="E15" i="4"/>
  <c r="E27" i="4"/>
  <c r="E22" i="4"/>
  <c r="E26" i="4"/>
  <c r="E25" i="4"/>
  <c r="E24" i="4"/>
  <c r="E23" i="4"/>
  <c r="B44" i="4"/>
  <c r="B45" i="4"/>
  <c r="B46" i="4"/>
  <c r="B47" i="4"/>
  <c r="B42" i="4"/>
  <c r="B43" i="4"/>
  <c r="E47" i="4"/>
  <c r="E48" i="4"/>
  <c r="E49" i="4"/>
  <c r="E50" i="4"/>
  <c r="E32" i="4"/>
  <c r="E38" i="4"/>
  <c r="E36" i="4"/>
  <c r="E35" i="4"/>
  <c r="E34" i="4"/>
  <c r="E33" i="4"/>
  <c r="E37" i="4"/>
  <c r="E39" i="4"/>
  <c r="E31" i="4"/>
  <c r="E40" i="4"/>
  <c r="E41" i="4"/>
  <c r="E42" i="4"/>
  <c r="E43" i="4"/>
  <c r="E44" i="4"/>
  <c r="E45" i="4"/>
  <c r="E46" i="4"/>
  <c r="B87" i="4"/>
  <c r="B76" i="4"/>
  <c r="B85" i="4"/>
  <c r="B84" i="4"/>
  <c r="B83" i="4"/>
  <c r="B81" i="4"/>
  <c r="B77" i="4"/>
  <c r="B78" i="4"/>
  <c r="B79" i="4"/>
  <c r="B80" i="4"/>
  <c r="B82" i="4"/>
  <c r="B88" i="4"/>
  <c r="B89" i="4"/>
  <c r="B90" i="4"/>
  <c r="B91" i="4"/>
  <c r="B92" i="4"/>
  <c r="B93" i="4"/>
  <c r="B94" i="4"/>
  <c r="B75" i="4"/>
  <c r="B86" i="4"/>
  <c r="B61" i="4"/>
  <c r="B51" i="4"/>
  <c r="B52" i="4"/>
  <c r="B53" i="4"/>
  <c r="B54" i="4"/>
  <c r="B55" i="4"/>
  <c r="B56" i="4"/>
  <c r="B57" i="4"/>
  <c r="B58" i="4"/>
  <c r="B59" i="4"/>
  <c r="B60" i="4"/>
  <c r="B62" i="4"/>
  <c r="B63" i="4"/>
  <c r="B64" i="4"/>
  <c r="B65" i="4"/>
  <c r="B66" i="4"/>
  <c r="B67" i="4"/>
  <c r="B68" i="4"/>
  <c r="B69" i="4"/>
  <c r="B70" i="4"/>
  <c r="B50" i="4"/>
  <c r="B27" i="4"/>
  <c r="B26" i="4"/>
  <c r="B25" i="4"/>
  <c r="B24" i="4"/>
  <c r="B23" i="4"/>
  <c r="B34" i="4"/>
  <c r="B19" i="4"/>
  <c r="B22" i="4"/>
  <c r="B38" i="4"/>
  <c r="B37" i="4"/>
  <c r="B36" i="4"/>
  <c r="B35" i="4"/>
  <c r="B33" i="4"/>
  <c r="B32" i="4"/>
  <c r="B31" i="4"/>
  <c r="B30" i="4"/>
  <c r="B29" i="4"/>
  <c r="B28" i="4"/>
  <c r="B20" i="4"/>
  <c r="B21" i="4"/>
  <c r="N2" i="1"/>
  <c r="A9" i="4"/>
  <c r="A12"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<sst xmlns="http://schemas.openxmlformats.org/spreadsheetml/2006/main" count="3656" uniqueCount="717">
  <si>
    <t>Customer_ID</t>
  </si>
  <si>
    <t>Order_ID</t>
  </si>
  <si>
    <t>Product_ID</t>
  </si>
  <si>
    <t>Product_Name</t>
  </si>
  <si>
    <t>Category</t>
  </si>
  <si>
    <t>Customer_Name</t>
  </si>
  <si>
    <t>County</t>
  </si>
  <si>
    <t>Bottle_Size</t>
  </si>
  <si>
    <t>Customer_Type</t>
  </si>
  <si>
    <t>Order_Date</t>
  </si>
  <si>
    <t>Preferred_Channel</t>
  </si>
  <si>
    <t>Unit_Price</t>
  </si>
  <si>
    <t>CUST001</t>
  </si>
  <si>
    <t>Ross Keane</t>
  </si>
  <si>
    <t>Cost_Price</t>
  </si>
  <si>
    <t>Limerick</t>
  </si>
  <si>
    <t>Quantity</t>
  </si>
  <si>
    <t>PROD001</t>
  </si>
  <si>
    <t>Café</t>
  </si>
  <si>
    <t>Still  Water</t>
  </si>
  <si>
    <t>Online</t>
  </si>
  <si>
    <t>Water</t>
  </si>
  <si>
    <t>CUST002</t>
  </si>
  <si>
    <t>500ml</t>
  </si>
  <si>
    <t>Luke Byrne</t>
  </si>
  <si>
    <t>Discount</t>
  </si>
  <si>
    <t>Tipperary</t>
  </si>
  <si>
    <t>Wholesaler</t>
  </si>
  <si>
    <t>PROD002</t>
  </si>
  <si>
    <t>Order_Status</t>
  </si>
  <si>
    <t>CUST003</t>
  </si>
  <si>
    <t>Sparkling Water</t>
  </si>
  <si>
    <t>Question 1- Total Orders</t>
  </si>
  <si>
    <t>Katie Doyle</t>
  </si>
  <si>
    <t>1L</t>
  </si>
  <si>
    <t>Kerry</t>
  </si>
  <si>
    <t>ORD0001</t>
  </si>
  <si>
    <t>CUST061</t>
  </si>
  <si>
    <t>PROD003</t>
  </si>
  <si>
    <t>Cola</t>
  </si>
  <si>
    <t>CUST004</t>
  </si>
  <si>
    <t>PROD017</t>
  </si>
  <si>
    <t>Soft  Drink</t>
  </si>
  <si>
    <t>Grace Burke</t>
  </si>
  <si>
    <t>Question 10- Bottle Size Sales Performace</t>
  </si>
  <si>
    <t>31</t>
  </si>
  <si>
    <t>330ml</t>
  </si>
  <si>
    <t>Kildare</t>
  </si>
  <si>
    <t>Retailer</t>
  </si>
  <si>
    <t>Pending</t>
  </si>
  <si>
    <t>PROD004</t>
  </si>
  <si>
    <t>Sales Rep</t>
  </si>
  <si>
    <t>ORD0002</t>
  </si>
  <si>
    <t>Orange  Soda</t>
  </si>
  <si>
    <t>Question 15- Region Performance</t>
  </si>
  <si>
    <t>CUST060</t>
  </si>
  <si>
    <t>CUST005</t>
  </si>
  <si>
    <t>PROD012</t>
  </si>
  <si>
    <t>Jack Nolan</t>
  </si>
  <si>
    <t>23</t>
  </si>
  <si>
    <t>Offaly</t>
  </si>
  <si>
    <t>Completed</t>
  </si>
  <si>
    <t>Soft   Drink</t>
  </si>
  <si>
    <t>ORD0003</t>
  </si>
  <si>
    <t>CUST006</t>
  </si>
  <si>
    <t>CUST051</t>
  </si>
  <si>
    <t>John Brennan</t>
  </si>
  <si>
    <t>41</t>
  </si>
  <si>
    <t>Galway</t>
  </si>
  <si>
    <t>PROD005</t>
  </si>
  <si>
    <t>Restaurant</t>
  </si>
  <si>
    <t>apple juice</t>
  </si>
  <si>
    <t>ORD0004</t>
  </si>
  <si>
    <t>Email</t>
  </si>
  <si>
    <t>Juice</t>
  </si>
  <si>
    <t>CUST038</t>
  </si>
  <si>
    <t>CUST007</t>
  </si>
  <si>
    <t>PROD  016</t>
  </si>
  <si>
    <t>Jack Barrett</t>
  </si>
  <si>
    <t>18</t>
  </si>
  <si>
    <t>Pend  ing</t>
  </si>
  <si>
    <t>Bottle size</t>
  </si>
  <si>
    <t>ORD0005</t>
  </si>
  <si>
    <t>Distributor</t>
  </si>
  <si>
    <t>PROD006</t>
  </si>
  <si>
    <t>Lemon Lime</t>
  </si>
  <si>
    <t>CUST034</t>
  </si>
  <si>
    <t>CUST008</t>
  </si>
  <si>
    <t>Soft Drink</t>
  </si>
  <si>
    <t>Sean Maher</t>
  </si>
  <si>
    <t>40</t>
  </si>
  <si>
    <t>ORD0006</t>
  </si>
  <si>
    <t>Phone</t>
  </si>
  <si>
    <t>CUST100</t>
  </si>
  <si>
    <t>Total Sales</t>
  </si>
  <si>
    <t>PROD007</t>
  </si>
  <si>
    <t>CUST009</t>
  </si>
  <si>
    <t>8</t>
  </si>
  <si>
    <t>Energy   Boost</t>
  </si>
  <si>
    <t>Tomas Doyle</t>
  </si>
  <si>
    <t>Energy Drink</t>
  </si>
  <si>
    <t>Clare</t>
  </si>
  <si>
    <t>250ml</t>
  </si>
  <si>
    <t>ORD0007</t>
  </si>
  <si>
    <t>Total Quantity</t>
  </si>
  <si>
    <t>CUST017</t>
  </si>
  <si>
    <t>CUST010</t>
  </si>
  <si>
    <t>11</t>
  </si>
  <si>
    <t>PROD008</t>
  </si>
  <si>
    <t>Orla Ryan</t>
  </si>
  <si>
    <t xml:space="preserve"> Berry   Splash </t>
  </si>
  <si>
    <t>Supermarket</t>
  </si>
  <si>
    <t>ORD0008</t>
  </si>
  <si>
    <t>CUST094</t>
  </si>
  <si>
    <t>CUST011</t>
  </si>
  <si>
    <t>Kevin Doyle</t>
  </si>
  <si>
    <t>6</t>
  </si>
  <si>
    <t>PROD009</t>
  </si>
  <si>
    <t>Tonic Water</t>
  </si>
  <si>
    <t>Pen ding</t>
  </si>
  <si>
    <t>CUST012</t>
  </si>
  <si>
    <t>Kevin Byrne</t>
  </si>
  <si>
    <t>ORD0009</t>
  </si>
  <si>
    <t>Donegal</t>
  </si>
  <si>
    <t>CUST083</t>
  </si>
  <si>
    <t>PROD010</t>
  </si>
  <si>
    <t>44</t>
  </si>
  <si>
    <t>CUST013</t>
  </si>
  <si>
    <t>Iced Tea</t>
  </si>
  <si>
    <t>Luke Murphy</t>
  </si>
  <si>
    <t>Tea</t>
  </si>
  <si>
    <t>Waterford</t>
  </si>
  <si>
    <t>ORD 0010</t>
  </si>
  <si>
    <t>CUST050</t>
  </si>
  <si>
    <t>PROD013</t>
  </si>
  <si>
    <t>CUST014</t>
  </si>
  <si>
    <t>10</t>
  </si>
  <si>
    <t>Question 2- Total Quantity</t>
  </si>
  <si>
    <t xml:space="preserve"> Darragh Reilly </t>
  </si>
  <si>
    <t>PROD011</t>
  </si>
  <si>
    <t>Hotel</t>
  </si>
  <si>
    <t>ORD0011</t>
  </si>
  <si>
    <t>mango juice</t>
  </si>
  <si>
    <t>CUST015</t>
  </si>
  <si>
    <t>CUST024</t>
  </si>
  <si>
    <t>Luke Casey</t>
  </si>
  <si>
    <t>Wexford</t>
  </si>
  <si>
    <t>45</t>
  </si>
  <si>
    <t>CUST016</t>
  </si>
  <si>
    <t>Rebecca Sheridan</t>
  </si>
  <si>
    <t>ORD0012</t>
  </si>
  <si>
    <t>PROD019</t>
  </si>
  <si>
    <t>46</t>
  </si>
  <si>
    <t>Rebecca McCarthy</t>
  </si>
  <si>
    <t xml:space="preserve">Mineral Water
</t>
  </si>
  <si>
    <t>tipperary</t>
  </si>
  <si>
    <t>Wa ter</t>
  </si>
  <si>
    <t>ORD0013</t>
  </si>
  <si>
    <t>CUST018</t>
  </si>
  <si>
    <t>1.5L</t>
  </si>
  <si>
    <t>CUST043</t>
  </si>
  <si>
    <t>Rebecca Byrne</t>
  </si>
  <si>
    <t>15</t>
  </si>
  <si>
    <t>Com  pleted</t>
  </si>
  <si>
    <t>ORD0014</t>
  </si>
  <si>
    <t>CUST019</t>
  </si>
  <si>
    <t>Sparkling Citrus</t>
  </si>
  <si>
    <t>Conor Walsh</t>
  </si>
  <si>
    <t>CUST 026</t>
  </si>
  <si>
    <t>CLARE</t>
  </si>
  <si>
    <t>PROD016</t>
  </si>
  <si>
    <t>CUST020</t>
  </si>
  <si>
    <t>PROD014</t>
  </si>
  <si>
    <t>Rebecca Murphy</t>
  </si>
  <si>
    <t>Grape Soda</t>
  </si>
  <si>
    <t>ORD0015</t>
  </si>
  <si>
    <t>CUST082</t>
  </si>
  <si>
    <t>CUST021</t>
  </si>
  <si>
    <t>Michael  Ryan</t>
  </si>
  <si>
    <t>Cancelled</t>
  </si>
  <si>
    <t>PROD015</t>
  </si>
  <si>
    <t>Pineapple Juice</t>
  </si>
  <si>
    <t>CUST022</t>
  </si>
  <si>
    <t>David Fox</t>
  </si>
  <si>
    <t>WATERFORD</t>
  </si>
  <si>
    <t>CUST023</t>
  </si>
  <si>
    <t>Ross Maher</t>
  </si>
  <si>
    <t>Vitamin    Water</t>
  </si>
  <si>
    <t>Tomas Maher</t>
  </si>
  <si>
    <t>ORD0016</t>
  </si>
  <si>
    <t>CUST054</t>
  </si>
  <si>
    <t>29</t>
  </si>
  <si>
    <t>CUST025</t>
  </si>
  <si>
    <t>Question 3- Gross Sales</t>
  </si>
  <si>
    <t xml:space="preserve"> peach tea </t>
  </si>
  <si>
    <t>Clodagh Byrne</t>
  </si>
  <si>
    <t>ORD 0017</t>
  </si>
  <si>
    <t>12</t>
  </si>
  <si>
    <t>CUST026</t>
  </si>
  <si>
    <t>PROD018</t>
  </si>
  <si>
    <t>Darragh Greene</t>
  </si>
  <si>
    <t>ORD0018</t>
  </si>
  <si>
    <t>Zero Cola</t>
  </si>
  <si>
    <t>KERRY</t>
  </si>
  <si>
    <t>CUST062</t>
  </si>
  <si>
    <t>16</t>
  </si>
  <si>
    <t>CUST027</t>
  </si>
  <si>
    <t>Amy Moran</t>
  </si>
  <si>
    <t>Com pleted</t>
  </si>
  <si>
    <t>Kids Juice</t>
  </si>
  <si>
    <t>ORD0019</t>
  </si>
  <si>
    <t>CUST028</t>
  </si>
  <si>
    <t>Colm Casey</t>
  </si>
  <si>
    <t>Dublin</t>
  </si>
  <si>
    <t>CUST029</t>
  </si>
  <si>
    <t xml:space="preserve"> Clodagh McCarthy </t>
  </si>
  <si>
    <t xml:space="preserve"> Completed</t>
  </si>
  <si>
    <t>PROD020</t>
  </si>
  <si>
    <t xml:space="preserve">    Spring Water</t>
  </si>
  <si>
    <t>ORD0020</t>
  </si>
  <si>
    <t>CUST030</t>
  </si>
  <si>
    <t>CUST033</t>
  </si>
  <si>
    <t>sophie quinn</t>
  </si>
  <si>
    <t>5</t>
  </si>
  <si>
    <t>CUST031</t>
  </si>
  <si>
    <t>Aoife Healy</t>
  </si>
  <si>
    <t>ORD0021</t>
  </si>
  <si>
    <t>CUST032</t>
  </si>
  <si>
    <t>David Murphy</t>
  </si>
  <si>
    <t>ORD0022</t>
  </si>
  <si>
    <t>Michael Healy</t>
  </si>
  <si>
    <t>CUST039</t>
  </si>
  <si>
    <t>Question 11- Customer Behaviour</t>
  </si>
  <si>
    <t>24</t>
  </si>
  <si>
    <t>Sophie Roche</t>
  </si>
  <si>
    <t xml:space="preserve"> Meath</t>
  </si>
  <si>
    <t>ORD0023</t>
  </si>
  <si>
    <t>CUST035</t>
  </si>
  <si>
    <t>Leah Greene</t>
  </si>
  <si>
    <t>CUST045</t>
  </si>
  <si>
    <t>clare</t>
  </si>
  <si>
    <t>CUST036</t>
  </si>
  <si>
    <t>Conor Keane</t>
  </si>
  <si>
    <t>Question 4- Net Sales</t>
  </si>
  <si>
    <t>ORD0024</t>
  </si>
  <si>
    <t>Customer type</t>
  </si>
  <si>
    <t>CUST037</t>
  </si>
  <si>
    <t>Jack Brennan</t>
  </si>
  <si>
    <t>Sean Healy</t>
  </si>
  <si>
    <t>ORD0025</t>
  </si>
  <si>
    <t>Brian Healy</t>
  </si>
  <si>
    <t>CUST097</t>
  </si>
  <si>
    <t>Louth</t>
  </si>
  <si>
    <t>22</t>
  </si>
  <si>
    <t>CUST040</t>
  </si>
  <si>
    <t>Clodagh Murphy</t>
  </si>
  <si>
    <t>Sligo</t>
  </si>
  <si>
    <t>CUST041</t>
  </si>
  <si>
    <t>ORD0026</t>
  </si>
  <si>
    <t>Sophie Healy</t>
  </si>
  <si>
    <t>CUST079</t>
  </si>
  <si>
    <t>CUST042</t>
  </si>
  <si>
    <t>Siobhan Hayes</t>
  </si>
  <si>
    <t>9</t>
  </si>
  <si>
    <t>Rebecca  Connolly</t>
  </si>
  <si>
    <t xml:space="preserve">Offaly </t>
  </si>
  <si>
    <t>ORD0027</t>
  </si>
  <si>
    <t>CUST044</t>
  </si>
  <si>
    <t xml:space="preserve"> Clodagh Finn </t>
  </si>
  <si>
    <t>Meath</t>
  </si>
  <si>
    <t>CUST072</t>
  </si>
  <si>
    <t>Conor Hayes</t>
  </si>
  <si>
    <t>CUST046</t>
  </si>
  <si>
    <t xml:space="preserve">Mark Casey	</t>
  </si>
  <si>
    <t>Question 5- Total Discount</t>
  </si>
  <si>
    <t>ORD0028</t>
  </si>
  <si>
    <t>CUST085</t>
  </si>
  <si>
    <t>CUST047</t>
  </si>
  <si>
    <t>Sean Casey</t>
  </si>
  <si>
    <t>CUST048</t>
  </si>
  <si>
    <t>Mark Maher</t>
  </si>
  <si>
    <t>ORD0029</t>
  </si>
  <si>
    <t>CUST093</t>
  </si>
  <si>
    <t>CUST049</t>
  </si>
  <si>
    <t>Brian Moran</t>
  </si>
  <si>
    <t>38</t>
  </si>
  <si>
    <t>Ella McCarthy</t>
  </si>
  <si>
    <t>ORD0030</t>
  </si>
  <si>
    <t>Sophie McCarthy</t>
  </si>
  <si>
    <t>33</t>
  </si>
  <si>
    <t>CUST052</t>
  </si>
  <si>
    <t>David Lynch</t>
  </si>
  <si>
    <t>ORD0031</t>
  </si>
  <si>
    <t>CUST053</t>
  </si>
  <si>
    <t>Siobhan Maher</t>
  </si>
  <si>
    <t>KILDARE</t>
  </si>
  <si>
    <t>Jessica Doyle</t>
  </si>
  <si>
    <t>ORD0032</t>
  </si>
  <si>
    <t>CUST055</t>
  </si>
  <si>
    <t>CUST066</t>
  </si>
  <si>
    <t>Patrick Lynch</t>
  </si>
  <si>
    <t>CUST056</t>
  </si>
  <si>
    <t xml:space="preserve">Pending </t>
  </si>
  <si>
    <t>Sarah Roche</t>
  </si>
  <si>
    <t>ORD0033</t>
  </si>
  <si>
    <t>Question 6- Product performance</t>
  </si>
  <si>
    <t>CUST057</t>
  </si>
  <si>
    <t>Peter Brennan</t>
  </si>
  <si>
    <t>43</t>
  </si>
  <si>
    <t>CUST058</t>
  </si>
  <si>
    <t>Sophie Lynch</t>
  </si>
  <si>
    <t>ORD0034</t>
  </si>
  <si>
    <t>CUST059</t>
  </si>
  <si>
    <t>CUST091</t>
  </si>
  <si>
    <t xml:space="preserve"> Ella Byrne </t>
  </si>
  <si>
    <t>Product Name</t>
  </si>
  <si>
    <t>Kevin Barrett</t>
  </si>
  <si>
    <t>Total Orders</t>
  </si>
  <si>
    <t>ORD0035</t>
  </si>
  <si>
    <t>katie nolan</t>
  </si>
  <si>
    <t>ORD0036</t>
  </si>
  <si>
    <t>Hannah Roche</t>
  </si>
  <si>
    <t>CUST099</t>
  </si>
  <si>
    <t>35</t>
  </si>
  <si>
    <t>CUST063</t>
  </si>
  <si>
    <t>Jack Power</t>
  </si>
  <si>
    <t>ORD0037</t>
  </si>
  <si>
    <t>CUST064</t>
  </si>
  <si>
    <t>Chloe Ryan</t>
  </si>
  <si>
    <t>Cork</t>
  </si>
  <si>
    <t>27</t>
  </si>
  <si>
    <t>CUST065</t>
  </si>
  <si>
    <t>Megan  Keane</t>
  </si>
  <si>
    <t>ORD0038</t>
  </si>
  <si>
    <t>Luke Power</t>
  </si>
  <si>
    <t>13</t>
  </si>
  <si>
    <t>CUST067</t>
  </si>
  <si>
    <t>Comp leted</t>
  </si>
  <si>
    <t>Orla Nolan</t>
  </si>
  <si>
    <t>LOUTH</t>
  </si>
  <si>
    <t>ORD0039</t>
  </si>
  <si>
    <t>Question 12- Customer Behaviour</t>
  </si>
  <si>
    <t>CUST068</t>
  </si>
  <si>
    <t>Emma Nolan</t>
  </si>
  <si>
    <t>CUST069</t>
  </si>
  <si>
    <t>Ella Lynch</t>
  </si>
  <si>
    <t xml:space="preserve"> Sligo</t>
  </si>
  <si>
    <t>ORD0040</t>
  </si>
  <si>
    <t>CUST070</t>
  </si>
  <si>
    <t>CUST077</t>
  </si>
  <si>
    <t>Luke Connolly</t>
  </si>
  <si>
    <t>48</t>
  </si>
  <si>
    <t>CUST071</t>
  </si>
  <si>
    <t>ORD0041</t>
  </si>
  <si>
    <t>Rebecca Nolan</t>
  </si>
  <si>
    <t>offaly</t>
  </si>
  <si>
    <t>John Farrell</t>
  </si>
  <si>
    <t>Mayo</t>
  </si>
  <si>
    <t>ORD0042</t>
  </si>
  <si>
    <t>CUST073</t>
  </si>
  <si>
    <t>Leah Quinn</t>
  </si>
  <si>
    <t>32</t>
  </si>
  <si>
    <t>CUST074</t>
  </si>
  <si>
    <t>Total Qunatity</t>
  </si>
  <si>
    <t>ORD0043</t>
  </si>
  <si>
    <t xml:space="preserve"> David Connolly </t>
  </si>
  <si>
    <t>CUST075</t>
  </si>
  <si>
    <t>Clodagh Burke</t>
  </si>
  <si>
    <t>CUST076</t>
  </si>
  <si>
    <t>Eoin Quinn</t>
  </si>
  <si>
    <t>ORD0044</t>
  </si>
  <si>
    <t>CUST087</t>
  </si>
  <si>
    <t>Orla Barrett</t>
  </si>
  <si>
    <t>CUST078</t>
  </si>
  <si>
    <t>David Burke</t>
  </si>
  <si>
    <t>ORD0045</t>
  </si>
  <si>
    <t>CUST095</t>
  </si>
  <si>
    <t>Megan Fox</t>
  </si>
  <si>
    <t>ORD0046</t>
  </si>
  <si>
    <t>CUST080</t>
  </si>
  <si>
    <t>42</t>
  </si>
  <si>
    <t>Peter Ward</t>
  </si>
  <si>
    <t>OFFALY</t>
  </si>
  <si>
    <t>CUST081</t>
  </si>
  <si>
    <t>ORD0047</t>
  </si>
  <si>
    <t>Megan Roche</t>
  </si>
  <si>
    <t>Tomas McCarthy</t>
  </si>
  <si>
    <t>Grace Keane</t>
  </si>
  <si>
    <t>CUST084</t>
  </si>
  <si>
    <t>ORD0048</t>
  </si>
  <si>
    <t>Peter Finn</t>
  </si>
  <si>
    <t>Darragh Nolan</t>
  </si>
  <si>
    <t>CUST086</t>
  </si>
  <si>
    <t>David Brennan</t>
  </si>
  <si>
    <t>ORD0049</t>
  </si>
  <si>
    <t>Peter  Healy</t>
  </si>
  <si>
    <t xml:space="preserve">Waterford </t>
  </si>
  <si>
    <t>CUST088</t>
  </si>
  <si>
    <t>Question 16- Region Performance</t>
  </si>
  <si>
    <t>Adam Keane</t>
  </si>
  <si>
    <t>CUST089</t>
  </si>
  <si>
    <t xml:space="preserve"> Laura Barrett </t>
  </si>
  <si>
    <t>CUST090</t>
  </si>
  <si>
    <t>ORD0050</t>
  </si>
  <si>
    <t>Hannah Lynch</t>
  </si>
  <si>
    <t>Katie Fox</t>
  </si>
  <si>
    <t>ORD0051</t>
  </si>
  <si>
    <t>CUST092</t>
  </si>
  <si>
    <t>laura lynch</t>
  </si>
  <si>
    <t>30</t>
  </si>
  <si>
    <t xml:space="preserve">Chloe Maher	</t>
  </si>
  <si>
    <t>ORD0052</t>
  </si>
  <si>
    <t>Niamh Greene</t>
  </si>
  <si>
    <t>ORD0053</t>
  </si>
  <si>
    <t>Jessica Hayes</t>
  </si>
  <si>
    <t>39</t>
  </si>
  <si>
    <t>CUST096</t>
  </si>
  <si>
    <t>Patrick Quinn</t>
  </si>
  <si>
    <t>ORD0054</t>
  </si>
  <si>
    <t>Sean Brennan</t>
  </si>
  <si>
    <t>CUST098</t>
  </si>
  <si>
    <t>Jack Ward</t>
  </si>
  <si>
    <t>ORD0055</t>
  </si>
  <si>
    <t>Aoife Fox</t>
  </si>
  <si>
    <t>ORD0056</t>
  </si>
  <si>
    <t>David Lane</t>
  </si>
  <si>
    <t>ORD0057</t>
  </si>
  <si>
    <t>26</t>
  </si>
  <si>
    <t>ORD0058</t>
  </si>
  <si>
    <t>Question 13- What product is the most cancelled</t>
  </si>
  <si>
    <t>20</t>
  </si>
  <si>
    <t>ORD0059</t>
  </si>
  <si>
    <t>ORD0060</t>
  </si>
  <si>
    <t>Total Cancelled Orders</t>
  </si>
  <si>
    <t>ORD0061</t>
  </si>
  <si>
    <t>ORD0062</t>
  </si>
  <si>
    <t>ORD0063</t>
  </si>
  <si>
    <t>ORD0064</t>
  </si>
  <si>
    <t>7</t>
  </si>
  <si>
    <t>ORD0065</t>
  </si>
  <si>
    <t xml:space="preserve">Completed </t>
  </si>
  <si>
    <t>ORD0066</t>
  </si>
  <si>
    <t>19</t>
  </si>
  <si>
    <t>ORD0067</t>
  </si>
  <si>
    <t>ORD0068</t>
  </si>
  <si>
    <t>ORD0069</t>
  </si>
  <si>
    <t>ORD0070</t>
  </si>
  <si>
    <t>ORD0071</t>
  </si>
  <si>
    <t>ORD0072</t>
  </si>
  <si>
    <t>49</t>
  </si>
  <si>
    <t>ORD0073</t>
  </si>
  <si>
    <t>ORD0074</t>
  </si>
  <si>
    <t>ORD0075</t>
  </si>
  <si>
    <t>47</t>
  </si>
  <si>
    <t>ORD0076</t>
  </si>
  <si>
    <t>ORD0077</t>
  </si>
  <si>
    <t>ORD0078</t>
  </si>
  <si>
    <t>50</t>
  </si>
  <si>
    <t>ORD0079</t>
  </si>
  <si>
    <t>ORD0080</t>
  </si>
  <si>
    <t>Question 7- Product Category Performance</t>
  </si>
  <si>
    <t>ORD0081</t>
  </si>
  <si>
    <t>ORD0082</t>
  </si>
  <si>
    <t>Product category</t>
  </si>
  <si>
    <t>ORD0083</t>
  </si>
  <si>
    <t>ORD0084</t>
  </si>
  <si>
    <t>ORD0085</t>
  </si>
  <si>
    <t>ORD0086</t>
  </si>
  <si>
    <t>PROD  007</t>
  </si>
  <si>
    <t>ORD0087</t>
  </si>
  <si>
    <t>ORD0088</t>
  </si>
  <si>
    <t>28</t>
  </si>
  <si>
    <t>ORD0089</t>
  </si>
  <si>
    <t>ORD0090</t>
  </si>
  <si>
    <t>ORD0091</t>
  </si>
  <si>
    <t>ORD0092</t>
  </si>
  <si>
    <t>21</t>
  </si>
  <si>
    <t>ORD0093</t>
  </si>
  <si>
    <t>ORD0094</t>
  </si>
  <si>
    <t>ORD0095</t>
  </si>
  <si>
    <t>34</t>
  </si>
  <si>
    <t>ORD0096</t>
  </si>
  <si>
    <t>Question 8- Product performance</t>
  </si>
  <si>
    <t>ORD0097</t>
  </si>
  <si>
    <t>36</t>
  </si>
  <si>
    <t>ORD0098</t>
  </si>
  <si>
    <t>Question 17- Order Status</t>
  </si>
  <si>
    <t>ORD0099</t>
  </si>
  <si>
    <t>ORD0100</t>
  </si>
  <si>
    <t>Total Quantity Ordered</t>
  </si>
  <si>
    <t>Order Status</t>
  </si>
  <si>
    <t>ORD0101</t>
  </si>
  <si>
    <t>Total</t>
  </si>
  <si>
    <t>ORD0102</t>
  </si>
  <si>
    <t>ORD0103</t>
  </si>
  <si>
    <t>ORD0104</t>
  </si>
  <si>
    <t>ORD0105</t>
  </si>
  <si>
    <t>ORD0106</t>
  </si>
  <si>
    <t>ORD0107</t>
  </si>
  <si>
    <t>ORD0108</t>
  </si>
  <si>
    <t>ORD0109</t>
  </si>
  <si>
    <t>ORD0110</t>
  </si>
  <si>
    <t>Question 14- Region Performance</t>
  </si>
  <si>
    <t>ORD0111</t>
  </si>
  <si>
    <t>ORD0112</t>
  </si>
  <si>
    <t>14</t>
  </si>
  <si>
    <t>ORD0113</t>
  </si>
  <si>
    <t>ORD0114</t>
  </si>
  <si>
    <t>ORD0115</t>
  </si>
  <si>
    <t>Question 18</t>
  </si>
  <si>
    <t>ORD0116</t>
  </si>
  <si>
    <t>ORD0117</t>
  </si>
  <si>
    <t>ORD0118</t>
  </si>
  <si>
    <t>Yes/No</t>
  </si>
  <si>
    <t>17</t>
  </si>
  <si>
    <t>ORD0119</t>
  </si>
  <si>
    <t>ORD0120</t>
  </si>
  <si>
    <t>ORD0121</t>
  </si>
  <si>
    <t>25</t>
  </si>
  <si>
    <t>ORD0122</t>
  </si>
  <si>
    <t>ORD0123</t>
  </si>
  <si>
    <t>ORD0124</t>
  </si>
  <si>
    <t>ORD0125</t>
  </si>
  <si>
    <t>ORD0126</t>
  </si>
  <si>
    <t>Question 19</t>
  </si>
  <si>
    <t>ORD0127</t>
  </si>
  <si>
    <t>ORD0128</t>
  </si>
  <si>
    <t>ORD0129</t>
  </si>
  <si>
    <t>Order status</t>
  </si>
  <si>
    <t>ORD0130</t>
  </si>
  <si>
    <t>ORD0131</t>
  </si>
  <si>
    <t>ORD0132</t>
  </si>
  <si>
    <t>ORD0133</t>
  </si>
  <si>
    <t>ORD0134</t>
  </si>
  <si>
    <t>ORD0135</t>
  </si>
  <si>
    <t>ORD0136</t>
  </si>
  <si>
    <t>ORD0137</t>
  </si>
  <si>
    <t>ORD0138</t>
  </si>
  <si>
    <t>Question 20</t>
  </si>
  <si>
    <t>ORD0139</t>
  </si>
  <si>
    <t xml:space="preserve"> Pending</t>
  </si>
  <si>
    <t>ORD0140</t>
  </si>
  <si>
    <t>ORD0141</t>
  </si>
  <si>
    <t>ORD0142</t>
  </si>
  <si>
    <t>ORD0143</t>
  </si>
  <si>
    <t>ORD0144</t>
  </si>
  <si>
    <t>ORD0145</t>
  </si>
  <si>
    <t>ORD0146</t>
  </si>
  <si>
    <t>ORD0147</t>
  </si>
  <si>
    <t>ORD0148</t>
  </si>
  <si>
    <t>37</t>
  </si>
  <si>
    <t>ORD0149</t>
  </si>
  <si>
    <t>ORD0150</t>
  </si>
  <si>
    <t>ORD0151</t>
  </si>
  <si>
    <t>Question 9- Product Sales performance</t>
  </si>
  <si>
    <t>ORD0152</t>
  </si>
  <si>
    <t>ORD0153</t>
  </si>
  <si>
    <t>ORD0154</t>
  </si>
  <si>
    <t>ORD0155</t>
  </si>
  <si>
    <t>ORD0156</t>
  </si>
  <si>
    <t>ORD0157</t>
  </si>
  <si>
    <t>ORD0158</t>
  </si>
  <si>
    <t>Question 21</t>
  </si>
  <si>
    <t>ORD0159</t>
  </si>
  <si>
    <t xml:space="preserve"> Pen  ding</t>
  </si>
  <si>
    <t>ORD0160</t>
  </si>
  <si>
    <t>Revenue Category</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</si>
  <si>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</si>
  <si>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</si>
  <si>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</si>
  <si>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</si>
  <si>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</si>
  <si>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</si>
  <si>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</si>
  <si>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</si>
  <si>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</si>
  <si>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</si>
  <si>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</si>
  <si>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</si>
  <si>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</si>
  <si>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</si>
  <si>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</si>
  <si>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</si>
  <si>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</si>
  <si>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</si>
  <si>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</si>
  <si>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</si>
  <si>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</si>
  <si>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</si>
  <si>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</si>
  <si>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</si>
  <si>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</si>
  <si>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</si>
  <si>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</si>
  <si>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</si>
  <si>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</si>
  <si>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</si>
  <si>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</si>
  <si>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</si>
  <si>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</si>
  <si>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</si>
  <si>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</si>
  <si>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</si>
  <si>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</si>
  <si>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</si>
  <si>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</si>
  <si>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 xml:space="preserve"> Cancelled</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</si>
  <si>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</si>
  <si>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</si>
  <si>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</si>
  <si>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</si>
  <si>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</si>
  <si>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</si>
  <si>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</si>
  <si>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</si>
  <si>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</si>
  <si>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</si>
  <si>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</si>
  <si>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</si>
  <si>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</si>
  <si>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</si>
  <si>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</si>
  <si>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</si>
  <si>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</si>
  <si>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</si>
  <si>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</si>
  <si>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</si>
  <si>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</si>
  <si>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</si>
  <si>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</si>
  <si>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</si>
  <si>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</si>
  <si>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</si>
  <si>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</si>
  <si>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</si>
  <si>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</si>
  <si>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</si>
  <si>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</si>
  <si>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</si>
  <si>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</si>
  <si>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</si>
  <si>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</si>
  <si>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</si>
  <si>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</si>
  <si>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</si>
  <si>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</si>
  <si>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</si>
  <si>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</si>
  <si>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</si>
  <si>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</si>
  <si>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</si>
  <si>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</si>
  <si>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</si>
  <si>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Compl eted</t>
  </si>
  <si>
    <t>ORD0246</t>
  </si>
  <si>
    <t>ORD0247</t>
  </si>
  <si>
    <t>ORD0248</t>
  </si>
  <si>
    <t>ORD0249</t>
  </si>
  <si>
    <t>ORD0250</t>
  </si>
  <si>
    <t>ORD0010</t>
  </si>
  <si>
    <t>ORD0017</t>
  </si>
  <si>
    <t>Still Water</t>
  </si>
  <si>
    <t>Orange Soda</t>
  </si>
  <si>
    <t>Apple Juice</t>
  </si>
  <si>
    <t>Energy Boost</t>
  </si>
  <si>
    <t>Berry Splash</t>
  </si>
  <si>
    <t>Mango Juice</t>
  </si>
  <si>
    <t>Vitamin Water</t>
  </si>
  <si>
    <t>Peach Tea</t>
  </si>
  <si>
    <t>Spring Water</t>
  </si>
  <si>
    <t>Darragh Reilly</t>
  </si>
  <si>
    <t>Rebecca Mccarthy</t>
  </si>
  <si>
    <t>Michael Ryan</t>
  </si>
  <si>
    <t>Clodagh Mccarthy</t>
  </si>
  <si>
    <t>Sophie Quinn</t>
  </si>
  <si>
    <t>Rebecca Connolly</t>
  </si>
  <si>
    <t>Clodagh Finn</t>
  </si>
  <si>
    <t>Ella Mccarthy</t>
  </si>
  <si>
    <t>Sophie Mccarthy</t>
  </si>
  <si>
    <t>Ella Byrne</t>
  </si>
  <si>
    <t>Katie Nolan</t>
  </si>
  <si>
    <t>Megan Keane</t>
  </si>
  <si>
    <t>David Connolly</t>
  </si>
  <si>
    <t>Tomas Mccarthy</t>
  </si>
  <si>
    <t>Peter Healy</t>
  </si>
  <si>
    <t>Laura Barrett</t>
  </si>
  <si>
    <t>Laura Lynch</t>
  </si>
  <si>
    <t>Gross_Sales</t>
  </si>
  <si>
    <t>Total_Cost</t>
  </si>
  <si>
    <t>Total_Discount</t>
  </si>
  <si>
    <t>Profit</t>
  </si>
  <si>
    <t xml:space="preserve"> </t>
  </si>
  <si>
    <t>Count of Order_ID</t>
  </si>
  <si>
    <t>Sum of Quantity</t>
  </si>
  <si>
    <t>Row Labels</t>
  </si>
  <si>
    <t>Sum of Gross_Sales</t>
  </si>
  <si>
    <t>Sum of Total_Cost</t>
  </si>
  <si>
    <t>Sum of Profit</t>
  </si>
  <si>
    <t>Sum of Total_Discount</t>
  </si>
  <si>
    <t>Profit Margin</t>
  </si>
  <si>
    <t>Sum of Gross_Sales2</t>
  </si>
  <si>
    <t>Left</t>
  </si>
  <si>
    <t>Gap</t>
  </si>
  <si>
    <t>Right</t>
  </si>
  <si>
    <t>Customer Type</t>
  </si>
  <si>
    <t>Gross Sales</t>
  </si>
  <si>
    <t>Overal Cost</t>
  </si>
  <si>
    <t>Sum of Overal Cost</t>
  </si>
  <si>
    <t>Date Number</t>
  </si>
  <si>
    <t>Preferred Channel</t>
  </si>
  <si>
    <t>Gross sales</t>
  </si>
  <si>
    <t>GROSS SALES-TOTALCOST/GROSS SALES*100</t>
  </si>
  <si>
    <t>County by Channel — Gross Sales (EUR)</t>
  </si>
  <si>
    <t>YES</t>
  </si>
  <si>
    <t>NO</t>
  </si>
  <si>
    <t>COMPLETED</t>
  </si>
  <si>
    <t>NOT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</si>
</sst>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quot;"/>
    <numFmt numFmtId="165" formatCode="0.0"/>
  </numFmts>
  <fonts count="16">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quot;Aptos Narrow&quot;"/>
    </font>
    <font>
      <sz val="11"/>
      <color theme="1"/>
      <name val="Aptos Narrow"/>
      <family val="2"/>
      <scheme val="minor"/>
    </font>
    <font>
      <sz val="11"/>
      <color theme="1"/>
      <name val="Aptos Narrow"/>
      <family val="2"/>
    </font>
    <font>
      <sz val="11"/>
      <color rgb="FF000000"/>
      <name val="Arial"/>
      <family val="2"/>
    </font>
    <font>
      <b/>
      <sz val="12"/>
      <color rgb="FF000000"/>
      <name val="&quot;Aptos Narrow&quot;"/>
    </font>
    <font>
      <sz val="11"/>
      <name val="Aptos Narrow"/>
      <family val="2"/>
    </font>
    <font>
      <b/>
      <sz val="12"/>
      <color rgb="FF000000"/>
      <name val="Arial"/>
      <family val="2"/>
    </font>
    <font>
      <sz val="11"/>
      <color theme="1"/>
      <name val="Aptos Narrow"/>
      <scheme val="minor"/>
    </font>
    <font>
      <b/>
      <sz val="11"/>
      <color theme="1"/>
      <name val="Aptos Narrow"/>
      <family val="2"/>
      <scheme val="minor"/>
    </font>
    <font>
      <b/>
      <sz val="11"/>
      <color theme="1"/>
      <name val="Aptos Narrow"/>
      <scheme val="minor"/>
    </font>
    <font>
      <sz val="12"/>
      <color rgb="FF000000"/>
      <name val="&quot;Aptos Narrow&quot;"/>
    </font>
  </fonts>
  <fills count="8">
    <fill>
      <patternFill patternType="none"/>
    </fill>
    <fill>
      <patternFill patternType="gray125"/>
    </fill>
    <fill>
      <patternFill patternType="solid">
        <fgColor rgb="FFFFFFFF"/>
        <bgColor rgb="FFFFFFFF"/>
      </patternFill>
    </fill>
    <fill>
      <patternFill patternType="solid">
        <fgColor rgb="FFB3E5A1"/>
        <bgColor rgb="FFB3E5A1"/>
      </patternFill>
    </fill>
    <fill>
      <patternFill patternType="solid">
        <fgColor theme="0"/>
        <bgColor indexed="64"/>
      </patternFill>
    </fill>
    <fill>
      <patternFill patternType="solid">
        <fgColor theme="6" tint="0.59999389629810485"/>
        <bgColor rgb="FFF6C6AC"/>
      </patternFill>
    </fill>
    <fill>
      <patternFill patternType="solid">
        <fgColor theme="6" tint="0.59999389629810485"/>
        <bgColor indexed="64"/>
      </patternFill>
    </fill>
    <fill>
      <patternFill patternType="solid">
        <fgColor rgb="FF83E28E"/>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9" fontId="12" fillId="0" borderId="0" applyFont="0" applyFill="0" applyBorder="0" applyAlignment="0" applyProtection="0"/>
  </cellStyleXfs>
  <cellXfs count="54">
    <xf numFmtId="0" fontId="0" fillId="0" borderId="0" xfId="0"/>
    <xf numFmtId="0" fontId="5" fillId="0" borderId="0" xfId="0" applyFont="1"/>
    <xf numFmtId="0" fontId="6" fillId="0" borderId="0" xfId="0" applyFont="1"/>
    <xf numFmtId="0" fontId="5" fillId="2" borderId="0" xfId="0" applyFont="1" applyFill="1"/>
    <xf numFmtId="49" fontId="7" fillId="0" borderId="0" xfId="0" applyNumberFormat="1" applyFont="1"/>
    <xf numFmtId="49" fontId="6" fillId="0" borderId="0" xfId="0" applyNumberFormat="1" applyFont="1"/>
    <xf numFmtId="9" fontId="7" fillId="0" borderId="0" xfId="0" applyNumberFormat="1" applyFont="1"/>
    <xf numFmtId="0" fontId="8" fillId="0" borderId="0" xfId="0" applyFont="1"/>
    <xf numFmtId="0" fontId="9" fillId="3" borderId="1" xfId="0" applyFont="1" applyFill="1" applyBorder="1"/>
    <xf numFmtId="0" fontId="5" fillId="0" borderId="1" xfId="0" applyFont="1" applyBorder="1" applyAlignment="1">
      <alignment horizontal="right"/>
    </xf>
    <xf numFmtId="0" fontId="5" fillId="0" borderId="1" xfId="0" applyFont="1" applyBorder="1"/>
    <xf numFmtId="0" fontId="7" fillId="0" borderId="0" xfId="0" applyFont="1" applyAlignment="1">
      <alignment wrapText="1"/>
    </xf>
    <xf numFmtId="0" fontId="5" fillId="0" borderId="0" xfId="0" applyFont="1" applyAlignment="1">
      <alignment horizontal="center"/>
    </xf>
    <xf numFmtId="0" fontId="9" fillId="2" borderId="0" xfId="0" applyFont="1" applyFill="1"/>
    <xf numFmtId="0" fontId="9" fillId="2" borderId="1" xfId="0" applyFont="1" applyFill="1" applyBorder="1" applyAlignment="1">
      <alignment horizontal="right"/>
    </xf>
    <xf numFmtId="0" fontId="9" fillId="2" borderId="1" xfId="0" applyFont="1" applyFill="1" applyBorder="1"/>
    <xf numFmtId="0" fontId="5" fillId="2" borderId="1" xfId="0" applyFont="1" applyFill="1" applyBorder="1"/>
    <xf numFmtId="0" fontId="8" fillId="0" borderId="1" xfId="0" applyFont="1" applyBorder="1"/>
    <xf numFmtId="0" fontId="11" fillId="3" borderId="1" xfId="0" applyFont="1" applyFill="1" applyBorder="1"/>
    <xf numFmtId="0" fontId="4" fillId="0" borderId="0" xfId="0" applyFont="1"/>
    <xf numFmtId="14" fontId="6" fillId="0" borderId="0" xfId="0" applyNumberFormat="1" applyFont="1"/>
    <xf numFmtId="14" fontId="0" fillId="0" borderId="0" xfId="0" applyNumberFormat="1"/>
    <xf numFmtId="2" fontId="7" fillId="0" borderId="0" xfId="0" applyNumberFormat="1" applyFont="1"/>
    <xf numFmtId="2" fontId="0" fillId="0" borderId="0" xfId="0" applyNumberFormat="1"/>
    <xf numFmtId="0" fontId="3" fillId="0" borderId="0" xfId="0" applyFont="1"/>
    <xf numFmtId="0" fontId="0" fillId="0" borderId="0" xfId="0" applyAlignment="1">
      <alignment horizontal="left"/>
    </xf>
    <xf numFmtId="9" fontId="0" fillId="0" borderId="0" xfId="1" applyFont="1"/>
    <xf numFmtId="165" fontId="0" fillId="0" borderId="0" xfId="0" applyNumberFormat="1"/>
    <xf numFmtId="0" fontId="2" fillId="0" borderId="0" xfId="0" applyFont="1"/>
    <xf numFmtId="0" fontId="9" fillId="3" borderId="1" xfId="0" applyFont="1" applyFill="1" applyBorder="1" applyAlignment="1">
      <alignment horizontal="left"/>
    </xf>
    <xf numFmtId="0" fontId="13" fillId="0" borderId="0" xfId="0" applyFont="1"/>
    <xf numFmtId="0" fontId="5" fillId="5" borderId="0" xfId="0" applyFont="1" applyFill="1" applyAlignment="1">
      <alignment horizontal="right"/>
    </xf>
    <xf numFmtId="164" fontId="5" fillId="5" borderId="0" xfId="0" applyNumberFormat="1" applyFont="1" applyFill="1" applyAlignment="1">
      <alignment horizontal="right"/>
    </xf>
    <xf numFmtId="2" fontId="5" fillId="5" borderId="0" xfId="0" applyNumberFormat="1" applyFont="1" applyFill="1" applyAlignment="1">
      <alignment horizontal="right"/>
    </xf>
    <xf numFmtId="0" fontId="0" fillId="6" borderId="0" xfId="0" applyFill="1"/>
    <xf numFmtId="0" fontId="13" fillId="6" borderId="0" xfId="0" applyFont="1" applyFill="1"/>
    <xf numFmtId="0" fontId="1" fillId="0" borderId="0" xfId="0" applyFont="1"/>
    <xf numFmtId="0" fontId="0" fillId="4" borderId="0" xfId="0" applyFill="1"/>
    <xf numFmtId="0" fontId="14" fillId="0" borderId="0" xfId="0" applyFont="1"/>
    <xf numFmtId="0" fontId="14" fillId="7" borderId="0" xfId="0" applyFont="1" applyFill="1"/>
    <xf numFmtId="0" fontId="15" fillId="2" borderId="1" xfId="0" applyFont="1" applyFill="1" applyBorder="1" applyAlignment="1">
      <alignment horizontal="right"/>
    </xf>
    <xf numFmtId="0" fontId="5" fillId="0" borderId="5" xfId="0" applyFont="1" applyBorder="1" applyAlignment="1">
      <alignment horizontal="right"/>
    </xf>
    <xf numFmtId="0" fontId="5" fillId="0" borderId="6" xfId="0" applyFont="1" applyBorder="1" applyAlignment="1">
      <alignment horizontal="right"/>
    </xf>
    <xf numFmtId="0" fontId="9" fillId="3" borderId="7" xfId="0" applyFont="1" applyFill="1" applyBorder="1"/>
    <xf numFmtId="0" fontId="5" fillId="0" borderId="8" xfId="0" applyFont="1" applyBorder="1"/>
    <xf numFmtId="0" fontId="0" fillId="0" borderId="4" xfId="0" applyBorder="1"/>
    <xf numFmtId="0" fontId="8" fillId="0" borderId="0" xfId="0" applyFont="1"/>
    <xf numFmtId="0" fontId="0" fillId="0" borderId="0" xfId="0"/>
    <xf numFmtId="0" fontId="5" fillId="0" borderId="0" xfId="0" applyFont="1"/>
    <xf numFmtId="0" fontId="5" fillId="0" borderId="2" xfId="0" applyFont="1" applyBorder="1"/>
    <xf numFmtId="0" fontId="10" fillId="0" borderId="3" xfId="0" applyFont="1" applyBorder="1"/>
    <xf numFmtId="0" fontId="13" fillId="6" borderId="0" xfId="0" applyFont="1" applyFill="1" applyAlignment="1">
      <alignment horizontal="center"/>
    </xf>
    <xf numFmtId="0" fontId="13" fillId="0" borderId="0" xfId="0" applyFont="1" applyAlignment="1">
      <alignment horizontal="center"/>
    </xf>
    <xf numFmtId="0" fontId="0" fillId="0" borderId="0" xfId="0" applyNumberFormat="1"/>
  </cellXfs>
  <cellStyles count="2">
    <cellStyle name="Normal" xfId="0" builtinId="0"/>
    <cellStyle name="Per cent" xfId="1" builtinId="5"/>
  </cellStyles>
  <dxfs count="296">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numFmt numFmtId="165" formatCode="0.0"/>
    </dxf>
    <dxf>
      <fill>
        <patternFill patternType="solid">
          <bgColor theme="6" tint="0.79998168889431442"/>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patternType="solid">
          <bgColor theme="6" tint="0.79998168889431442"/>
        </patternFill>
      </fill>
    </dxf>
    <dxf>
      <fill>
        <patternFill patternType="solid">
          <bgColor theme="6" tint="0.59999389629810485"/>
        </patternFill>
      </fill>
    </dxf>
    <dxf>
      <fill>
        <patternFill patternType="solid">
          <bgColor theme="6" tint="0.59999389629810485"/>
        </patternFill>
      </fill>
    </dxf>
    <dxf>
      <numFmt numFmtId="165" formatCode="0.0"/>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0.0"/>
    </dxf>
    <dxf>
      <fill>
        <patternFill patternType="solid">
          <bgColor theme="6" tint="0.59999389629810485"/>
        </patternFill>
      </fill>
    </dxf>
    <dxf>
      <fill>
        <patternFill patternType="solid">
          <bgColor theme="6" tint="0.599993896298104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9" formatCode="dd/mm/yyyy"/>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numFmt numFmtId="2" formatCode="0.00"/>
    </dxf>
    <dxf>
      <numFmt numFmtId="2" formatCode="0.00"/>
    </dxf>
    <dxf>
      <font>
        <b/>
        <i val="0"/>
        <color theme="6" tint="0.79998168889431442"/>
      </font>
      <fill>
        <patternFill>
          <bgColor theme="6" tint="-0.499984740745262"/>
        </patternFill>
      </fill>
    </dxf>
  </dxfs>
  <tableStyles count="1" defaultTableStyle="TableStyleMedium2" defaultPivotStyle="PivotStyleLight16">
    <tableStyle name="Slicer Style 1" pivot="0" table="0" count="4" xr9:uid="{84E80528-627F-4B5F-8F8A-46016C1EAA82}">
      <tableStyleElement type="wholeTable" dxfId="295"/>
    </tableStyle>
  </tableStyles>
  <extLst>
    <ext xmlns:x14="http://schemas.microsoft.com/office/spreadsheetml/2009/9/main" uri="{46F421CA-312F-682f-3DD2-61675219B42D}">
      <x14:dxfs count="3">
        <dxf>
          <font>
            <b val="0"/>
            <i/>
          </font>
          <fill>
            <patternFill>
              <bgColor theme="1" tint="0.499984740745262"/>
            </patternFill>
          </fill>
        </dxf>
        <dxf>
          <font>
            <b/>
            <i/>
            <color theme="6" tint="-0.499984740745262"/>
          </font>
          <fill>
            <patternFill>
              <bgColor theme="6" tint="0.79998168889431442"/>
            </patternFill>
          </fill>
        </dxf>
        <dxf>
          <font>
            <b val="0"/>
            <i val="0"/>
            <color theme="6" tint="-0.499984740745262"/>
          </font>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Project.xlsx]Pivot Table!PivotTable2</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a:solidFill>
                  <a:schemeClr val="accent3">
                    <a:lumMod val="75000"/>
                  </a:schemeClr>
                </a:solidFill>
              </a:rPr>
              <a:t>GROSS</a:t>
            </a:r>
            <a:r>
              <a:rPr lang="en-GB" sz="1200" b="1" baseline="0">
                <a:solidFill>
                  <a:schemeClr val="accent3">
                    <a:lumMod val="75000"/>
                  </a:schemeClr>
                </a:solidFill>
              </a:rPr>
              <a:t> SALES BY DAY</a:t>
            </a:r>
            <a:endParaRPr lang="en-GB" sz="1200" b="1">
              <a:solidFill>
                <a:schemeClr val="accent3">
                  <a:lumMod val="75000"/>
                </a:schemeClr>
              </a:solidFill>
            </a:endParaRPr>
          </a:p>
        </c:rich>
      </c:tx>
      <c:layout>
        <c:manualLayout>
          <c:xMode val="edge"/>
          <c:yMode val="edge"/>
          <c:x val="0.66848069401290566"/>
          <c:y val="4.8637899455504459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7000">
                <a:schemeClr val="accent3">
                  <a:lumMod val="5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3">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Table'!$B$7</c:f>
              <c:strCache>
                <c:ptCount val="1"/>
                <c:pt idx="0">
                  <c:v>Sum of Gross_Sales</c:v>
                </c:pt>
              </c:strCache>
            </c:strRef>
          </c:tx>
          <c:spPr>
            <a:gradFill>
              <a:gsLst>
                <a:gs pos="47000">
                  <a:schemeClr val="accent3">
                    <a:lumMod val="50000"/>
                  </a:schemeClr>
                </a:gs>
                <a:gs pos="100000">
                  <a:schemeClr val="tx1">
                    <a:lumMod val="95000"/>
                    <a:lumOff val="5000"/>
                  </a:schemeClr>
                </a:gs>
              </a:gsLst>
              <a:lin ang="5400000" scaled="1"/>
            </a:gradFill>
            <a:ln>
              <a:noFill/>
            </a:ln>
            <a:effectLst/>
          </c:spPr>
          <c:cat>
            <c:strRef>
              <c:f>'Pivot Table'!$A$8:$A$37</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'Pivot Table'!$B$8:$B$37</c:f>
              <c:numCache>
                <c:formatCode>General</c:formatCode>
                <c:ptCount val="30"/>
                <c:pt idx="0">
                  <c:v>334.2</c:v>
                </c:pt>
                <c:pt idx="1">
                  <c:v>270.60000000000002</c:v>
                </c:pt>
                <c:pt idx="2">
                  <c:v>115.5</c:v>
                </c:pt>
                <c:pt idx="3">
                  <c:v>409.2</c:v>
                </c:pt>
                <c:pt idx="4">
                  <c:v>481.09999999999997</c:v>
                </c:pt>
                <c:pt idx="5">
                  <c:v>537.20000000000005</c:v>
                </c:pt>
                <c:pt idx="6">
                  <c:v>484.59999999999997</c:v>
                </c:pt>
                <c:pt idx="7">
                  <c:v>391.70000000000005</c:v>
                </c:pt>
                <c:pt idx="8">
                  <c:v>359.09999999999991</c:v>
                </c:pt>
                <c:pt idx="9">
                  <c:v>560.79999999999995</c:v>
                </c:pt>
                <c:pt idx="10">
                  <c:v>424.3</c:v>
                </c:pt>
                <c:pt idx="11">
                  <c:v>745.8</c:v>
                </c:pt>
                <c:pt idx="12">
                  <c:v>370.79999999999995</c:v>
                </c:pt>
                <c:pt idx="13">
                  <c:v>385.9</c:v>
                </c:pt>
                <c:pt idx="14">
                  <c:v>503.1</c:v>
                </c:pt>
                <c:pt idx="15">
                  <c:v>333.4</c:v>
                </c:pt>
                <c:pt idx="16">
                  <c:v>599.6</c:v>
                </c:pt>
                <c:pt idx="17">
                  <c:v>369.20000000000005</c:v>
                </c:pt>
                <c:pt idx="18">
                  <c:v>310</c:v>
                </c:pt>
                <c:pt idx="19">
                  <c:v>541.80000000000007</c:v>
                </c:pt>
                <c:pt idx="20">
                  <c:v>410.2</c:v>
                </c:pt>
                <c:pt idx="21">
                  <c:v>243.4</c:v>
                </c:pt>
                <c:pt idx="22">
                  <c:v>257.60000000000002</c:v>
                </c:pt>
                <c:pt idx="23">
                  <c:v>556.79999999999995</c:v>
                </c:pt>
                <c:pt idx="24">
                  <c:v>607</c:v>
                </c:pt>
                <c:pt idx="25">
                  <c:v>296.90000000000003</c:v>
                </c:pt>
                <c:pt idx="26">
                  <c:v>211.6</c:v>
                </c:pt>
                <c:pt idx="27">
                  <c:v>590.4</c:v>
                </c:pt>
                <c:pt idx="28">
                  <c:v>686.9</c:v>
                </c:pt>
                <c:pt idx="29">
                  <c:v>571.79999999999995</c:v>
                </c:pt>
              </c:numCache>
            </c:numRef>
          </c:val>
          <c:extLst>
            <c:ext xmlns:c16="http://schemas.microsoft.com/office/drawing/2014/chart" uri="{C3380CC4-5D6E-409C-BE32-E72D297353CC}">
              <c16:uniqueId val="{00000000-996D-440C-8A50-45D89562875F}"/>
            </c:ext>
          </c:extLst>
        </c:ser>
        <c:dLbls>
          <c:showLegendKey val="0"/>
          <c:showVal val="0"/>
          <c:showCatName val="0"/>
          <c:showSerName val="0"/>
          <c:showPercent val="0"/>
          <c:showBubbleSize val="0"/>
        </c:dLbls>
        <c:axId val="1208788480"/>
        <c:axId val="1151178032"/>
      </c:areaChart>
      <c:lineChart>
        <c:grouping val="standard"/>
        <c:varyColors val="0"/>
        <c:ser>
          <c:idx val="1"/>
          <c:order val="1"/>
          <c:tx>
            <c:strRef>
              <c:f>'Pivot Table'!$C$7</c:f>
              <c:strCache>
                <c:ptCount val="1"/>
                <c:pt idx="0">
                  <c:v>Sum of Gross_Sales2</c:v>
                </c:pt>
              </c:strCache>
            </c:strRef>
          </c:tx>
          <c:spPr>
            <a:ln w="15875" cap="rnd">
              <a:solidFill>
                <a:schemeClr val="accent3">
                  <a:lumMod val="20000"/>
                  <a:lumOff val="80000"/>
                </a:schemeClr>
              </a:solidFill>
              <a:round/>
            </a:ln>
            <a:effectLst/>
          </c:spPr>
          <c:marker>
            <c:symbol val="none"/>
          </c:marker>
          <c:errBars>
            <c:errDir val="y"/>
            <c:errBarType val="both"/>
            <c:errValType val="stdErr"/>
            <c:noEndCap val="1"/>
            <c:spPr>
              <a:noFill/>
              <a:ln w="22225" cap="flat" cmpd="sng" algn="ctr">
                <a:solidFill>
                  <a:schemeClr val="bg2"/>
                </a:solidFill>
                <a:round/>
              </a:ln>
              <a:effectLst/>
            </c:spPr>
          </c:errBars>
          <c:cat>
            <c:strRef>
              <c:f>'Pivot Table'!$A$8:$A$37</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'Pivot Table'!$C$8:$C$37</c:f>
              <c:numCache>
                <c:formatCode>General</c:formatCode>
                <c:ptCount val="30"/>
                <c:pt idx="0">
                  <c:v>334.2</c:v>
                </c:pt>
                <c:pt idx="1">
                  <c:v>270.60000000000002</c:v>
                </c:pt>
                <c:pt idx="2">
                  <c:v>115.5</c:v>
                </c:pt>
                <c:pt idx="3">
                  <c:v>409.2</c:v>
                </c:pt>
                <c:pt idx="4">
                  <c:v>481.09999999999997</c:v>
                </c:pt>
                <c:pt idx="5">
                  <c:v>537.20000000000005</c:v>
                </c:pt>
                <c:pt idx="6">
                  <c:v>484.59999999999997</c:v>
                </c:pt>
                <c:pt idx="7">
                  <c:v>391.70000000000005</c:v>
                </c:pt>
                <c:pt idx="8">
                  <c:v>359.09999999999991</c:v>
                </c:pt>
                <c:pt idx="9">
                  <c:v>560.79999999999995</c:v>
                </c:pt>
                <c:pt idx="10">
                  <c:v>424.3</c:v>
                </c:pt>
                <c:pt idx="11">
                  <c:v>745.8</c:v>
                </c:pt>
                <c:pt idx="12">
                  <c:v>370.79999999999995</c:v>
                </c:pt>
                <c:pt idx="13">
                  <c:v>385.9</c:v>
                </c:pt>
                <c:pt idx="14">
                  <c:v>503.1</c:v>
                </c:pt>
                <c:pt idx="15">
                  <c:v>333.4</c:v>
                </c:pt>
                <c:pt idx="16">
                  <c:v>599.6</c:v>
                </c:pt>
                <c:pt idx="17">
                  <c:v>369.20000000000005</c:v>
                </c:pt>
                <c:pt idx="18">
                  <c:v>310</c:v>
                </c:pt>
                <c:pt idx="19">
                  <c:v>541.80000000000007</c:v>
                </c:pt>
                <c:pt idx="20">
                  <c:v>410.2</c:v>
                </c:pt>
                <c:pt idx="21">
                  <c:v>243.4</c:v>
                </c:pt>
                <c:pt idx="22">
                  <c:v>257.60000000000002</c:v>
                </c:pt>
                <c:pt idx="23">
                  <c:v>556.79999999999995</c:v>
                </c:pt>
                <c:pt idx="24">
                  <c:v>607</c:v>
                </c:pt>
                <c:pt idx="25">
                  <c:v>296.90000000000003</c:v>
                </c:pt>
                <c:pt idx="26">
                  <c:v>211.6</c:v>
                </c:pt>
                <c:pt idx="27">
                  <c:v>590.4</c:v>
                </c:pt>
                <c:pt idx="28">
                  <c:v>686.9</c:v>
                </c:pt>
                <c:pt idx="29">
                  <c:v>571.79999999999995</c:v>
                </c:pt>
              </c:numCache>
            </c:numRef>
          </c:val>
          <c:smooth val="1"/>
          <c:extLst>
            <c:ext xmlns:c16="http://schemas.microsoft.com/office/drawing/2014/chart" uri="{C3380CC4-5D6E-409C-BE32-E72D297353CC}">
              <c16:uniqueId val="{00000001-996D-440C-8A50-45D89562875F}"/>
            </c:ext>
          </c:extLst>
        </c:ser>
        <c:dLbls>
          <c:showLegendKey val="0"/>
          <c:showVal val="0"/>
          <c:showCatName val="0"/>
          <c:showSerName val="0"/>
          <c:showPercent val="0"/>
          <c:showBubbleSize val="0"/>
        </c:dLbls>
        <c:marker val="1"/>
        <c:smooth val="0"/>
        <c:axId val="1208788480"/>
        <c:axId val="1151178032"/>
      </c:lineChart>
      <c:catAx>
        <c:axId val="12087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151178032"/>
        <c:crosses val="autoZero"/>
        <c:auto val="1"/>
        <c:lblAlgn val="ctr"/>
        <c:lblOffset val="100"/>
        <c:noMultiLvlLbl val="0"/>
      </c:catAx>
      <c:valAx>
        <c:axId val="1151178032"/>
        <c:scaling>
          <c:orientation val="minMax"/>
        </c:scaling>
        <c:delete val="1"/>
        <c:axPos val="l"/>
        <c:numFmt formatCode="General" sourceLinked="1"/>
        <c:majorTickMark val="none"/>
        <c:minorTickMark val="none"/>
        <c:tickLblPos val="nextTo"/>
        <c:crossAx val="120878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baseline="0"/>
              <a:t>GROSS SALES</a:t>
            </a:r>
            <a:r>
              <a:rPr lang="en-GB" sz="1200" b="1" i="0" u="none" strike="noStrike" kern="1200" spc="0" baseline="0">
                <a:solidFill>
                  <a:srgbClr val="000000">
                    <a:lumMod val="65000"/>
                    <a:lumOff val="35000"/>
                  </a:srgbClr>
                </a:solidFill>
              </a:rPr>
              <a:t> BY SALES CHANNEL</a:t>
            </a:r>
            <a:endParaRPr lang="en-GB" sz="1200" b="1"/>
          </a:p>
        </c:rich>
      </c:tx>
      <c:layout>
        <c:manualLayout>
          <c:xMode val="edge"/>
          <c:yMode val="edge"/>
          <c:x val="0.50237469774864252"/>
          <c:y val="2.0205456550996995E-2"/>
        </c:manualLayout>
      </c:layout>
      <c:overlay val="0"/>
      <c:spPr>
        <a:solidFill>
          <a:schemeClr val="accent3">
            <a:lumMod val="20000"/>
            <a:lumOff val="80000"/>
          </a:schemeClr>
        </a:solidFill>
        <a:ln>
          <a:noFill/>
        </a:ln>
        <a:effectLst/>
      </c:spPr>
    </c:title>
    <c:autoTitleDeleted val="0"/>
    <c:plotArea>
      <c:layout>
        <c:manualLayout>
          <c:layoutTarget val="inner"/>
          <c:xMode val="edge"/>
          <c:yMode val="edge"/>
          <c:x val="0.22526181102362208"/>
          <c:y val="0.14269937078723643"/>
          <c:w val="0.5494765966754156"/>
          <c:h val="0.80443394867032769"/>
        </c:manualLayout>
      </c:layout>
      <c:doughnutChart>
        <c:varyColors val="1"/>
        <c:ser>
          <c:idx val="7"/>
          <c:order val="0"/>
          <c:spPr>
            <a:ln>
              <a:noFill/>
            </a:ln>
          </c:spPr>
          <c:dPt>
            <c:idx val="0"/>
            <c:bubble3D val="0"/>
            <c:spPr>
              <a:solidFill>
                <a:schemeClr val="accent3">
                  <a:lumMod val="40000"/>
                  <a:lumOff val="60000"/>
                </a:schemeClr>
              </a:solidFill>
              <a:ln w="19050">
                <a:noFill/>
              </a:ln>
              <a:effectLst/>
            </c:spPr>
            <c:extLst>
              <c:ext xmlns:c16="http://schemas.microsoft.com/office/drawing/2014/chart" uri="{C3380CC4-5D6E-409C-BE32-E72D297353CC}">
                <c16:uniqueId val="{00000001-EC88-4AA8-B57F-52DFEAD26F9D}"/>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EC88-4AA8-B57F-52DFEAD26F9D}"/>
              </c:ext>
            </c:extLst>
          </c:dPt>
          <c:dPt>
            <c:idx val="2"/>
            <c:bubble3D val="0"/>
            <c:spPr>
              <a:solidFill>
                <a:schemeClr val="accent3">
                  <a:lumMod val="75000"/>
                </a:schemeClr>
              </a:solidFill>
              <a:ln w="19050">
                <a:noFill/>
              </a:ln>
              <a:effectLst/>
            </c:spPr>
            <c:extLst>
              <c:ext xmlns:c16="http://schemas.microsoft.com/office/drawing/2014/chart" uri="{C3380CC4-5D6E-409C-BE32-E72D297353CC}">
                <c16:uniqueId val="{00000005-EC88-4AA8-B57F-52DFEAD26F9D}"/>
              </c:ext>
            </c:extLst>
          </c:dPt>
          <c:dPt>
            <c:idx val="3"/>
            <c:bubble3D val="0"/>
            <c:spPr>
              <a:solidFill>
                <a:schemeClr val="accent3">
                  <a:lumMod val="50000"/>
                </a:schemeClr>
              </a:solidFill>
              <a:ln w="19050">
                <a:noFill/>
              </a:ln>
              <a:effectLst/>
            </c:spPr>
            <c:extLst>
              <c:ext xmlns:c16="http://schemas.microsoft.com/office/drawing/2014/chart" uri="{C3380CC4-5D6E-409C-BE32-E72D297353CC}">
                <c16:uniqueId val="{00000007-EC88-4AA8-B57F-52DFEAD26F9D}"/>
              </c:ext>
            </c:extLst>
          </c:dPt>
          <c:dPt>
            <c:idx val="4"/>
            <c:bubble3D val="0"/>
            <c:spPr>
              <a:solidFill>
                <a:schemeClr val="accent3">
                  <a:lumMod val="20000"/>
                  <a:lumOff val="80000"/>
                </a:schemeClr>
              </a:solidFill>
              <a:ln w="19050">
                <a:noFill/>
              </a:ln>
              <a:effectLst/>
            </c:spPr>
            <c:extLst>
              <c:ext xmlns:c16="http://schemas.microsoft.com/office/drawing/2014/chart" uri="{C3380CC4-5D6E-409C-BE32-E72D297353CC}">
                <c16:uniqueId val="{00000009-EC88-4AA8-B57F-52DFEAD26F9D}"/>
              </c:ext>
            </c:extLst>
          </c:dPt>
          <c:cat>
            <c:strRef>
              <c:f>'Pivot Table'!$C$64:$C$68</c:f>
              <c:strCache>
                <c:ptCount val="5"/>
                <c:pt idx="0">
                  <c:v>Distributor</c:v>
                </c:pt>
                <c:pt idx="1">
                  <c:v>Email</c:v>
                </c:pt>
                <c:pt idx="2">
                  <c:v>Online</c:v>
                </c:pt>
                <c:pt idx="3">
                  <c:v>Phone</c:v>
                </c:pt>
                <c:pt idx="4">
                  <c:v>Sales Rep</c:v>
                </c:pt>
              </c:strCache>
            </c:strRef>
          </c:cat>
          <c:val>
            <c:numRef>
              <c:f>'Pivot Table'!$D$64:$D$68</c:f>
              <c:numCache>
                <c:formatCode>General</c:formatCode>
                <c:ptCount val="5"/>
                <c:pt idx="0">
                  <c:v>2050.3999999999996</c:v>
                </c:pt>
                <c:pt idx="1">
                  <c:v>1961</c:v>
                </c:pt>
                <c:pt idx="2">
                  <c:v>2386.0000000000005</c:v>
                </c:pt>
                <c:pt idx="3">
                  <c:v>4773.3000000000011</c:v>
                </c:pt>
                <c:pt idx="4">
                  <c:v>1789.8</c:v>
                </c:pt>
              </c:numCache>
            </c:numRef>
          </c:val>
          <c:extLst>
            <c:ext xmlns:c16="http://schemas.microsoft.com/office/drawing/2014/chart" uri="{C3380CC4-5D6E-409C-BE32-E72D297353CC}">
              <c16:uniqueId val="{0000000A-EC88-4AA8-B57F-52DFEAD26F9D}"/>
            </c:ext>
          </c:extLst>
        </c:ser>
        <c:ser>
          <c:idx val="2"/>
          <c:order val="1"/>
          <c:dPt>
            <c:idx val="0"/>
            <c:bubble3D val="0"/>
            <c:spPr>
              <a:solidFill>
                <a:schemeClr val="accent3">
                  <a:lumMod val="40000"/>
                  <a:lumOff val="60000"/>
                </a:schemeClr>
              </a:solidFill>
            </c:spPr>
            <c:extLst>
              <c:ext xmlns:c16="http://schemas.microsoft.com/office/drawing/2014/chart" uri="{C3380CC4-5D6E-409C-BE32-E72D297353CC}">
                <c16:uniqueId val="{0000000C-EC88-4AA8-B57F-52DFEAD26F9D}"/>
              </c:ext>
            </c:extLst>
          </c:dPt>
          <c:dPt>
            <c:idx val="1"/>
            <c:bubble3D val="0"/>
            <c:spPr>
              <a:solidFill>
                <a:schemeClr val="accent3">
                  <a:lumMod val="60000"/>
                  <a:lumOff val="40000"/>
                </a:schemeClr>
              </a:solidFill>
            </c:spPr>
            <c:extLst>
              <c:ext xmlns:c16="http://schemas.microsoft.com/office/drawing/2014/chart" uri="{C3380CC4-5D6E-409C-BE32-E72D297353CC}">
                <c16:uniqueId val="{0000000E-EC88-4AA8-B57F-52DFEAD26F9D}"/>
              </c:ext>
            </c:extLst>
          </c:dPt>
          <c:dPt>
            <c:idx val="2"/>
            <c:bubble3D val="0"/>
            <c:spPr>
              <a:noFill/>
            </c:spPr>
            <c:extLst>
              <c:ext xmlns:c16="http://schemas.microsoft.com/office/drawing/2014/chart" uri="{C3380CC4-5D6E-409C-BE32-E72D297353CC}">
                <c16:uniqueId val="{00000010-EC88-4AA8-B57F-52DFEAD26F9D}"/>
              </c:ext>
            </c:extLst>
          </c:dPt>
          <c:dPt>
            <c:idx val="3"/>
            <c:bubble3D val="0"/>
            <c:spPr>
              <a:solidFill>
                <a:schemeClr val="accent3">
                  <a:lumMod val="50000"/>
                </a:schemeClr>
              </a:solidFill>
            </c:spPr>
            <c:extLst>
              <c:ext xmlns:c16="http://schemas.microsoft.com/office/drawing/2014/chart" uri="{C3380CC4-5D6E-409C-BE32-E72D297353CC}">
                <c16:uniqueId val="{00000012-EC88-4AA8-B57F-52DFEAD26F9D}"/>
              </c:ext>
            </c:extLst>
          </c:dPt>
          <c:dPt>
            <c:idx val="4"/>
            <c:bubble3D val="0"/>
            <c:spPr>
              <a:solidFill>
                <a:schemeClr val="accent3">
                  <a:lumMod val="20000"/>
                  <a:lumOff val="80000"/>
                </a:schemeClr>
              </a:solidFill>
            </c:spPr>
            <c:extLst>
              <c:ext xmlns:c16="http://schemas.microsoft.com/office/drawing/2014/chart" uri="{C3380CC4-5D6E-409C-BE32-E72D297353CC}">
                <c16:uniqueId val="{00000014-EC88-4AA8-B57F-52DFEAD26F9D}"/>
              </c:ext>
            </c:extLst>
          </c:dPt>
          <c:cat>
            <c:strRef>
              <c:f>'Pivot Table'!$C$64:$C$68</c:f>
              <c:strCache>
                <c:ptCount val="5"/>
                <c:pt idx="0">
                  <c:v>Distributor</c:v>
                </c:pt>
                <c:pt idx="1">
                  <c:v>Email</c:v>
                </c:pt>
                <c:pt idx="2">
                  <c:v>Online</c:v>
                </c:pt>
                <c:pt idx="3">
                  <c:v>Phone</c:v>
                </c:pt>
                <c:pt idx="4">
                  <c:v>Sales Rep</c:v>
                </c:pt>
              </c:strCache>
            </c:strRef>
          </c:cat>
          <c:val>
            <c:numRef>
              <c:f>'Pivot Table'!$D$64:$D$68</c:f>
              <c:numCache>
                <c:formatCode>General</c:formatCode>
                <c:ptCount val="5"/>
                <c:pt idx="0">
                  <c:v>2050.3999999999996</c:v>
                </c:pt>
                <c:pt idx="1">
                  <c:v>1961</c:v>
                </c:pt>
                <c:pt idx="2">
                  <c:v>2386.0000000000005</c:v>
                </c:pt>
                <c:pt idx="3">
                  <c:v>4773.3000000000011</c:v>
                </c:pt>
                <c:pt idx="4">
                  <c:v>1789.8</c:v>
                </c:pt>
              </c:numCache>
            </c:numRef>
          </c:val>
          <c:extLst>
            <c:ext xmlns:c16="http://schemas.microsoft.com/office/drawing/2014/chart" uri="{C3380CC4-5D6E-409C-BE32-E72D297353CC}">
              <c16:uniqueId val="{00000015-EC88-4AA8-B57F-52DFEAD26F9D}"/>
            </c:ext>
          </c:extLst>
        </c:ser>
        <c:ser>
          <c:idx val="3"/>
          <c:order val="2"/>
          <c:spPr>
            <a:ln>
              <a:noFill/>
            </a:ln>
          </c:spPr>
          <c:dPt>
            <c:idx val="0"/>
            <c:bubble3D val="0"/>
            <c:spPr>
              <a:solidFill>
                <a:schemeClr val="accent3">
                  <a:lumMod val="40000"/>
                  <a:lumOff val="60000"/>
                </a:schemeClr>
              </a:solidFill>
              <a:ln w="19050">
                <a:noFill/>
              </a:ln>
              <a:effectLst/>
            </c:spPr>
            <c:extLst>
              <c:ext xmlns:c16="http://schemas.microsoft.com/office/drawing/2014/chart" uri="{C3380CC4-5D6E-409C-BE32-E72D297353CC}">
                <c16:uniqueId val="{00000017-EC88-4AA8-B57F-52DFEAD26F9D}"/>
              </c:ext>
            </c:extLst>
          </c:dPt>
          <c:dPt>
            <c:idx val="1"/>
            <c:bubble3D val="0"/>
            <c:spPr>
              <a:noFill/>
              <a:ln w="19050">
                <a:noFill/>
              </a:ln>
              <a:effectLst/>
            </c:spPr>
            <c:extLst>
              <c:ext xmlns:c16="http://schemas.microsoft.com/office/drawing/2014/chart" uri="{C3380CC4-5D6E-409C-BE32-E72D297353CC}">
                <c16:uniqueId val="{00000019-EC88-4AA8-B57F-52DFEAD26F9D}"/>
              </c:ext>
            </c:extLst>
          </c:dPt>
          <c:dPt>
            <c:idx val="2"/>
            <c:bubble3D val="0"/>
            <c:spPr>
              <a:noFill/>
              <a:ln w="19050">
                <a:noFill/>
              </a:ln>
              <a:effectLst/>
            </c:spPr>
            <c:extLst>
              <c:ext xmlns:c16="http://schemas.microsoft.com/office/drawing/2014/chart" uri="{C3380CC4-5D6E-409C-BE32-E72D297353CC}">
                <c16:uniqueId val="{0000001B-EC88-4AA8-B57F-52DFEAD26F9D}"/>
              </c:ext>
            </c:extLst>
          </c:dPt>
          <c:dPt>
            <c:idx val="3"/>
            <c:bubble3D val="0"/>
            <c:spPr>
              <a:solidFill>
                <a:schemeClr val="accent3">
                  <a:lumMod val="50000"/>
                </a:schemeClr>
              </a:solidFill>
              <a:ln w="19050">
                <a:noFill/>
              </a:ln>
              <a:effectLst/>
            </c:spPr>
            <c:extLst>
              <c:ext xmlns:c16="http://schemas.microsoft.com/office/drawing/2014/chart" uri="{C3380CC4-5D6E-409C-BE32-E72D297353CC}">
                <c16:uniqueId val="{0000001D-EC88-4AA8-B57F-52DFEAD26F9D}"/>
              </c:ext>
            </c:extLst>
          </c:dPt>
          <c:dPt>
            <c:idx val="4"/>
            <c:bubble3D val="0"/>
            <c:spPr>
              <a:solidFill>
                <a:schemeClr val="accent3">
                  <a:lumMod val="20000"/>
                  <a:lumOff val="80000"/>
                </a:schemeClr>
              </a:solidFill>
              <a:ln w="19050">
                <a:noFill/>
              </a:ln>
              <a:effectLst/>
            </c:spPr>
            <c:extLst>
              <c:ext xmlns:c16="http://schemas.microsoft.com/office/drawing/2014/chart" uri="{C3380CC4-5D6E-409C-BE32-E72D297353CC}">
                <c16:uniqueId val="{0000001F-EC88-4AA8-B57F-52DFEAD26F9D}"/>
              </c:ext>
            </c:extLst>
          </c:dPt>
          <c:cat>
            <c:strRef>
              <c:f>'Pivot Table'!$C$64:$C$68</c:f>
              <c:strCache>
                <c:ptCount val="5"/>
                <c:pt idx="0">
                  <c:v>Distributor</c:v>
                </c:pt>
                <c:pt idx="1">
                  <c:v>Email</c:v>
                </c:pt>
                <c:pt idx="2">
                  <c:v>Online</c:v>
                </c:pt>
                <c:pt idx="3">
                  <c:v>Phone</c:v>
                </c:pt>
                <c:pt idx="4">
                  <c:v>Sales Rep</c:v>
                </c:pt>
              </c:strCache>
            </c:strRef>
          </c:cat>
          <c:val>
            <c:numRef>
              <c:f>'Pivot Table'!$D$64:$D$68</c:f>
              <c:numCache>
                <c:formatCode>General</c:formatCode>
                <c:ptCount val="5"/>
                <c:pt idx="0">
                  <c:v>2050.3999999999996</c:v>
                </c:pt>
                <c:pt idx="1">
                  <c:v>1961</c:v>
                </c:pt>
                <c:pt idx="2">
                  <c:v>2386.0000000000005</c:v>
                </c:pt>
                <c:pt idx="3">
                  <c:v>4773.3000000000011</c:v>
                </c:pt>
                <c:pt idx="4">
                  <c:v>1789.8</c:v>
                </c:pt>
              </c:numCache>
            </c:numRef>
          </c:val>
          <c:extLst>
            <c:ext xmlns:c16="http://schemas.microsoft.com/office/drawing/2014/chart" uri="{C3380CC4-5D6E-409C-BE32-E72D297353CC}">
              <c16:uniqueId val="{00000020-EC88-4AA8-B57F-52DFEAD26F9D}"/>
            </c:ext>
          </c:extLst>
        </c:ser>
        <c:ser>
          <c:idx val="1"/>
          <c:order val="3"/>
          <c:dPt>
            <c:idx val="0"/>
            <c:bubble3D val="0"/>
            <c:spPr>
              <a:noFill/>
            </c:spPr>
            <c:extLst>
              <c:ext xmlns:c16="http://schemas.microsoft.com/office/drawing/2014/chart" uri="{C3380CC4-5D6E-409C-BE32-E72D297353CC}">
                <c16:uniqueId val="{00000022-EC88-4AA8-B57F-52DFEAD26F9D}"/>
              </c:ext>
            </c:extLst>
          </c:dPt>
          <c:dPt>
            <c:idx val="1"/>
            <c:bubble3D val="0"/>
            <c:spPr>
              <a:noFill/>
            </c:spPr>
            <c:extLst>
              <c:ext xmlns:c16="http://schemas.microsoft.com/office/drawing/2014/chart" uri="{C3380CC4-5D6E-409C-BE32-E72D297353CC}">
                <c16:uniqueId val="{00000024-EC88-4AA8-B57F-52DFEAD26F9D}"/>
              </c:ext>
            </c:extLst>
          </c:dPt>
          <c:dPt>
            <c:idx val="2"/>
            <c:bubble3D val="0"/>
            <c:spPr>
              <a:noFill/>
            </c:spPr>
            <c:extLst>
              <c:ext xmlns:c16="http://schemas.microsoft.com/office/drawing/2014/chart" uri="{C3380CC4-5D6E-409C-BE32-E72D297353CC}">
                <c16:uniqueId val="{00000026-EC88-4AA8-B57F-52DFEAD26F9D}"/>
              </c:ext>
            </c:extLst>
          </c:dPt>
          <c:dPt>
            <c:idx val="3"/>
            <c:bubble3D val="0"/>
            <c:spPr>
              <a:solidFill>
                <a:schemeClr val="accent3">
                  <a:lumMod val="50000"/>
                </a:schemeClr>
              </a:solidFill>
            </c:spPr>
            <c:extLst>
              <c:ext xmlns:c16="http://schemas.microsoft.com/office/drawing/2014/chart" uri="{C3380CC4-5D6E-409C-BE32-E72D297353CC}">
                <c16:uniqueId val="{00000028-EC88-4AA8-B57F-52DFEAD26F9D}"/>
              </c:ext>
            </c:extLst>
          </c:dPt>
          <c:dPt>
            <c:idx val="4"/>
            <c:bubble3D val="0"/>
            <c:spPr>
              <a:solidFill>
                <a:schemeClr val="accent3">
                  <a:lumMod val="20000"/>
                  <a:lumOff val="80000"/>
                </a:schemeClr>
              </a:solidFill>
            </c:spPr>
            <c:extLst>
              <c:ext xmlns:c16="http://schemas.microsoft.com/office/drawing/2014/chart" uri="{C3380CC4-5D6E-409C-BE32-E72D297353CC}">
                <c16:uniqueId val="{0000002A-EC88-4AA8-B57F-52DFEAD26F9D}"/>
              </c:ext>
            </c:extLst>
          </c:dPt>
          <c:cat>
            <c:strRef>
              <c:f>'Pivot Table'!$C$64:$C$68</c:f>
              <c:strCache>
                <c:ptCount val="5"/>
                <c:pt idx="0">
                  <c:v>Distributor</c:v>
                </c:pt>
                <c:pt idx="1">
                  <c:v>Email</c:v>
                </c:pt>
                <c:pt idx="2">
                  <c:v>Online</c:v>
                </c:pt>
                <c:pt idx="3">
                  <c:v>Phone</c:v>
                </c:pt>
                <c:pt idx="4">
                  <c:v>Sales Rep</c:v>
                </c:pt>
              </c:strCache>
            </c:strRef>
          </c:cat>
          <c:val>
            <c:numRef>
              <c:f>'Pivot Table'!$D$64:$D$68</c:f>
              <c:numCache>
                <c:formatCode>General</c:formatCode>
                <c:ptCount val="5"/>
                <c:pt idx="0">
                  <c:v>2050.3999999999996</c:v>
                </c:pt>
                <c:pt idx="1">
                  <c:v>1961</c:v>
                </c:pt>
                <c:pt idx="2">
                  <c:v>2386.0000000000005</c:v>
                </c:pt>
                <c:pt idx="3">
                  <c:v>4773.3000000000011</c:v>
                </c:pt>
                <c:pt idx="4">
                  <c:v>1789.8</c:v>
                </c:pt>
              </c:numCache>
            </c:numRef>
          </c:val>
          <c:extLst>
            <c:ext xmlns:c16="http://schemas.microsoft.com/office/drawing/2014/chart" uri="{C3380CC4-5D6E-409C-BE32-E72D297353CC}">
              <c16:uniqueId val="{0000002B-EC88-4AA8-B57F-52DFEAD26F9D}"/>
            </c:ext>
          </c:extLst>
        </c:ser>
        <c:ser>
          <c:idx val="0"/>
          <c:order val="4"/>
          <c:spPr>
            <a:ln>
              <a:noFill/>
            </a:ln>
          </c:spPr>
          <c:dPt>
            <c:idx val="0"/>
            <c:bubble3D val="0"/>
            <c:spPr>
              <a:noFill/>
              <a:ln w="19050">
                <a:noFill/>
              </a:ln>
              <a:effectLst/>
            </c:spPr>
            <c:extLst>
              <c:ext xmlns:c16="http://schemas.microsoft.com/office/drawing/2014/chart" uri="{C3380CC4-5D6E-409C-BE32-E72D297353CC}">
                <c16:uniqueId val="{0000002D-EC88-4AA8-B57F-52DFEAD26F9D}"/>
              </c:ext>
            </c:extLst>
          </c:dPt>
          <c:dPt>
            <c:idx val="1"/>
            <c:bubble3D val="0"/>
            <c:spPr>
              <a:noFill/>
              <a:ln w="19050">
                <a:noFill/>
              </a:ln>
              <a:effectLst/>
            </c:spPr>
            <c:extLst>
              <c:ext xmlns:c16="http://schemas.microsoft.com/office/drawing/2014/chart" uri="{C3380CC4-5D6E-409C-BE32-E72D297353CC}">
                <c16:uniqueId val="{0000002F-EC88-4AA8-B57F-52DFEAD26F9D}"/>
              </c:ext>
            </c:extLst>
          </c:dPt>
          <c:dPt>
            <c:idx val="2"/>
            <c:bubble3D val="0"/>
            <c:spPr>
              <a:noFill/>
              <a:ln w="19050">
                <a:noFill/>
              </a:ln>
              <a:effectLst/>
            </c:spPr>
            <c:extLst>
              <c:ext xmlns:c16="http://schemas.microsoft.com/office/drawing/2014/chart" uri="{C3380CC4-5D6E-409C-BE32-E72D297353CC}">
                <c16:uniqueId val="{00000031-EC88-4AA8-B57F-52DFEAD26F9D}"/>
              </c:ext>
            </c:extLst>
          </c:dPt>
          <c:dPt>
            <c:idx val="3"/>
            <c:bubble3D val="0"/>
            <c:spPr>
              <a:solidFill>
                <a:schemeClr val="accent3">
                  <a:lumMod val="50000"/>
                </a:schemeClr>
              </a:solidFill>
              <a:ln w="19050">
                <a:noFill/>
              </a:ln>
              <a:effectLst/>
            </c:spPr>
            <c:extLst>
              <c:ext xmlns:c16="http://schemas.microsoft.com/office/drawing/2014/chart" uri="{C3380CC4-5D6E-409C-BE32-E72D297353CC}">
                <c16:uniqueId val="{00000033-EC88-4AA8-B57F-52DFEAD26F9D}"/>
              </c:ext>
            </c:extLst>
          </c:dPt>
          <c:dPt>
            <c:idx val="4"/>
            <c:bubble3D val="0"/>
            <c:spPr>
              <a:noFill/>
              <a:ln w="19050">
                <a:noFill/>
              </a:ln>
              <a:effectLst/>
            </c:spPr>
            <c:extLst>
              <c:ext xmlns:c16="http://schemas.microsoft.com/office/drawing/2014/chart" uri="{C3380CC4-5D6E-409C-BE32-E72D297353CC}">
                <c16:uniqueId val="{00000035-EC88-4AA8-B57F-52DFEAD26F9D}"/>
              </c:ext>
            </c:extLst>
          </c:dPt>
          <c:dLbls>
            <c:dLbl>
              <c:idx val="0"/>
              <c:layout>
                <c:manualLayout>
                  <c:x val="-3.888888888888889E-2"/>
                  <c:y val="1.62666709361339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D-EC88-4AA8-B57F-52DFEAD26F9D}"/>
                </c:ext>
              </c:extLst>
            </c:dLbl>
            <c:dLbl>
              <c:idx val="3"/>
              <c:layout>
                <c:manualLayout>
                  <c:x val="6.1111111111111109E-2"/>
                  <c:y val="-2.44000064042011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3-EC88-4AA8-B57F-52DFEAD26F9D}"/>
                </c:ext>
              </c:extLst>
            </c:dLbl>
            <c:dLbl>
              <c:idx val="4"/>
              <c:layout>
                <c:manualLayout>
                  <c:x val="5.833333333333323E-2"/>
                  <c:y val="2.84666741382346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5-EC88-4AA8-B57F-52DFEAD26F9D}"/>
                </c:ext>
              </c:extLst>
            </c:dLbl>
            <c:spPr>
              <a:noFill/>
              <a:ln>
                <a:noFill/>
              </a:ln>
              <a:effectLst/>
            </c:spPr>
            <c:txPr>
              <a:bodyPr wrap="square" lIns="38100" tIns="19050" rIns="38100" bIns="19050" anchor="ctr">
                <a:spAutoFit/>
              </a:bodyPr>
              <a:lstStyle/>
              <a:p>
                <a:pPr>
                  <a:defRPr b="0">
                    <a:ln>
                      <a:solidFill>
                        <a:schemeClr val="accent3">
                          <a:lumMod val="20000"/>
                          <a:lumOff val="80000"/>
                        </a:schemeClr>
                      </a:solidFill>
                    </a:ln>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'Pivot Table'!$C$64:$C$68</c:f>
              <c:strCache>
                <c:ptCount val="5"/>
                <c:pt idx="0">
                  <c:v>Distributor</c:v>
                </c:pt>
                <c:pt idx="1">
                  <c:v>Email</c:v>
                </c:pt>
                <c:pt idx="2">
                  <c:v>Online</c:v>
                </c:pt>
                <c:pt idx="3">
                  <c:v>Phone</c:v>
                </c:pt>
                <c:pt idx="4">
                  <c:v>Sales Rep</c:v>
                </c:pt>
              </c:strCache>
            </c:strRef>
          </c:cat>
          <c:val>
            <c:numRef>
              <c:f>'Pivot Table'!$D$64:$D$68</c:f>
              <c:numCache>
                <c:formatCode>General</c:formatCode>
                <c:ptCount val="5"/>
                <c:pt idx="0">
                  <c:v>2050.3999999999996</c:v>
                </c:pt>
                <c:pt idx="1">
                  <c:v>1961</c:v>
                </c:pt>
                <c:pt idx="2">
                  <c:v>2386.0000000000005</c:v>
                </c:pt>
                <c:pt idx="3">
                  <c:v>4773.3000000000011</c:v>
                </c:pt>
                <c:pt idx="4">
                  <c:v>1789.8</c:v>
                </c:pt>
              </c:numCache>
            </c:numRef>
          </c:val>
          <c:extLst>
            <c:ext xmlns:c16="http://schemas.microsoft.com/office/drawing/2014/chart" uri="{C3380CC4-5D6E-409C-BE32-E72D297353CC}">
              <c16:uniqueId val="{00000036-EC88-4AA8-B57F-52DFEAD26F9D}"/>
            </c:ext>
          </c:extLst>
        </c:ser>
        <c:dLbls>
          <c:showLegendKey val="0"/>
          <c:showVal val="0"/>
          <c:showCatName val="0"/>
          <c:showSerName val="0"/>
          <c:showPercent val="0"/>
          <c:showBubbleSize val="0"/>
          <c:showLeaderLines val="1"/>
        </c:dLbls>
        <c:firstSliceAng val="180"/>
        <c:holeSize val="4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Project.xlsx]Pivot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GROSS</a:t>
            </a:r>
            <a:r>
              <a:rPr lang="en-GB" sz="1200" b="1" baseline="0"/>
              <a:t> SALES BY PRODUCT CATEGORY</a:t>
            </a:r>
            <a:endParaRPr lang="en-GB" sz="1200" b="1"/>
          </a:p>
        </c:rich>
      </c:tx>
      <c:layout>
        <c:manualLayout>
          <c:xMode val="edge"/>
          <c:yMode val="edge"/>
          <c:x val="0.43811496622413726"/>
          <c:y val="2.856188193565384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chemeClr val="accent3">
                <a:lumMod val="20000"/>
                <a:lumOff val="80000"/>
              </a:schemeClr>
            </a:solidFill>
            <a:ln w="76200">
              <a:solidFill>
                <a:schemeClr val="accent3">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Table'!$B$73</c:f>
              <c:strCache>
                <c:ptCount val="1"/>
                <c:pt idx="0">
                  <c:v>Total</c:v>
                </c:pt>
              </c:strCache>
            </c:strRef>
          </c:tx>
          <c:spPr>
            <a:ln w="28575" cap="rnd">
              <a:noFill/>
              <a:round/>
            </a:ln>
            <a:effectLst/>
          </c:spPr>
          <c:marker>
            <c:symbol val="circle"/>
            <c:size val="5"/>
            <c:spPr>
              <a:solidFill>
                <a:schemeClr val="accent3">
                  <a:lumMod val="20000"/>
                  <a:lumOff val="80000"/>
                </a:schemeClr>
              </a:solidFill>
              <a:ln w="76200">
                <a:solidFill>
                  <a:schemeClr val="accent3">
                    <a:lumMod val="20000"/>
                    <a:lumOff val="8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5"/>
                <c:pt idx="0">
                  <c:v>Energy Drink</c:v>
                </c:pt>
                <c:pt idx="1">
                  <c:v>Juice</c:v>
                </c:pt>
                <c:pt idx="2">
                  <c:v>Soft Drink</c:v>
                </c:pt>
                <c:pt idx="3">
                  <c:v>Tea</c:v>
                </c:pt>
                <c:pt idx="4">
                  <c:v>Water</c:v>
                </c:pt>
              </c:strCache>
            </c:strRef>
          </c:cat>
          <c:val>
            <c:numRef>
              <c:f>'Pivot Table'!$B$74:$B$78</c:f>
              <c:numCache>
                <c:formatCode>General</c:formatCode>
                <c:ptCount val="5"/>
                <c:pt idx="0">
                  <c:v>1465</c:v>
                </c:pt>
                <c:pt idx="1">
                  <c:v>3052.4</c:v>
                </c:pt>
                <c:pt idx="2">
                  <c:v>2336.1999999999998</c:v>
                </c:pt>
                <c:pt idx="3">
                  <c:v>1610.4000000000003</c:v>
                </c:pt>
                <c:pt idx="4">
                  <c:v>4496.4999999999991</c:v>
                </c:pt>
              </c:numCache>
            </c:numRef>
          </c:val>
          <c:smooth val="0"/>
          <c:extLst>
            <c:ext xmlns:c16="http://schemas.microsoft.com/office/drawing/2014/chart" uri="{C3380CC4-5D6E-409C-BE32-E72D297353CC}">
              <c16:uniqueId val="{00000000-8A1B-43B6-9DA1-F56055932B1C}"/>
            </c:ext>
          </c:extLst>
        </c:ser>
        <c:dLbls>
          <c:dLblPos val="t"/>
          <c:showLegendKey val="0"/>
          <c:showVal val="1"/>
          <c:showCatName val="0"/>
          <c:showSerName val="0"/>
          <c:showPercent val="0"/>
          <c:showBubbleSize val="0"/>
        </c:dLbls>
        <c:dropLines>
          <c:spPr>
            <a:ln w="63500" cap="flat" cmpd="sng" algn="ctr">
              <a:solidFill>
                <a:schemeClr val="accent3">
                  <a:lumMod val="20000"/>
                  <a:lumOff val="80000"/>
                </a:schemeClr>
              </a:solidFill>
              <a:round/>
            </a:ln>
            <a:effectLst/>
          </c:spPr>
        </c:dropLines>
        <c:marker val="1"/>
        <c:smooth val="0"/>
        <c:axId val="1941837296"/>
        <c:axId val="1618044336"/>
      </c:lineChart>
      <c:catAx>
        <c:axId val="194183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20000"/>
                    <a:lumOff val="80000"/>
                  </a:schemeClr>
                </a:solidFill>
                <a:latin typeface="+mn-lt"/>
                <a:ea typeface="+mn-ea"/>
                <a:cs typeface="+mn-cs"/>
              </a:defRPr>
            </a:pPr>
            <a:endParaRPr lang="en-US"/>
          </a:p>
        </c:txPr>
        <c:crossAx val="1618044336"/>
        <c:crosses val="autoZero"/>
        <c:auto val="1"/>
        <c:lblAlgn val="ctr"/>
        <c:lblOffset val="100"/>
        <c:noMultiLvlLbl val="0"/>
      </c:catAx>
      <c:valAx>
        <c:axId val="1618044336"/>
        <c:scaling>
          <c:orientation val="minMax"/>
        </c:scaling>
        <c:delete val="1"/>
        <c:axPos val="l"/>
        <c:numFmt formatCode="General" sourceLinked="1"/>
        <c:majorTickMark val="none"/>
        <c:minorTickMark val="none"/>
        <c:tickLblPos val="nextTo"/>
        <c:crossAx val="194183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sz="1200" b="1">
                <a:solidFill>
                  <a:schemeClr val="accent3">
                    <a:lumMod val="50000"/>
                  </a:schemeClr>
                </a:solidFill>
              </a:rPr>
              <a:t>PRODUCT</a:t>
            </a:r>
            <a:r>
              <a:rPr lang="en-GB" sz="1200" b="1" baseline="0">
                <a:solidFill>
                  <a:schemeClr val="accent3">
                    <a:lumMod val="50000"/>
                  </a:schemeClr>
                </a:solidFill>
              </a:rPr>
              <a:t> BY TOTAL COST BY NET SALES</a:t>
            </a:r>
            <a:endParaRPr lang="en-GB" sz="1200" b="1">
              <a:solidFill>
                <a:schemeClr val="accent3">
                  <a:lumMod val="50000"/>
                </a:schemeClr>
              </a:solidFill>
            </a:endParaRPr>
          </a:p>
        </c:rich>
      </c:tx>
      <c:layout>
        <c:manualLayout>
          <c:xMode val="edge"/>
          <c:yMode val="edge"/>
          <c:x val="0.42833467116153379"/>
          <c:y val="2.0290567335182575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GB"/>
        </a:p>
      </c:txPr>
    </c:title>
    <c:autoTitleDeleted val="0"/>
    <c:plotArea>
      <c:layout>
        <c:manualLayout>
          <c:layoutTarget val="inner"/>
          <c:xMode val="edge"/>
          <c:yMode val="edge"/>
          <c:x val="0.21879921259842519"/>
          <c:y val="0.14156588328322314"/>
          <c:w val="0.75064523184601928"/>
          <c:h val="0.83658937063171024"/>
        </c:manualLayout>
      </c:layout>
      <c:barChart>
        <c:barDir val="bar"/>
        <c:grouping val="stacked"/>
        <c:varyColors val="0"/>
        <c:ser>
          <c:idx val="0"/>
          <c:order val="0"/>
          <c:spPr>
            <a:noFill/>
            <a:ln>
              <a:noFill/>
            </a:ln>
            <a:effectLst/>
          </c:spPr>
          <c:invertIfNegative val="0"/>
          <c:cat>
            <c:strRef>
              <c:f>'Pivot Table'!$D$84:$D$103</c:f>
              <c:strCache>
                <c:ptCount val="20"/>
                <c:pt idx="0">
                  <c:v>Cola</c:v>
                </c:pt>
                <c:pt idx="1">
                  <c:v>Sparkling Water</c:v>
                </c:pt>
                <c:pt idx="2">
                  <c:v>Tonic Water</c:v>
                </c:pt>
                <c:pt idx="3">
                  <c:v>Grape Soda</c:v>
                </c:pt>
                <c:pt idx="4">
                  <c:v>Orange Soda</c:v>
                </c:pt>
                <c:pt idx="5">
                  <c:v>Pineapple Juice</c:v>
                </c:pt>
                <c:pt idx="6">
                  <c:v>Zero Cola</c:v>
                </c:pt>
                <c:pt idx="7">
                  <c:v>Mineral Water
</c:v>
                </c:pt>
                <c:pt idx="8">
                  <c:v>Spring Water</c:v>
                </c:pt>
                <c:pt idx="9">
                  <c:v>Berry Splash</c:v>
                </c:pt>
                <c:pt idx="10">
                  <c:v>Still Water</c:v>
                </c:pt>
                <c:pt idx="11">
                  <c:v>Kids Juice</c:v>
                </c:pt>
                <c:pt idx="12">
                  <c:v>Peach Tea</c:v>
                </c:pt>
                <c:pt idx="13">
                  <c:v>Mango Juice</c:v>
                </c:pt>
                <c:pt idx="14">
                  <c:v>Lemon Lime</c:v>
                </c:pt>
                <c:pt idx="15">
                  <c:v>Apple Juice</c:v>
                </c:pt>
                <c:pt idx="16">
                  <c:v>Vitamin Water</c:v>
                </c:pt>
                <c:pt idx="17">
                  <c:v>Iced Tea</c:v>
                </c:pt>
                <c:pt idx="18">
                  <c:v>Sparkling Citrus</c:v>
                </c:pt>
                <c:pt idx="19">
                  <c:v>Energy Boost</c:v>
                </c:pt>
              </c:strCache>
            </c:strRef>
          </c:cat>
          <c:val>
            <c:numRef>
              <c:f>'Pivot Table'!$E$84:$E$103</c:f>
              <c:numCache>
                <c:formatCode>0.0</c:formatCode>
                <c:ptCount val="20"/>
                <c:pt idx="0">
                  <c:v>788.32500000000005</c:v>
                </c:pt>
                <c:pt idx="1">
                  <c:v>756.95</c:v>
                </c:pt>
                <c:pt idx="2">
                  <c:v>744.24</c:v>
                </c:pt>
                <c:pt idx="3">
                  <c:v>730.23</c:v>
                </c:pt>
                <c:pt idx="4">
                  <c:v>677.69</c:v>
                </c:pt>
                <c:pt idx="5">
                  <c:v>672.29</c:v>
                </c:pt>
                <c:pt idx="6">
                  <c:v>667.97500000000002</c:v>
                </c:pt>
                <c:pt idx="7">
                  <c:v>639.9</c:v>
                </c:pt>
                <c:pt idx="8">
                  <c:v>639.35</c:v>
                </c:pt>
                <c:pt idx="9">
                  <c:v>639.21500000000003</c:v>
                </c:pt>
                <c:pt idx="10">
                  <c:v>627.20000000000005</c:v>
                </c:pt>
                <c:pt idx="11">
                  <c:v>614.1</c:v>
                </c:pt>
                <c:pt idx="12">
                  <c:v>534.95000000000005</c:v>
                </c:pt>
                <c:pt idx="13">
                  <c:v>526.68499999999995</c:v>
                </c:pt>
                <c:pt idx="14">
                  <c:v>523.25</c:v>
                </c:pt>
                <c:pt idx="15">
                  <c:v>510.89999999999986</c:v>
                </c:pt>
                <c:pt idx="16">
                  <c:v>470.90500000000009</c:v>
                </c:pt>
                <c:pt idx="17">
                  <c:v>398.27</c:v>
                </c:pt>
                <c:pt idx="18">
                  <c:v>266.21000000000015</c:v>
                </c:pt>
                <c:pt idx="19">
                  <c:v>99.974999999999909</c:v>
                </c:pt>
              </c:numCache>
            </c:numRef>
          </c:val>
          <c:extLst>
            <c:ext xmlns:c16="http://schemas.microsoft.com/office/drawing/2014/chart" uri="{C3380CC4-5D6E-409C-BE32-E72D297353CC}">
              <c16:uniqueId val="{00000000-45A0-4579-8E90-EFE45EB1B756}"/>
            </c:ext>
          </c:extLst>
        </c:ser>
        <c:ser>
          <c:idx val="1"/>
          <c:order val="1"/>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b" anchorCtr="0">
                <a:spAutoFit/>
              </a:bodyPr>
              <a:lstStyle/>
              <a:p>
                <a:pPr algn="ctr">
                  <a:defRPr sz="800" b="1" i="0" u="none" strike="noStrike" kern="1200" baseline="0">
                    <a:solidFill>
                      <a:schemeClr val="accent3">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Table'!$D$84:$D$103</c:f>
              <c:strCache>
                <c:ptCount val="20"/>
                <c:pt idx="0">
                  <c:v>Cola</c:v>
                </c:pt>
                <c:pt idx="1">
                  <c:v>Sparkling Water</c:v>
                </c:pt>
                <c:pt idx="2">
                  <c:v>Tonic Water</c:v>
                </c:pt>
                <c:pt idx="3">
                  <c:v>Grape Soda</c:v>
                </c:pt>
                <c:pt idx="4">
                  <c:v>Orange Soda</c:v>
                </c:pt>
                <c:pt idx="5">
                  <c:v>Pineapple Juice</c:v>
                </c:pt>
                <c:pt idx="6">
                  <c:v>Zero Cola</c:v>
                </c:pt>
                <c:pt idx="7">
                  <c:v>Mineral Water
</c:v>
                </c:pt>
                <c:pt idx="8">
                  <c:v>Spring Water</c:v>
                </c:pt>
                <c:pt idx="9">
                  <c:v>Berry Splash</c:v>
                </c:pt>
                <c:pt idx="10">
                  <c:v>Still Water</c:v>
                </c:pt>
                <c:pt idx="11">
                  <c:v>Kids Juice</c:v>
                </c:pt>
                <c:pt idx="12">
                  <c:v>Peach Tea</c:v>
                </c:pt>
                <c:pt idx="13">
                  <c:v>Mango Juice</c:v>
                </c:pt>
                <c:pt idx="14">
                  <c:v>Lemon Lime</c:v>
                </c:pt>
                <c:pt idx="15">
                  <c:v>Apple Juice</c:v>
                </c:pt>
                <c:pt idx="16">
                  <c:v>Vitamin Water</c:v>
                </c:pt>
                <c:pt idx="17">
                  <c:v>Iced Tea</c:v>
                </c:pt>
                <c:pt idx="18">
                  <c:v>Sparkling Citrus</c:v>
                </c:pt>
                <c:pt idx="19">
                  <c:v>Energy Boost</c:v>
                </c:pt>
              </c:strCache>
            </c:strRef>
          </c:cat>
          <c:val>
            <c:numRef>
              <c:f>'Pivot Table'!$F$84:$F$103</c:f>
              <c:numCache>
                <c:formatCode>0.0</c:formatCode>
                <c:ptCount val="20"/>
                <c:pt idx="0">
                  <c:v>148.17499999999998</c:v>
                </c:pt>
                <c:pt idx="1">
                  <c:v>179.54999999999998</c:v>
                </c:pt>
                <c:pt idx="2">
                  <c:v>192.26</c:v>
                </c:pt>
                <c:pt idx="3">
                  <c:v>206.26999999999998</c:v>
                </c:pt>
                <c:pt idx="4">
                  <c:v>258.81</c:v>
                </c:pt>
                <c:pt idx="5">
                  <c:v>264.21000000000004</c:v>
                </c:pt>
                <c:pt idx="6">
                  <c:v>268.52499999999998</c:v>
                </c:pt>
                <c:pt idx="7">
                  <c:v>296.60000000000002</c:v>
                </c:pt>
                <c:pt idx="8">
                  <c:v>297.14999999999998</c:v>
                </c:pt>
                <c:pt idx="9">
                  <c:v>297.28499999999997</c:v>
                </c:pt>
                <c:pt idx="10">
                  <c:v>309.29999999999995</c:v>
                </c:pt>
                <c:pt idx="11">
                  <c:v>322.39999999999998</c:v>
                </c:pt>
                <c:pt idx="12">
                  <c:v>401.55</c:v>
                </c:pt>
                <c:pt idx="13">
                  <c:v>409.815</c:v>
                </c:pt>
                <c:pt idx="14">
                  <c:v>413.25000000000006</c:v>
                </c:pt>
                <c:pt idx="15">
                  <c:v>425.60000000000014</c:v>
                </c:pt>
                <c:pt idx="16">
                  <c:v>465.59499999999991</c:v>
                </c:pt>
                <c:pt idx="17">
                  <c:v>538.23</c:v>
                </c:pt>
                <c:pt idx="18">
                  <c:v>670.28999999999985</c:v>
                </c:pt>
                <c:pt idx="19">
                  <c:v>836.52500000000009</c:v>
                </c:pt>
              </c:numCache>
            </c:numRef>
          </c:val>
          <c:extLst>
            <c:ext xmlns:c16="http://schemas.microsoft.com/office/drawing/2014/chart" uri="{C3380CC4-5D6E-409C-BE32-E72D297353CC}">
              <c16:uniqueId val="{00000001-45A0-4579-8E90-EFE45EB1B756}"/>
            </c:ext>
          </c:extLst>
        </c:ser>
        <c:ser>
          <c:idx val="3"/>
          <c:order val="2"/>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7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Table'!$D$84:$D$103</c:f>
              <c:strCache>
                <c:ptCount val="20"/>
                <c:pt idx="0">
                  <c:v>Cola</c:v>
                </c:pt>
                <c:pt idx="1">
                  <c:v>Sparkling Water</c:v>
                </c:pt>
                <c:pt idx="2">
                  <c:v>Tonic Water</c:v>
                </c:pt>
                <c:pt idx="3">
                  <c:v>Grape Soda</c:v>
                </c:pt>
                <c:pt idx="4">
                  <c:v>Orange Soda</c:v>
                </c:pt>
                <c:pt idx="5">
                  <c:v>Pineapple Juice</c:v>
                </c:pt>
                <c:pt idx="6">
                  <c:v>Zero Cola</c:v>
                </c:pt>
                <c:pt idx="7">
                  <c:v>Mineral Water
</c:v>
                </c:pt>
                <c:pt idx="8">
                  <c:v>Spring Water</c:v>
                </c:pt>
                <c:pt idx="9">
                  <c:v>Berry Splash</c:v>
                </c:pt>
                <c:pt idx="10">
                  <c:v>Still Water</c:v>
                </c:pt>
                <c:pt idx="11">
                  <c:v>Kids Juice</c:v>
                </c:pt>
                <c:pt idx="12">
                  <c:v>Peach Tea</c:v>
                </c:pt>
                <c:pt idx="13">
                  <c:v>Mango Juice</c:v>
                </c:pt>
                <c:pt idx="14">
                  <c:v>Lemon Lime</c:v>
                </c:pt>
                <c:pt idx="15">
                  <c:v>Apple Juice</c:v>
                </c:pt>
                <c:pt idx="16">
                  <c:v>Vitamin Water</c:v>
                </c:pt>
                <c:pt idx="17">
                  <c:v>Iced Tea</c:v>
                </c:pt>
                <c:pt idx="18">
                  <c:v>Sparkling Citrus</c:v>
                </c:pt>
                <c:pt idx="19">
                  <c:v>Energy Boost</c:v>
                </c:pt>
              </c:strCache>
            </c:strRef>
          </c:cat>
          <c:val>
            <c:numRef>
              <c:f>'Pivot Table'!$H$84:$H$103</c:f>
              <c:numCache>
                <c:formatCode>0.0</c:formatCode>
                <c:ptCount val="20"/>
                <c:pt idx="0">
                  <c:v>118.82499999999999</c:v>
                </c:pt>
                <c:pt idx="1">
                  <c:v>164.25</c:v>
                </c:pt>
                <c:pt idx="2">
                  <c:v>153.54</c:v>
                </c:pt>
                <c:pt idx="3">
                  <c:v>163.33000000000004</c:v>
                </c:pt>
                <c:pt idx="4">
                  <c:v>209.99000000000004</c:v>
                </c:pt>
                <c:pt idx="5">
                  <c:v>184.58999999999995</c:v>
                </c:pt>
                <c:pt idx="6">
                  <c:v>205.77499999999998</c:v>
                </c:pt>
                <c:pt idx="7">
                  <c:v>285.39999999999998</c:v>
                </c:pt>
                <c:pt idx="8">
                  <c:v>261.45</c:v>
                </c:pt>
                <c:pt idx="9">
                  <c:v>208.81500000000005</c:v>
                </c:pt>
                <c:pt idx="10">
                  <c:v>288.29999999999995</c:v>
                </c:pt>
                <c:pt idx="11">
                  <c:v>259.60000000000002</c:v>
                </c:pt>
                <c:pt idx="12">
                  <c:v>313.45000000000005</c:v>
                </c:pt>
                <c:pt idx="13">
                  <c:v>337.68499999999995</c:v>
                </c:pt>
                <c:pt idx="14">
                  <c:v>343.24999999999994</c:v>
                </c:pt>
                <c:pt idx="15">
                  <c:v>342.39999999999986</c:v>
                </c:pt>
                <c:pt idx="16">
                  <c:v>398.90499999999997</c:v>
                </c:pt>
                <c:pt idx="17">
                  <c:v>357.17</c:v>
                </c:pt>
                <c:pt idx="18">
                  <c:v>533.9100000000002</c:v>
                </c:pt>
                <c:pt idx="19">
                  <c:v>628.47500000000002</c:v>
                </c:pt>
              </c:numCache>
            </c:numRef>
          </c:val>
          <c:extLst>
            <c:ext xmlns:c16="http://schemas.microsoft.com/office/drawing/2014/chart" uri="{C3380CC4-5D6E-409C-BE32-E72D297353CC}">
              <c16:uniqueId val="{00000003-45A0-4579-8E90-EFE45EB1B756}"/>
            </c:ext>
          </c:extLst>
        </c:ser>
        <c:ser>
          <c:idx val="4"/>
          <c:order val="3"/>
          <c:spPr>
            <a:noFill/>
            <a:ln>
              <a:noFill/>
            </a:ln>
            <a:effectLst/>
          </c:spPr>
          <c:invertIfNegative val="0"/>
          <c:cat>
            <c:strRef>
              <c:f>'Pivot Table'!$D$84:$D$103</c:f>
              <c:strCache>
                <c:ptCount val="20"/>
                <c:pt idx="0">
                  <c:v>Cola</c:v>
                </c:pt>
                <c:pt idx="1">
                  <c:v>Sparkling Water</c:v>
                </c:pt>
                <c:pt idx="2">
                  <c:v>Tonic Water</c:v>
                </c:pt>
                <c:pt idx="3">
                  <c:v>Grape Soda</c:v>
                </c:pt>
                <c:pt idx="4">
                  <c:v>Orange Soda</c:v>
                </c:pt>
                <c:pt idx="5">
                  <c:v>Pineapple Juice</c:v>
                </c:pt>
                <c:pt idx="6">
                  <c:v>Zero Cola</c:v>
                </c:pt>
                <c:pt idx="7">
                  <c:v>Mineral Water
</c:v>
                </c:pt>
                <c:pt idx="8">
                  <c:v>Spring Water</c:v>
                </c:pt>
                <c:pt idx="9">
                  <c:v>Berry Splash</c:v>
                </c:pt>
                <c:pt idx="10">
                  <c:v>Still Water</c:v>
                </c:pt>
                <c:pt idx="11">
                  <c:v>Kids Juice</c:v>
                </c:pt>
                <c:pt idx="12">
                  <c:v>Peach Tea</c:v>
                </c:pt>
                <c:pt idx="13">
                  <c:v>Mango Juice</c:v>
                </c:pt>
                <c:pt idx="14">
                  <c:v>Lemon Lime</c:v>
                </c:pt>
                <c:pt idx="15">
                  <c:v>Apple Juice</c:v>
                </c:pt>
                <c:pt idx="16">
                  <c:v>Vitamin Water</c:v>
                </c:pt>
                <c:pt idx="17">
                  <c:v>Iced Tea</c:v>
                </c:pt>
                <c:pt idx="18">
                  <c:v>Sparkling Citrus</c:v>
                </c:pt>
                <c:pt idx="19">
                  <c:v>Energy Boost</c:v>
                </c:pt>
              </c:strCache>
            </c:strRef>
          </c:cat>
          <c:val>
            <c:numRef>
              <c:f>'Pivot Table'!$I$84:$I$103</c:f>
              <c:numCache>
                <c:formatCode>0.0</c:formatCode>
                <c:ptCount val="20"/>
                <c:pt idx="0">
                  <c:v>609.67499999999995</c:v>
                </c:pt>
                <c:pt idx="1">
                  <c:v>564.25</c:v>
                </c:pt>
                <c:pt idx="2">
                  <c:v>574.96</c:v>
                </c:pt>
                <c:pt idx="3">
                  <c:v>565.16999999999996</c:v>
                </c:pt>
                <c:pt idx="4">
                  <c:v>518.51</c:v>
                </c:pt>
                <c:pt idx="5">
                  <c:v>543.91000000000008</c:v>
                </c:pt>
                <c:pt idx="6">
                  <c:v>522.72500000000002</c:v>
                </c:pt>
                <c:pt idx="7">
                  <c:v>443.1</c:v>
                </c:pt>
                <c:pt idx="8">
                  <c:v>467.05</c:v>
                </c:pt>
                <c:pt idx="9">
                  <c:v>519.68499999999995</c:v>
                </c:pt>
                <c:pt idx="10">
                  <c:v>440.20000000000005</c:v>
                </c:pt>
                <c:pt idx="11">
                  <c:v>468.9</c:v>
                </c:pt>
                <c:pt idx="12">
                  <c:v>415.04999999999995</c:v>
                </c:pt>
                <c:pt idx="13">
                  <c:v>390.81500000000005</c:v>
                </c:pt>
                <c:pt idx="14">
                  <c:v>385.25000000000006</c:v>
                </c:pt>
                <c:pt idx="15">
                  <c:v>386.10000000000014</c:v>
                </c:pt>
                <c:pt idx="16">
                  <c:v>329.59500000000003</c:v>
                </c:pt>
                <c:pt idx="17">
                  <c:v>371.33</c:v>
                </c:pt>
                <c:pt idx="18">
                  <c:v>194.5899999999998</c:v>
                </c:pt>
                <c:pt idx="19">
                  <c:v>100.02499999999998</c:v>
                </c:pt>
              </c:numCache>
            </c:numRef>
          </c:val>
          <c:extLst>
            <c:ext xmlns:c16="http://schemas.microsoft.com/office/drawing/2014/chart" uri="{C3380CC4-5D6E-409C-BE32-E72D297353CC}">
              <c16:uniqueId val="{00000004-45A0-4579-8E90-EFE45EB1B756}"/>
            </c:ext>
          </c:extLst>
        </c:ser>
        <c:dLbls>
          <c:showLegendKey val="0"/>
          <c:showVal val="0"/>
          <c:showCatName val="0"/>
          <c:showSerName val="0"/>
          <c:showPercent val="0"/>
          <c:showBubbleSize val="0"/>
        </c:dLbls>
        <c:gapWidth val="50"/>
        <c:overlap val="100"/>
        <c:axId val="1477439360"/>
        <c:axId val="1618219056"/>
      </c:barChart>
      <c:catAx>
        <c:axId val="14774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3">
                    <a:lumMod val="20000"/>
                    <a:lumOff val="80000"/>
                  </a:schemeClr>
                </a:solidFill>
                <a:latin typeface="+mn-lt"/>
                <a:ea typeface="+mn-ea"/>
                <a:cs typeface="+mn-cs"/>
              </a:defRPr>
            </a:pPr>
            <a:endParaRPr lang="en-US"/>
          </a:p>
        </c:txPr>
        <c:crossAx val="1618219056"/>
        <c:crosses val="autoZero"/>
        <c:auto val="1"/>
        <c:lblAlgn val="ctr"/>
        <c:lblOffset val="100"/>
        <c:noMultiLvlLbl val="0"/>
      </c:catAx>
      <c:valAx>
        <c:axId val="1618219056"/>
        <c:scaling>
          <c:orientation val="minMax"/>
        </c:scaling>
        <c:delete val="1"/>
        <c:axPos val="b"/>
        <c:numFmt formatCode="0.0" sourceLinked="1"/>
        <c:majorTickMark val="none"/>
        <c:minorTickMark val="none"/>
        <c:tickLblPos val="nextTo"/>
        <c:crossAx val="1477439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chemeClr val="accent3">
                    <a:lumMod val="50000"/>
                  </a:schemeClr>
                </a:solidFill>
              </a:rPr>
              <a:t>GROSS</a:t>
            </a:r>
            <a:r>
              <a:rPr lang="en-GB" sz="1200" b="1" baseline="0">
                <a:solidFill>
                  <a:schemeClr val="accent3">
                    <a:lumMod val="50000"/>
                  </a:schemeClr>
                </a:solidFill>
              </a:rPr>
              <a:t> SALES VS CUSTOMER TYPE</a:t>
            </a:r>
            <a:endParaRPr lang="en-GB" sz="1200" b="1">
              <a:solidFill>
                <a:schemeClr val="accent3">
                  <a:lumMod val="50000"/>
                </a:schemeClr>
              </a:solidFill>
            </a:endParaRPr>
          </a:p>
        </c:rich>
      </c:tx>
      <c:layout>
        <c:manualLayout>
          <c:xMode val="edge"/>
          <c:yMode val="edge"/>
          <c:x val="0.48233392685207332"/>
          <c:y val="2.5216532912042944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stacked"/>
        <c:varyColors val="0"/>
        <c:ser>
          <c:idx val="0"/>
          <c:order val="0"/>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Table'!$C$107:$C$112</c:f>
              <c:strCache>
                <c:ptCount val="6"/>
                <c:pt idx="0">
                  <c:v>Café</c:v>
                </c:pt>
                <c:pt idx="1">
                  <c:v>Hotel</c:v>
                </c:pt>
                <c:pt idx="2">
                  <c:v>Restaurant</c:v>
                </c:pt>
                <c:pt idx="3">
                  <c:v>Retailer</c:v>
                </c:pt>
                <c:pt idx="4">
                  <c:v>Supermarket</c:v>
                </c:pt>
                <c:pt idx="5">
                  <c:v>Wholesaler</c:v>
                </c:pt>
              </c:strCache>
            </c:strRef>
          </c:cat>
          <c:val>
            <c:numRef>
              <c:f>'Pivot Table'!$D$107:$D$112</c:f>
              <c:numCache>
                <c:formatCode>General</c:formatCode>
                <c:ptCount val="6"/>
                <c:pt idx="0">
                  <c:v>2113.8999999999996</c:v>
                </c:pt>
                <c:pt idx="1">
                  <c:v>2347.9999999999995</c:v>
                </c:pt>
                <c:pt idx="2">
                  <c:v>3121</c:v>
                </c:pt>
                <c:pt idx="3">
                  <c:v>2202.8999999999996</c:v>
                </c:pt>
                <c:pt idx="4">
                  <c:v>760.8</c:v>
                </c:pt>
                <c:pt idx="5">
                  <c:v>2413.8999999999996</c:v>
                </c:pt>
              </c:numCache>
            </c:numRef>
          </c:val>
          <c:extLst>
            <c:ext xmlns:c16="http://schemas.microsoft.com/office/drawing/2014/chart" uri="{C3380CC4-5D6E-409C-BE32-E72D297353CC}">
              <c16:uniqueId val="{00000000-026A-48AE-8FF4-294C9A8ADA5A}"/>
            </c:ext>
          </c:extLst>
        </c:ser>
        <c:ser>
          <c:idx val="1"/>
          <c:order val="1"/>
          <c:spPr>
            <a:blipFill>
              <a:blip xmlns:r="http://schemas.openxmlformats.org/officeDocument/2006/relationships" r:embed="rId3"/>
              <a:stretch>
                <a:fillRect/>
              </a:stretch>
            </a:blipFill>
            <a:ln>
              <a:noFill/>
            </a:ln>
            <a:effectLst/>
          </c:spPr>
          <c:invertIfNegative val="0"/>
          <c:cat>
            <c:strRef>
              <c:f>'Pivot Table'!$C$107:$C$112</c:f>
              <c:strCache>
                <c:ptCount val="6"/>
                <c:pt idx="0">
                  <c:v>Café</c:v>
                </c:pt>
                <c:pt idx="1">
                  <c:v>Hotel</c:v>
                </c:pt>
                <c:pt idx="2">
                  <c:v>Restaurant</c:v>
                </c:pt>
                <c:pt idx="3">
                  <c:v>Retailer</c:v>
                </c:pt>
                <c:pt idx="4">
                  <c:v>Supermarket</c:v>
                </c:pt>
                <c:pt idx="5">
                  <c:v>Wholesaler</c:v>
                </c:pt>
              </c:strCache>
            </c:strRef>
          </c:cat>
          <c:val>
            <c:numRef>
              <c:f>'Pivot Table'!$E$107:$E$112</c:f>
              <c:numCache>
                <c:formatCode>General</c:formatCode>
                <c:ptCount val="6"/>
                <c:pt idx="0">
                  <c:v>200</c:v>
                </c:pt>
                <c:pt idx="1">
                  <c:v>200</c:v>
                </c:pt>
                <c:pt idx="2">
                  <c:v>200</c:v>
                </c:pt>
                <c:pt idx="3">
                  <c:v>200</c:v>
                </c:pt>
                <c:pt idx="4">
                  <c:v>200</c:v>
                </c:pt>
                <c:pt idx="5">
                  <c:v>200</c:v>
                </c:pt>
              </c:numCache>
            </c:numRef>
          </c:val>
          <c:extLst>
            <c:ext xmlns:c16="http://schemas.microsoft.com/office/drawing/2014/chart" uri="{C3380CC4-5D6E-409C-BE32-E72D297353CC}">
              <c16:uniqueId val="{00000001-026A-48AE-8FF4-294C9A8ADA5A}"/>
            </c:ext>
          </c:extLst>
        </c:ser>
        <c:dLbls>
          <c:showLegendKey val="0"/>
          <c:showVal val="0"/>
          <c:showCatName val="0"/>
          <c:showSerName val="0"/>
          <c:showPercent val="0"/>
          <c:showBubbleSize val="0"/>
        </c:dLbls>
        <c:gapWidth val="150"/>
        <c:overlap val="100"/>
        <c:axId val="1941811776"/>
        <c:axId val="1618114896"/>
      </c:barChart>
      <c:catAx>
        <c:axId val="194181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618114896"/>
        <c:crosses val="autoZero"/>
        <c:auto val="1"/>
        <c:lblAlgn val="ctr"/>
        <c:lblOffset val="100"/>
        <c:noMultiLvlLbl val="0"/>
      </c:catAx>
      <c:valAx>
        <c:axId val="1618114896"/>
        <c:scaling>
          <c:orientation val="minMax"/>
        </c:scaling>
        <c:delete val="1"/>
        <c:axPos val="b"/>
        <c:numFmt formatCode="General" sourceLinked="1"/>
        <c:majorTickMark val="none"/>
        <c:minorTickMark val="none"/>
        <c:tickLblPos val="nextTo"/>
        <c:crossAx val="19418117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GROSS SALES BY COUNTY</cx:v>
        </cx:txData>
      </cx:tx>
      <cx:spPr>
        <a:solidFill>
          <a:schemeClr val="accent3">
            <a:lumMod val="20000"/>
            <a:lumOff val="80000"/>
          </a:schemeClr>
        </a:solidFill>
      </cx:spPr>
      <cx:txPr>
        <a:bodyPr spcFirstLastPara="1" vertOverflow="ellipsis" horzOverflow="overflow" wrap="square" lIns="0" tIns="0" rIns="0" bIns="0" anchor="ctr" anchorCtr="1"/>
        <a:lstStyle/>
        <a:p>
          <a:pPr algn="ctr" rtl="0">
            <a:defRPr sz="1200">
              <a:solidFill>
                <a:schemeClr val="accent3">
                  <a:lumMod val="50000"/>
                </a:schemeClr>
              </a:solidFill>
            </a:defRPr>
          </a:pPr>
          <a:r>
            <a:rPr lang="en-GB" sz="1200" b="1" i="0" u="none" strike="noStrike" baseline="0">
              <a:solidFill>
                <a:schemeClr val="accent3">
                  <a:lumMod val="50000"/>
                </a:schemeClr>
              </a:solidFill>
              <a:latin typeface="Aptos Narrow"/>
            </a:rPr>
            <a:t>GROSS SALES BY COUNTY</a:t>
          </a:r>
        </a:p>
      </cx:txPr>
      <cx:extLst>
        <cx:ext uri="ext:featex">
          <cx:featureExtension feature="mp" drop="onModelChange">
            <cx:offset top="0.010815832763910294" left="1.4909700155258179"/>
          </cx:featureExtension>
        </cx:ext>
      </cx:extLst>
    </cx:title>
    <cx:plotArea>
      <cx:plotAreaRegion>
        <cx:plotSurface>
          <cx:spPr>
            <a:ln>
              <a:noFill/>
            </a:ln>
          </cx:spPr>
        </cx:plotSurface>
        <cx:series layoutId="regionMap" uniqueId="{00000000-C2EE-4976-9E8C-7F6A439E4B10}">
          <cx:tx>
            <cx:txData>
              <cx:f>_xlchart.v5.2</cx:f>
              <cx:v>Sum of Gross_Sales</cx:v>
            </cx:txData>
          </cx:tx>
          <cx:dataId val="0"/>
          <cx:layoutPr>
            <cx:regionLabelLayout val="showAll"/>
            <cx:geography projectionType="miller" viewedRegionType="dataOnly" cultureLanguage="en-GB" cultureRegion="GB" attribution="Powered by Bing">
              <cx:geoCache provider="{E9337A44-BEBE-4D9F-B70C-5C5E7DAFC167}">
                <cx:binary>1Hxpc9W4tvZf6erPx2nNkk+dcz/I3pmZAjTDF1eAYHmSLMnzr79rA6FI2B2qb/NWveyqhib2tqT1
rOFZg/Of98u/37c31+G3pWtt/Pf75b+/m2Ho//3HH/G9uemu41FXvQ8uuo/D0XvX/eE+fqze3/zx
IVzPlS3/IAizP96b6zDcLL//z3/gaeWNu3Tvr4fK2WfjTVivbuLYDvGBawcv/Xb9oatsXsUhVO8H
/N/fL25CWH//7cYO1bC+WPub//5+55bff/vj/oO+W/S3FvY1jB/gu5wcEZESjBROP33U77+1zpZf
LifpkURcIibU58spuV378XUH38/caIf1t0+7+tdvZ+GmvbYfbm85tL1Pm7v+8CHcxAiH+/T3Xz7m
zsnu3vX7b+/3S+8FW4KM//v717Wr6D7tKqyZ2x/xbPdJJn/cBeV//nPvByClez/5Brf7Iv3Rpe9g
y9rrcPOQXP42bIpRjim7xeUubOooVVQywckX2Pjt2ndg+7Srfw7b/ccchu2LCH4t2FxobiV3SJv/
Jmr4SKUKUJMp+vSh91FjkgiGU/b5MgJj/Gzod1GDTf0E0O4+5S8w+3T+Xwqy3Nmb8rq9ldxPQI0d
CQ6QUXprTPdRwxgRgdMvHvQvXOSXff1z4L5/0GHsvgril4Lv5Lqdr39mgKNHRDKGGeJ/EeAQS+Ga
kl9sTt5qzh2b+7ytfw7ed885jN2tFH4p6PLxXVvZW/H9BMOjR5SlVO0B+vTBdw1PAHVBnKdIfYHu
MDf5vK1/Dt13zzkM3a0UfinoLqr2w88lKGB2BDMBAH02OzCrb3mlAJ8qGQKf+QU7wPZAqPuyr38O
3vcPOozeV0H8UvBdVt0N5Ac/k6qQIyEw4RiJLwzyLn7qSFCECSD4Bb/DbvN2Y/8cwANPOozg7Y2/
WIJw6cbB3NrAT/Cd7AhB1oYYZXeBE0dALpWS6W28Aw56wPA+becnoLY/1TeP+QvIPp/9lzK5R9er
u5XcT4CLHikuFCOIHnSX6RFJZSpEKh50l/tNfSPtz7ge2t2DWfi9pxzG7PP5fy3Ibq5/qonRfV6A
Uk4gub4X2xTbWx5+GKz9dn4CWvce8xdwfT77L4XXk48fr9ufngpQyW8ztXucRB6xFHIFJb/YYHo4
pn3e1j8H7rvnHEbuVgq/FHTP26r8me6RQRJHkFDoNse+a3HqiEkoq/DbRAAdDmqfdvXPgbv/mMO4
fRHBLwXbi6rvb8L1Ty4wK6iNMEK+MEVI0r51luoIQ1wTQt4iK26j6p38++vO/jl8hx51GMKvd/5i
XPLV9XATPrrwYCH+b5YuyRFSKThHSMc/fe6VLuWRgCYChVT8S7pw2Hd+3dk/h/HQow7D+PXOXw3G
m+Wng0ipkPuuwGcQ79ki5AYCYQowPwzi5339BAi/e9BfAHgriP+vnelfbe5bFn7nnr/fqlOCg7ck
9CB68ghSBMZT+Rc5wtcG2V9v6HBa8PWLd3b//7zj9tfduK8Nzfx6uN596oR+05B7+OptJ+/eV7/k
wJ9zpTvnvA1HZx/++7uAhszX9ur+CXdS569y+izg2y/cXMfhv78n/ChNmQT3KCDTg3Yqg6xhvvl0
CaMjgZUEdkMFdGJpCstYFwYD/Vl+RBWB9oNiGBJAJeFbcZ8uwyV8tM8X4adUQfjcX7o93FPXrqWz
XyXx5d+/2bF76io7RDjK77/1n+/a75MzcAts3whmUkmIxvst9O+vr6C5DTfjf+FSxhjX0GeekDcC
8+047R3Z1VuXnHAru/wbyRxYDkM8+G492DmHhhgClZXgir5dryFqW6yB9aJtylInxdZlPSnJ8ZQS
ezyIaThJC+y0pDzkxgj+uuae6Xpg7qyPdj0f5uVq4X1zXrUjzpORNLu6jbbWD28U5Ht/nxxhgIzT
FGPO93L7Ri5p6rbN1m2fVTK89W4254b6NKtW788fXul7BCAzSQWsJtNUUnJvJTxGjLbYh2xKjT+Z
l0WckFrJ3VQr91YuKf/Byb5HACKBBMWBfqTCnN1DvCJt1QXiQkaamWRrvbHMNLbKqGnWR+Nsg65o
on6A+4FDQl0RVsMYQxyi6V1xtnXbxZZVIbNUJlnSdr3uY9PkYVz9KXXJx4dlSvZqdFetQbcoLCQw
RDUoid1db4ihpG3V+Ixt1lQ6Vs300uCGWu2Qja9rgoXRoEDJcyp7nObFFsRz3yr+QSLXpnqmfT3p
cg3Y7kRvuNyZZOzrDM6wLXlRM/GixRN9b2aL3vqK21n3ZFPP685hf/rwYQ7JDhSEStBHAaXXvap+
o4qh8rjlpvfZMiF1aUNoTrq4bJdd2bidHYnYPbxeqvYqcE96UCaESQKFkZSc3FORjYuB+rZvspjI
eF6UtbNaeTI+rSrUm7zBsTpxIxqtjuNSngna0teTcOmF8+W4asQ6Wj9mq5q4rrfaVpop208ZSUR1
ntSlWHeVFACLT+16QzvPX/uRJd1ZyUrzyMSujHppCIsnvQnNeRPLmu7Ciu2fYyDDrA1XZjkxSqk2
Kxnnj2wDIzw7aQdy3tNQPquLdJI6SlHZjCmjWu0ILkqtVldfLePWP+njhK69WhnghtuQ6DUN1aKr
NaZXw8Yt2dHBrtuOuMG12YQWovTCBv9nCm427FzflLPGrpqOPUm50SL06aC3uvD8lI198r6oFv4n
+LTeaVA2/7rtt/i0GSN3mZeVPJUesWdbjeZ6N80lOo0SUX5ZwZjSG+eGnmhVIf+uaIN6yUIqt7wz
ZZrPlC6J7mQxsHwZ+TLm81yg9zP15A3r5qR96omhMjdrXDo9u2ZNstkukeiu2JzTZVdVRhsREM8m
xcAGAuZ43jlfY7/DvfFO2342j6SV5GXoernqpJrmVbu0xVXGLW3W3brOscvWlqtHCamXVW9TY6R2
bamq03HqE5lXvKnCjtVFveo0yvHlTHpwn2YxSa/HoWJv4oxUqacerTFbYz/x3Rqn8LZD2MQMqgwR
HPyS1jszSVccb9BUMroiOJpsM75/3FsVQRLE1iyTfp6RLu3G2HGkwzAf10McKw3N37LdkZ5ykydY
VF3mwZ7/nKt5KnNV13WXiz4dC93NjsL/M2RfpX2/zXlIQ/KmteloNCj4rDS14zZnqWzo5dCN46gV
qpdXoZ9ZmjmV+lHTFc1v5mkDLQppvVzLnstez3bwTw2Pq+h1OvRq06PaSnPMmN8erwalYocGA+62
Hpf2xIzCD5kvRjdl0+DimIu1LE7Fuq3ieKznGLOeezlkrIr4KWnTsto101CnuijMWu5GU82Pqrlt
Pk5b78uM4ql91Qo+PxUbGjtwIBtVWb025WPS2rHJVtDr+bgsXNdpPvj2Sd8R+hLN4Ox2qyL9melo
1+gyolF305xOx6lY5jqfByneGcS3F03PODjKMMaoV26rD3Ia8aZLHIc3jRqLmJt2ccMxDbSaMlHx
SmQo8SnRUfnlbCw3n4JdLtzuqloliy5rgz6CyPsqg0E9vuXbOuOPa2MqlAU6JcNuGNs1zTe5Bbfj
DRVjlnKcXJhBYZvPrCi7fLFo27LOVDzVZLJg5YZX7FLwZjJ6Gu0Y84SJpc2GrmU+G0uUDHm3DqjM
LE/mcmeTls86Dv36rqZ8pjokvno6JGpY9DDGedBV7NCshXLiNUmmJui6aYPNrSPzTrbes6yafPph
xCNstjBV8sIOzfqsm3uJTqZelCab++60R6i42tszOxGr9SIDzzS9SVifvoobGJHGMAaH9bjaucok
+DWr175Lb1I1mA3CJ5ov/IJ5qY1aCdPG+Aq0biZAq2JZuucw8DdNuhqdS0BFSbxs2oGvwJtQK/Qq
gngW7QzeQCy2iVmIxr0kw9Z0ukaIf+DDNrwdgC24k3mKfDgrwKRzXCLDs4FOaa0HuS40qxs3Xglb
2T4rB7uMx/NUW6JbJacym+cFTWcm+uJJwyoWwejrFGdcGuS14Hv3jM1cnxhZ0CFf2pK+InNQL/q1
QMMJX8n4Nt2kb8/oMPtmh+eEvV6NI0KbpuNh1xG8WV2a0T8a1iArbbfY3Bhp0kdgif1bM63uvahJ
nHMeHRnB48u5zVvSTRfLNCfrBbBk8wQp3zY7JGwgGlwy/7DxJNRZlfTk7dgEU2Ympv2TevB01JMt
V5vhBKNHeFTtpA0QnOZ4EjzSTK5sUR8BztlezUPDcV4wwYa86di6glKV5ENdlO2mA+hNvvBOvoxJ
0r7djERbbhK8NNnSziM6d5AfDFk7mLTRQ1fPr5UqmwIiyMafbDYYCt5adu60mCqFdIXWqc3gpxFB
aA3LZd+ouctwX/D3k0rrdlesYAy68aIgedWTSWWzWoC7dFNXyjPVucAhiCVNqRe0Jmd+cuuiZ79s
QnvsqMtMnxCji3qzl7WYI9pBAlG1sCHDwJnLzWw6epskJ4S55olvlmLNfajaRKdrUbxcgZnGbLHe
1Vpx2r6CoDWA5515v+uBJJqs7ovtnWhsNDvQ0PV5NyIP0ugChO8VT315vAlHF+0dYmU+Dm0a4Kpw
g566xtOsGTrh89XK6qwroti07Br5TsmioRAD5r7RBZvBrWMTtk0DtuTSCUNCFtv9EYA1hj89887k
VSubRlemWFyWJisYZTkNSg/Rba+p2HqwJ9aiTrNV0o/dVHQxI6ZvEmCYG7jTMWntGyRIUmdN69R7
nJbGXG6z7N9OePRdvpUru2IbHEEPFa0vgVuFJSPFhN9LL9GNSCzNJQICpVGcio/lpJzUgyLjuGs7
V7wKiAAWjNKe53PXFJeVGukHus3DrrWbe9uNK39SmCX1emtoeNo2CXmUuKUOEOraN1Iky1NVJcZm
vCoGr6sFDTtwMM1xVwcILIia40aW7qxyNdGpdPWceWqnQZcuGW9cX21vODfsReLYfEGkr0rIImMw
OyvH+GaOa8czb7ox7wrKxSNGLYun9cbnV/OG6z4DwaFHbpFkzXCtxlcTkKTrZUwjPjN+a14UzhLw
qySoKptRu+4K1g7+0nNZv2a8cH2WehuPiW8mkKFt2kqXE/BcPZYVGBZq2vE89LIvMzcCO8/V/p4M
gu76sRi7DkgRpj3O6sl3mx7qCT/f3FrQ3Hfr9so7kbg8Lnx9XDufCh2aJZbZCCqUQjq6pOFqYbN1
eiqcfOHnHjwzWaLglZaGO5NFXMb0uLbFsOSQNRTXI6HhQ5xj80KkGPW6xSPpNapdfNmZNK1Pixj4
a1Ba+cL0c38Oca6UOu3kkuR4UZ3NgQ76NGeoElL71lU+l7MasEbED+a4qPu+2NW4LblOTVuZc9Qq
d+YjWqqTpE5opUlLyOtklRAQRZf0NPPJ1kiIKMRcEoNo0JI35B0luB81RqFKd1Xa1e+8WiLPVVgp
cCgoVkFa3Pnqgq1oaXehbdMrNHqRnrJIXKkJ4vH5UMAXszQ180u88fp0RNNa68jq7s3qOLliSqUf
+g6tL7Ac1i2f6got2qKqAfrVy22F5AMVb4p2mpiGQNB6TduElKdVOttnsXKoylvZpRVEKkOfeBMZ
zgpV1EijuQT/rqZyfllZMTq9mBV42lCPHjYHRMBnjqfJ01CXQNGEJ/ZsciW4JJokzQfWICB827D2
z1ZcEAk4kem8D/2KtBwn1WhgBFV6ssh6T9O6ufC7Zj+wndu0357WSRFaYAey/4AENpB6YFJUWVHF
bdV9OeEzVQpxKlwbT5ZGkR2DSNJkE17FqRtGDMiM4/R0WQ2w82KKPaSsS2RNjkhcnyRinqZsJWWa
PGPQGtt0sZm5g0iy4RsGFPEmmiRI3SsiBs1KD3WFpSs6qys2NzHnszPzqWvmZRfZUC070bZQjJGj
H9+EIFeaoQmBTAtwpjdelTKf2Ii97utms7mSXZXsXIcrcSym0ci8tAVUcXhj15ANpLGgS6Fw1xOQ
oUKHoimmLKXgmTMb8ByyNhj5qPaxocdyWhbwA8AIdZBoWbMEh6WBRLyldZasCD1jVbFyLSvvaLap
EUo87TqsLJ+9Hx5Jum5jVqYBwmgTJ91QiPfAyuFuXQQ+F7pI6HQjSkZrSHs4tsCGO4BwCVs4Xdwc
2twEWlSaTxIjPYlpeVGrbr5UwTVUL8D1zxrcr42eIFE+83YChSvanl2N0zKfp1A1ejVh5CFDANOk
wO798rYgpNPEKuSPNw98EMorPTmO3A8BEjgI1bs+YcuzQiay0INo5ItViGTSi1PYZcqNW7HDUGyK
Ge/A52QJ8AKXoXparthqwbNtFcNPS7fxmwEPQOt9YWodaNd9TOkQ3zemVMvjOm79G27rEfigrEtz
AsccQua867tnY+zo6zGslcwUMyzRKsWDzaqQYiBUKILllA6Nzc5AzDW5pTXyeRH77RW8q8KWCxIW
qNbFeqGPcWt5myFagyduZeJPt7BCNreA2gsdW8mKXQTOiyG+dd3xrAJpsnTZ6kUnyxr+TFaSTjmA
j5+0Aa9Nxqcw5e0Y6y3vUeTnUBAVLCP1ZODgNjWXaSwdzo0TM7BKBQ5Zz9jZFw03QuXdsDTvfYvT
R0tth8uhd/OkvQ9iy1zdt29mGZZnc1kkN7XydaXXhBfNOZ2aWWZzNxGnHTDXR1u59ylzUc94Bzxp
n6g0irUakk51QryMb1Jp23iKVludDTQuH9J0peuJWsMo8qiSqsy3HkNJIaW8fMdGigAwZ20mgB3R
bPGqHbKpxXOzk8UGAvU4kZAqe1RnrBmsz2BPJT2GiJiiHCrBSX08pFydGuYLB4SZNdcbWDHP12Ts
LtukBGkbM1WPCZvYxzqs7CZWJFyoSsrpFMgbZHDLnFZ/kk3yl8SW4C9E0RVF1htbP1mBLKQZANfG
zHprzgK83CS0qAX76JtYjzmTw1K+WS1nS64ITAfmUwzoHGoTXOngyi3oEXdAHZemXs+cXxoGKSOM
iB5Pte+XzFWxbk8gsrZtPszN5LTZVKV2jQzJxcKqAU5Vmhp8TzVBnpwoCJdA4fr3AzG1z7kr58cN
bba3yzAMl7Fak7d+6ZK3LYKqdsYWRyCqr6ml56X3FFgBRM4hS+Y++POmHtfyGDLG/jrYoZB7+19J
1g+ubLOx70r1mGGLntuqlutuUnMPZYYuoA/Dolinh3SfJjtqiqs2RldmLW7lqJuA65d8mNnrCEa8
nHWDZzdrNW9XnilSZmnLTA3ZVCl6UD7MB+14oaD+4iED0S2UZS4acMLw48aplxTxLj2pYJrd5dSN
4FIMWEGjoaDagm6ydWrOZjqpy9Q2FUh8MuaMBng1IWPMeKCkdqTvpKi7oIlj0Z5JLvmUyz7U57Gx
Yw/e1xVRW9dKKPQXC5K5HWBa5ljOUHLTsa6Hk7FNRZeNtRi7PHTIP4b6sUmg4Nmt/MQPW/yzkDE8
8RX1MUNNbwqoAAnLjjsPFZrMdiR8qFYgmnoDslfrbkHjs24rE5OLsmleM6wgM63mIaVnAYwZYoyD
0Y8dGvvGn5s6ApXULEB+qXnE3AM77Ko5h6tqeDLXjr+rcJggEg1rAsHQjvUrYgabQquCBZmLrmhn
XZZr4kAlE9ecYCj0fZzXWl1uQO2jBrPu3kGIWy4j7oTJ9yVJA4Rj5gb0vi54juGPXYm4sDkbXJdq
cEuFzCrBiqc+tMBsypoofw71k/oCEoo16mSEhDLzkYntMqm2mWbrBDUF3Ux9HLK0Tyug98uU4ub5
Amezx/OYsAxPMuowUAHJEVUjy0o6mXknVjK9g/g7DsepJObR0hQlP+tcLe1Z7VoODEgKx3em3Ctl
LdrySevq5fW/eGcxskMC4EIV8Wk/+e1qVuXw+F+2aNZNdDMUwltL2hxB0D4NLdRIjh8uGh/oKoCj
ppxDWYAzIIh3i9RrU0Cu56Hg3iNRnm9bnLOkbOsLLDuoIm1DuhtlkNnDix6qU1Moy2F4WwB6V+xe
M4l2s+kxmADU9YC6jhPQkrn24iRw+84XeM2jhABVNLL9QYkc749zv0JOpZSCEvB48MLd3eOipNgX
U+q9ryYz1mU7t1AEVj2/wD2il8lCoDAg6l6HPowXDkrRKPOb6vMtKfsfSAEfEoNKKeYQUaQi98v1
PHZQpA4gBiSb/qqJS5uTCSoJ87LdjNM8XXYJjVnc6kZvyTCdTSy0pymLS9aYPW2dqv64L3uSSyf9
U+jNkLOixFDzpVb8fTUBv0HFvqsgCLkvN+FDLLbZeWg5JQxqSqO9TBI65rGWzWPfJcXzohbxBx2v
Q2jBAAvjCNpBML8u9x2Wbzook6jKWI6Vz9pppk7zFdfZXLfhJDBf71DSFmeY+Oq4hY5BXtmFHNOW
F5DmcvaDPtheL+7pjVLwUhJClAFcAsZpvt1JwlV0tOR9ti0jOa/8iE/WSi3PBRq2xw8bx77F9d1S
KoWpRwm9A8LutdzIGEQSGIRDBkXfC9YYp70Z+7P/wyop9JCp3Pcv6d4vfCPayE3EXkJCSEu87drB
Jc+ta8IPeqTfnwXylRS8ClOAHkSvu6tAiRmK9QGo8Og3d2xpQaCBDL0p8rfhURxwwXL/Ei1R/J5D
saYt6GwGly1w06nfH8SVDCrJw1r9/aUEwJLu27CAD763FAfSLJFJofgCOctF4gp5Rtoa7YKP/gcO
4oD04G1uCl5KIPhv/2rAtxiluF1U7ICkQzSkGqZg61OoI9ofrPK9lcEgAwY+ykDXGIwo3FM4zlVC
2gDLwLsly67uoToMEVW9WyaKd42rAuSJxZJbw7cdbx1Qjt5B3YUU4gea/10sUlD5wvBCLViaopze
E20pRUhG3vVZMhVUq2kflazlF+0S+jxWC81pmeIfGMJ3ThgWpTDtSOEjoeeH7gpZzkBOqr2K2n0C
S4FD6sInJGND2ehIRHkyoUHlbQWNjYdN8JDgCUyjC87hbVWF1L3z4rWjPKngvIZRqREu0qyuDYEM
uCOXISlxNqeEPK5FIBfj5IDE1xKaoQVZfqDThwQPOoZgXgJsFbN7JACPRTI0kGxlTVfFLKncZVfv
+40RunYllCzON6TC6cOn/17uTMHrZgzcAjhVeP39rtwFJNvUeqjMQajvT9aJ+GwbED+3dZlmhXQR
0mq6ZWYq7Q8QPyB3zsh+ZgYGkGEKEt9T+KFIoPNoBPxaAiGh1NWF/gIKOJBuw+9Z+HMZQpOvTWv1
kDRmV4kQduXIuhx62OXJwzL4LqqA1yLpfigI5olgxOjeRpZaNV3olAOcQ6mDnRfIpYGm17Pq9MNL
fedLYCmKBQyFwu8hkHz/qvq3vqSd/UQGDoS/sao59W1b7DhF6+7vrgJaBOYE78TLPbO7d6AVG8PG
ZbbAZ1E4IVVXXS2JFz9Q1+/FBmOPMKMM4/8MBrDuzz4NeF5UuUWb9T3kkZPpmhPDGphfmKD///CB
vrcMQfYBn0lGVApjW3fFVtR+MiOFpZJg0Libe5YcD5USu64WUCLbRiiUtWVsHj287PfGAXEZKADb
v9IHFdV7xKfyIYmWTC6LMmmOV57Qi6Ut7OWE5/UyDgTpDobOtBh+5A2/V5P9wkAHJIEpNrIfoPtW
TXA7o0INo8skWZYXbbqYfKWoOX34eIdWUSBS8HnwOjAc8u4qvFhiL/rOZawj6pF18vVSJ/2z/8Mi
Eu9PAYNaRN5zMNMIVACNLZTnaMNOZ+zbp9Pm1A8UBB9QRqpgVkkowWAS934uM9IlTJ0tLEA1ssd0
nqCbCJzoEgpIiY7Q59Y4DehYRGaejYjU2RbHxkM5uya5qWt72nFSXai4JC8dn9T1w0LAh0SdwjtP
RErKEJH3ACXTUpECKn1Z3/GPqCr9m7H3V2Le3AVNoc7QxtVlGx+hxi9nOT5SitkdluP8WJSr0Y4t
0BPE9fzq4X0dUvA0hQAA01FAP9C9qBvScWXQSHZZ1+PuuHQVtGwmXOZpJ5rzzU83ZWu7Y7ymHx5e
9wBabK8S+xlNaOKp/fVvaC+U1xRRGJSiEVBYmQoFlZECGooz6n7kpfD+DHeIPGgE5vtRT44YvHl7
z4ihdTklm69gcKjpYFqob1HetSvddS2MRQ1rg7KprNLHLlr5mKdbp9t0S36Qt5G9lt/fBJCMlOxH
ByUMht09cJuuUEcaoOc9MVJkMHVJdi0QDy1RDFCzXeszvC7pOTQslus+Gchbmi4fwyAwEBDoh3iS
mCeNinZnvJdPYeZ0WzTpvHhuVmjQlH1IMEwz9AvJ/FpzKNBXSEFrBv1oAPWAwnCYd4Vf/KAQhLD7
wEGncEU9HiGyYDbe8LJSVwUUhnZ84PZqk0XyCsP0wKOFQuXuYZXZw3RPglzifQ4DA5Cc3mcLhqGh
R9AqyDpY+d2sCnSCYPD1CmgEuvJr+iPTOGCxAkghhDUOc4NATe8iZmGUiCBDuqyFAcIrYNnjk9Uy
+oNTHTAECfKkUPn5X+q+Y0lyHFv2i3iNoObmLShCZqTWG1pWVhYFqEAIiq+/zuruqUxm3Ajr2b3N
mFV39ZwgxMGBH3eHh+N6mRdwwuQF8cEtqjGxd3ptMmSsNL/yaEuuTg8gObIGcZ6YmDzcZUCkXqzB
QdgWMkxXhZ0gWUjMqgTCNso9URrIGSIFG6XXCdrVOvZKbrTrrq8eSZ5cAI1K9oZiZ5LP9xF2CVIO
AKDfd0Vr/r2fkkBbspRKVVWhpZFibXGUmS3Ii2e23vd1g5oBVExce5EGUK58jeIb6Via2ENhWg75
U90BqFSd329q0HQvmxotgdPD/H1GEc9GiQfKKYjnxiKlWhrVUW0inmXU+Ypb6LCjx5yssobr/3rx
IBRMkXDeGS6W6uLTcjT7Sja0ZehK2W3tuT6aqDds7dwrzoQ6MldziQw6/XxJQ7G+GEUKroZbYsWo
Mm9WduVY60wR7UyUo3MFpQaWKYo8kHq+RvFIptOhxwcloM5gmuxuX6PTEYrBAvHEoepMAXR0rj7F
WxxD7sD03OsYvqqT0x1zPBWATV6ssqE6ByIcC2XirMNBCwMy11mkk87nSa8RfBpytRdYlktCLspu
r8nUOnOxOhYKB50NpAzSFuLMo/xpX6VG3w5EgapRtMLaKkGTwBwqctnoQotOL3byfcbAgQdy7Nmw
4AIwNxfun2JVdg1OlABbriYG+cGcBvd0q/CuW8hxilXTdE4oK0s+UGMCgYt342qGda+djCVhYbes
CmqWeJEAwRxdf9GyCGoKcmZLfl+884/EoiKgZfu2uUg0ukDd2EokWWegbTSQJFmlaJ6uTo/F92H3
DBTSDuyuUFTD/+PrUKAdDehIuWVogGG4zpKq3DLmTJFFbXYm1PfrENQuBurd2YAJSNtiMTW5dErI
D0owj6aaRiALuI+DB2LNSMRQB3rpkjRU3niuij0y2wCm8Ik2PBdw41vETXwwaS0U06EaeycJ6jTl
6FwTsVEk2WPgm1tMPt9hqU+XhrLUfqRus84ynsatC8gqLFyVPwyEXuugDdwT1k9npvr7JACKcRz8
SkCq6KUufmHqi6HVBSh1neHJO01Pm4PUgSplqXYOsPs+GD4uZlhTQCExCe5ivllFdTRtchqWmu+/
Ggb1AgVK1hB1Ymyu2ZiNZzbb92XsA1zEUiZIkDpA8K8LrGjBP2AtoJKGWfzB683x1usmpzuThOff
/bXQQmFnEmQQKPoN6Bq/hmntxG48OgCEQyNxNw0VyNkS/Tywpr1hZmGDH6N6r99q6D8Gfgny1+mN
dOQ7cddHpQx1uo4L8PzvP+UUyifiGxV6DCij/dhvZBHTbEjvTkc5slJQSboAn1BNwtll/vefoiBH
dmDbiQINXVPdilHdAJmtnu0SR83pSMe+x4f4hEC3g0PaWeTIkaVa3msKREbdT1ZJW6kfru6396ej
HLkBA7kCgAr8EJiP4S6Wx9S0EOSUsggHrZNxYQjwAqjwhsgdkyLKqZ/GDi/HyDIEaBTlKOPB6d+F
zb11C+7uCuQvEOGLUYQEOPd/saiwrOYLmGfNl4evow2aZoKii4OalGf8ioMPHNYU/fqJDyCOYDfj
Ku4k9ap1SvDJAdWeif9tDjAuWDXIytA1YSYWeQHJsUukbSZBUSj6kGk+Pbg8qc5E+X7NR2mN+ggo
xIwko+D8+plU60uOAzkLdXD0RgBDWbYu+gQM9LpEz9qh1Nv4hQcKKAH5Oq6y6c0imVpT8MxjLZci
7rTSfcjALoh+L4+/1Z7Xf23gv5SL7007dnma/W2b+58//r/DP168vy1b//zz2Xj3z5+u2o/6TnQf
H+Lw1i7/5hzvP38V4f6OP4s6v/zhm7z0H43lQkD6l7/v//Evv6hLv2icP6tLsZ5Q7Jifdss3iSkI
qrPd7idjgj9a0//8538LTt3/QSsONTWgYMBvUJ0iMfwtOIVfBpBqQLfITqh4ACr8EZya/0NmfAsF
v2XOCj0sQPCrfgtO4RWMtYdF4WAD4H/IvxGc/oXI/8nP6E/P11HX8OaNPndj8eWfE5dJtZyrNMlC
f+SrobbFKqmgtCIySPq1XR4qjoscCfq8sYLKy18GBSinVWkgcSMJ2LTrtSpET2lljfaNnBQ0ZjkP
uOYVgcqMN7tK7rNEllucDm1U6fl1XWv6qrXIPefam5mJ2yEdN+DXR4Xy72su9+MILoycxnfIVtJ4
8Me15dsMDFKhB1yAF1dQdWmrJL83NB+EUGfwAmBuoQZoJnJoARKSoYccfCEzX9d69tgOvIonO/s1
Tb4X6l6SRBOz7cBrrA2bui3v6b3uWJFegjvqVE5QVdW2VnytHAHdUuHHFtk3ozYGFTVj5vZ2LH33
qeT2j6pxd+gmohZN15rroEnd7G0yru3chPhEj7M2e2KwTy4N1m6HybhJIOlIoRUZM14Gkplbq0lV
1Cg5BeNINzPKLpzuCejpqso6HdRRAohiyKB8LdVVKvqNNhR2UCutDqSdr8xU23q25BvV0ZsmFzSw
WBaR+t7qzJWpBnBfzEPdHpqaBn2RPNeZAAPO0dekBw+rqSLu+nE/lWFpDDTwqs4MJbD+EDJqcKIz
dUGFaUcOeEbRNCGt9yAtxWmmgXcLFnZe2hR6rexQgzVup14X1Lx6aEhqXhiGdutyn0esq8ttQ9th
r1gL0UOiRJibH74tZGDl9H1IBy+EIPvDKUGZccnI1p3DjTCFACjQ5YWJ8lo337rOWGtOsfF9vm0K
e6/kutAfoTvYN7IKqEafSQ5qFQMX1uPA8Es149Cg+0zuQdB0nybJjjOxAur5kuQkKGt3B8KBEUAl
eKv04gDyTlS0clgxPtyklr7lk6XAMU5/po59k4h85ZNq07APt7jqDJDt3R5qaLnSOgc3sLK5THs3
QGfhqrasJ56QgOpjE1eQF0aoi7JAH7w1N7ASDTd7ZS0W/cDGG+H6TWAlGVK6lDv0I64KEMk92a2U
hrNWJOOBWl2og+YKKPeDQgFqp/JZtuU9sgZoLGDib0pV6uuRQ6DcDK/KKAIfxGCHj2tqV2FFR3CP
O+uANumqZeNHwbJfo508J8rY1dJ/KPQpbkpc7TzxahfWgQ3eWzKzk3qeIgnkL70oLw3Jt33FNyBW
esE4lNeGyNwHYM3hYAw4bUsRpZa7wx34ukjkhQdGGZmKDaHZnUONaEjIxejR0NOH0NOaCwp0loAZ
X5hdoDvqenLUNjXrD7MxNlabuhvQ0AMfs1MpGrhQTYWusJ9MJ+MrrswXZSYbby5GCn24pPZ03faV
GWRtfdFagFxbg+H/HkcqSHb6j37iL7mENqBurJ9o9236aVRhIoURFukQJx0g/dZLwKOrgOCCswWe
sNy2Nb0A/PEA3VC7QV+m3ZMct1HZz4DutHUKnuyqItt1vo91NWTbVpI31oL2WNcjOtzqIUHtEOrK
jXNm/0y6qYnNlt9iru9y0B4g/fJ/VlYm9pOetEFCY/8OJGN7n6e2FXs53xlTgSuZVq6ajo1rJcil
o00i0BhblUaK5rXZ9CsxjFNgEulD9Coe6rR60YWzac35klJlUeqmcl2BixbUtIL4M3PMAAQjGrQO
eQZDHcIYt4tLn1x7vF95oNWG0myuvYJelwpCQWBbeeCV8jkf1WWv8V0JGs1Gs7R95xR3JB1zQH32
utW0S1Nm+7wy7yBlWIOev+2tYozMvHzSMDoh7oERHcQlFDgbNgt6uwrFvxk33OFR0+gHoJZ5lFXA
uKok3bJGRo2w7tXYvWbE3ILBVAQGmKhBkskXybR3mWcPwrCbSJD2LWkSuU6dpltT3blTHrlxqIa0
Vh+UahlWIngHsZ7sfGUBgPW8SC/AuiVcj0YvDzqpCXTE+bpJ2w1zXTlTht86v77z+HRDjfa9d5PN
kOvgHQ47CCdCI80fFIegOuO1DDJVayEh9EV5Nd13OX1sWwV9xkCviIuf0Wgb9MzfsceuRqkeBzUf
nEX6DjQT9FZT+8kr71nn2QVLXyZRXbVWcVFkpA8YFAWTqEXQlWJfGB82M0Hf1MZQNHagBoxxIy4T
H1KGrJW7ctbxKxMgPamzsHO6BBR9/cIAqxw+BpCV5eJ5EuoqowbyD9RLuQ8xl0WcNmB1u4f2ZE0B
sUaF6AW4WBOLW2SHvuvWUIGFgyRWAF3DC/ipxjqnoNAlTg811Fgau77qq7jrGM7h5Il47JA1Lgka
EPBydHBRt7KgcW25ARrzKotmDdVth/2h9DDvAaRYGC7ly+vGaZJQt8ne9sssMgZ/yzykx5LJIVKj
c9OL6aKu6AASlZEH1BD3KktGHPPtmlFnayl+UGTadJrGIDcm46rnmRUVlWZFEhpoiNLKK7OZHrgS
j6qYic4FiQ2on4JEVAFkKjdjKm7T0Ytsr99wG1ol3WBXvMxDvbU2YyJciKanTcL6S/CXn23q7qiZ
aFGqW6+j3jz5uLVzp+VBoY0PUIrudTLstXJ4Zq7WRllexqOsP6TRxOUE6psP1usmnaCraNOkDlqr
vmIGJJOZQt1Rg7gd2+QVDePbnBlxQqATItqELq4PAYrnwyWCcfIw2jDksMiHp9UXxEtUIFpLbGum
sOFMG30d20/fIQHbKFyC14Vn3OesfxwByiKxNmtH8x91t99kpf+WjZMejFk/7Gdh2U5jZJXRadcx
bM1S6s9mx0AwqIXzbCVueZCWdDZJSvsrlG7qibskeWMWpPjIOm8Q+to3bZLtbRz0K0vzxa1Olb3m
NjRuoGwb1a1kQLUCyG0HHoC5CRWwW+a7RPr5LSTAxaUwJFaUJHHl6+9tIVhsKuci86cfnunoMcT2
2irz1IrqLQRhTosq1dfvfa8PaN7a0LGnh1L4V0bX1QEwnixoG19GbtlfJpW/sxTk7IKtJwmyb1Y3
W3i5KGRXHuAqBOFQdjXIYZf7EkWnvMSLAbeJ/csuxo2rKoiTqn5bmYmEyqx9oal+r8k8zlvttfJl
GZIUanppodNKhBnYqQ3fAVLfOp0HHT278CodrJyi/wWN+84DF3LtsgKJRa2BaFGUXf1VTrxVpdzQ
YZoTFs3tCA1bnrb7CgL/GhJfOQR65V/xTuvX1tiD9mEOcWaQQNehl57cfdL0a7Po78EJvC90A4rc
1kIVX0WV2/5oTP+nlZtQWqQr0sBrYHLcmJOfhl8h9458DUHC9TSrMHSNkvVkJhmE1gzVlMwiW2u3
6AfWgevX4BC5b8KxXv3BCYxCpJGZvNe5u7JngjRRZDcY1W6S7KrAAZ1WPI/dns0Ckhwl6dUko8QI
hgSkb+r2Ksxm4oeIsBYu9Twm44FZUxqIsXhP+bRRU7v1GvD0tTL9NUJ3F1I/f4Ul2sUos5VZGVcA
MpECK+fgZe4q62btR0bCFHdnkpn4h3rMGq/a+Fm6zXJxbTdqM4D5EmVGHmrS3XmufDHF+IaW6U7o
bzCjOIw5f7KMlIZVV3aBqcN8ozHdNRQyj+6oXaqJxtxBbTsMoZmM687IIJXXNCuYJrX1VfXiT/ad
ymk0/KhcSNfzkj+VWtmvfR0sk5RpN6M1OUAuyBaK5/vWaN/gkHAwXdzyO8njrtCjMhv7QEeyaXS8
cII6UoPKOPdJDW0oBM6D+NE5rMAFgr+7TbmqRZvFST/e1o52L7IcmEG61Stxy83mUS/G/dRU7x3X
n0usXz2HRMHSptBvHuyqeWy5k4fN1H94RQXyf2FdCOFvuzy7QXEJZ45BC6EawVwK9JtzLte8fjEs
d0OBq7WCXrMaRg5m9uEhZ+EvQb7QD+5mzDs7tmiu4nEY79Ni2qUO0i7Vofvsuv5psLR2o2q+0Yr2
go49XU/uTx1EClSIPRTpFV+bvcD4J0U4NkAPUWE8NqZ8nACcBnXC49opL4q82YnCsXHUuWheTTj0
pgKXKEX4Za6Tu1rWENEWBz7lcd3j7zWuNd1Vfo8i3g+nfLYOKclTNeSXHoQXNXvsSAu1jhvy0Qoh
cbbDgUwQnOiwRmA2ncISBIOe0KjND1XJuqBXbEC7qUA3QnsZKbvGaBQ3UGA8NRUU2PAX8XpiQAHC
nsFymg4Kkh/WeS2uuYDBJYsMrj0bfZ4GbutcKKgzGkOLbEJuzJZeI71vBlOt4KcBExdc15BdUQMW
RE0BcilkJLiXDaXxYMvEDtjgeiur1zzY/KTXQF6fE6/8adsERydNRNCPPs4SoLChNZqHMel+8cbm
cZV297BfmQ41ENvQAv9loxO4exjGj3H0QWzRL5IWbDrbh7bNbDedX66sBv49KI/KZw1SVatnuG6/
wi3K7cSKu5gBswb939xpisBvwN0pww5suRXksQUKuWOidcIBok0QapLtb2jmXyFV/79hUHNXBJDi
/21y9jcC9c8DFX/gp7//y/+AT8AngWo7vg6EHxx3YMV/3M4AyqPdCzMt2O3iaY7P4BPYLWg9ebCI
wiXSBGvjD/gEMBKME/x3MFaeIat/wLYvmCHe3fr7z5/dzr6xP/D/AyXAX8gYAPq5JfIJMx9xtKX2
6LehU3irbHpKATJkfihhqWD/LOq/IMu/HpQ6Eu1bg2WOhtKIwGbNgIhrgdlmPeGTC3sjGEJcJvRa
uPAegFg2+bdN4EWYBZ7mpT4MTnjLwkS8dQqKFOi8xc2nyT7yKd8adosYmLvPAydNNpGkhW5jFAKy
qDvBL2z3Av1ZHNfDGRD6W2NjEWvR2JikAVcwax42AyWNrVZodayhEjzDjfzOq1rEWSwGQmpX+LOG
pzY/mP8xTRdeHg3iwmp2uQcg8sWrzoQ8uvw+LYhFI6XsSr3JLczUZEY4HNL2FoCI5704aQRDtjNd
m6PDCO9WcHPQbEUf6uuUNW5pAGVPoAkb7CtSIN1B4eLTc4qW352HP3Du7CCIVf4pzmL5TdC0O6pH
HEMCF2Lv6E5DaQJ0xqPiCkD/ilUism1UudCeB7TqU5xZReDkr50Bi520vq4AjgnvqaslBJjTrVM0
K1wWr6bunKnfvEpP/dTFKsZhlVOzBebn+z9cXuxcJff/xT75NBiLtUtdT+lkRAsore56QFY+pAcp
JOL6hTVcnA51NLt8CrVYvlA+6KwiCMXYo5ylzvK+rR79oT2zjo4MGjQqOshdNnKztyTYW8JzWQv+
QVgW2abrx71d0tXpTzkXYjEv06Cjk+mICgIGHtiw8RjSf59TvnzEYl4c0XlEc+BalqWPVAO/sM2D
0mrOTMm571js79YqE9TKiKKnOcCeDx93wv9mpP7o5xaTLiCTteC20oYtyy5Ukz8TLV+fDnEkb2Co
/oRYfETluGnHK8y3N2K6n2R16zvPp0P8JmYvNiLOdJiOmlhR0BMs2oxuqYnU0aDLyTwRNm4fw+xs
xdnbhLHLJXyaTG1fZuZKpcBkHXA0iDqz5OaBOvULFtmRlOgoOSUOmX58ddp14b+7iON5r6e/9Ohg
fvrQRXL0yrb2ewIRnsQ91Bh1O9AUQ1fBPHM+f+M8IAd/HtDFDqrhFcfHFnf8hO57tCrqKy9/r1m/
geXJpi0/uqmITn/Z8QGEtyZaCWCsWIuVyHW7p1Ii/Qx2HvVKhobQ13XKgqHiZ7bVuVCLFTno1E6n
asKKTPs86qgMRoYuQwlPl7wTZ3bYd0bY76H882HzIf6pRqwlTMuyFENZTdXOKvnKyfRLOhpProLH
ndKqjaENq7aiQIH0jWG+pUwP3XYKisE+QAQUmMw6s1+O1A2oWW1QdbAx0dNdbBfp1rVKGOoGGEKw
jMadu3fHC7OM+vLKG/xzIzCv/W9741O4xd7oQfQENo3dKfxNCjRJA1qmWhhuXsNzKait7Qhki0Nq
5tdrGw4qpxfW0S0DqQoo0tB6gpL3dfyVqmWJri3OtV8gEqNrtvZQ0Z6OMa+Y71/4J8ZiQBmsP6TW
I0Y3Gq8+sy5hkxWWJZ07QeHUk5fT4Y6VmrgU4fy0oY5H53tx/CiNK2/IPJyhsHbr/Aip1RiBIG9w
PQcIsDNSEXX89nTUYx+Ja50307vA7loqEuEoRwXsTqDHrEEQhXltX+Zr6CIDVyNBBc+h0+GMOZct
BxWqT3DKEMtB1fl14v5om5287aPGVztL0B+5cJ80JW+EDV+LvoE2PR1+Kq2PBj3pYqMy1yrTbpWr
Yjn+UsDx6ECbACITN6+hw9VlyH1HhCDOw0rJN+9P/+hjeRP5C3dVaMDw2vFiYrKeQzoocQxkHC00
P4mo/1ZMawuazZ7dTCoe7Cw+HfLotHwKuUicVs64ywHdhHbxamUfTbdhGiSLZWCNP05HOpY2Pn/c
Im/CCC8zE1AMwjptVmWVv5Ge7dyaAtArflWVt2lhYnc65LFUbeCuS8C0BmPVX2ysUh+raeqx5lD1
RnqbwDjKDyCD3rh6cmbqjuUJyKdBSMP0mXAp+rrcfDAxJmHD9aDh5SX4RjsXTk8OlsrpLzo2iLPq
HHyAGTlYkt8cTNZgS9wSLRuekdZ2QJ87Ry3MAj5dAiA9HQ26vCO76HO8xS6quScLA0a8aMA3YZ63
sa8/ORNspfqUbDkwX3eicDizb/qZCaFEH46pvxYjuQLHCOBfEcOkNBAiwc0cPqwFPZjFdJVWSZzl
3Apb+DpIE+6/BgxPdSPMdYkT1Xi1ZvJzth8qb2XSHu38AfbY9KUazc0wPKd+9gLrkGCs3Cu/89ay
8S/c+oeCySp8obd1xl+KXoM/b7VWNhBEuB25I4uV+4vp7fPIRFCZ4OhMXMe+MqyN4s4ahjFwRuRv
dfETzIwbrCXIxVtQDly4DBJYB9mBM1gwRhqendE6ZBMoJbqz56m+LcuZmg1bb1AaEmnGtqKRZHxn
WQVMnJ5qZBpFnVioJEr7D5hr7Rh7MpvsFhaFzy1sUjXNe2tKNOAqEtgmXYEQtPLgEpxBkC5HEGlM
UFMmOzkwdMmd5kZ13b4Ff8hozFWfeFYI/5pfcC6+gallBG+sBAo9N/a16gccYzf9SB6NUg+NHJYa
MJORlG4z56cO+iS8yizg6vxOlVWoTW7YNqA9tcOZbXh0EUHYalvAzXTQrb7ujVxqdk1bnDcVnInh
lwfIJuyS+kwmO5Y8Z6n/P1EWRacLwzdqwakXnjc3JoEFD9+k9JKrpxStmgatRFaekQAd/y7XA5zx
W4u2yJ0kKbqUEUSsuY/9p6G5ctVTdmb0vrMgUQJChPmfMIvEmaWVmaYawjTUAGMY9nVwm7wrlF0G
God7oA1nSLtkm8L38Q/Q+xEgz3Rwe8vgdU69M2n8t3fO8mD9/HMWKQG8psrKFVKCm3mQyr3BFQhN
evs+ydEVLEHEkI0EIU78dFo0LhxQiDQ0mW0v1oDKZAVWP7q34KptzNwIZQ8zvnamnaVnlsOxgw36
BAcKG1QB0Ip+XXSemU+wnkTh3Crv1rO0eHTAJCnG9ci6nXT6uzOpcl5ey2GZaeSWDzx3lvV8jafb
ekpNmLmHmtBW8NULYOV9Y8HWuKy7GIqld5jDwUNahm4Jpxunjn1HHsAtO8B6/en0bzm2Lj//lMV+
q0yzql1/hNdK4h+alO/wtsUBrvjr02GOfrEzv0gOlTBkOIvlrxljbpWwGQiHZNpY08ijfCDOmQPv
6AUIl4zfCgSofZbEckJgQ9UPM0qmyZWHjOh09sc48Whoeeio9K4yXjuWg6Y9BAQMv2Cs0VKs82ut
a024V+aRa5yrK45+Oep1nJcooMnMTv18KaN55voQKMBmxnTe3dRaORY7V6QfO+lhFgE1IxxM0NZY
jC6xlFWXBhzSKrw/oo0XzYhe1OOEfiNYaSO9ViXIaemh9q/B7gBTDIaS2wGMcF5eQNxsj+fm4Vh6
/fx7FlnI0Xg1uinmQSSHQoAT9YvDuyuzAsNdl+Dr5GvMAlTAUAKuUg07n2zbYUW6dxtPEZj6Bna9
p5ffseLu8w9a5CFsOPiD15gEj3v7Tr/BWwihFGCbnDNsOpZJ5pILNyXfQyt3Ecg2YJiGpiJckkDa
qfHKgzbxWPJ6Lywwkdg5fcO5cPNEfLrxy1LXBXzb8V1TPEA7WrfXEo+UTPtRfzs9gsfyxKcPW6oI
iqJjYgAdImzabM0tLRpSbDExbk+HOfNBS7F2apWqGgZMlNLInTTsGE8UwM+P4mqr48md/kziP/dV
i0Rc1U465QxflbM3kOr2UmcXZnV7+puOZQA8R2KDgw5NKsDtr5NUpDDgz2wYTfUFwTWdHip5Duk+
eu57v+1AoOtFh3Kx7hynsKTWzicKmK0yFtV+hh/heg0D0qKiL56Um1ENMZ6l8O0fphFSYFH/xWdC
XwmhjY1uqLlIQjBNymDIiwupFLeoXwOGYvxMhHmklucmVAEQUsN2Cl3VxXT98WBD4Xpwahf+8tWq
mlm2Fp5RQOc9cGG5EbW8fzK8R2nIre5XF9Kp01BMxR03B2jk7/GK+IXhN5ssYRfCy+MGtJm8t8PG
cmJ3AovKtFdYg2A40hVv/SAbdJTXVQBF24o2dZyaxhX4La8JCmJjqDb52IddDp4iNygo/TQ6/dVH
c9enj16c0GDRMDwQIQCQyi4E7y4E/2lfwgm07O0zK/Vo3v5jvLbEXfrOS6g+IW+rzjsMmg+FgLFj
VXuFWuY+60ALrYtYUvffNxc99OFm9zLch6Hg/rpBPClSZZAaLY6s3SR1u6I9ASeexfjbT/AE3HTW
/ekxPbrvP0VcLCTDSqVGJSK2qQfu2cpnT3hJ4785dD4ZzC32pKFPCvw87HsttdddwwK97ldU0qu8
PRfqaNr8E2qJPMIUDNhMguaKDknggG/yBjxwYK+SZqO77ZkFeS7YYro0NzPhhThXy2INxVWg4fxx
040xXerey+l5+m6c8LtD63uQ8My18vLYmeTAGXEVKrrits4tSJbB7ywgJbtCR7+VBihi0IC0oM9C
NJndGuLu9A84tlB8HY1i4pjABpcOJo2pQxWGrBZ6UH401yK7EuUZ4OTYcELWb8yQ8WxGsTgenB7M
VryvAVvACaD1iIcSrJ+m0cN0rdqNnK5Pf9DRaFBDQkKleyiRFxWDmuBlbFMY68LT+jHrtNXM0lcq
CzOYjlbEfzgd7ljyglz6n3DL+dPm5z38AmvFYHgY7024BppmBy6H+HSceS8tT4bPcRZrUvZQRRse
rjHMUHCfNfCoDAhplf7QpZBDEDPFCwznug3nvm2RRBoTvvhdgZhykGC44a2I18bfqHPtqt/2Kt++
zYRZB0hJzvz+4Nf02LmJjncC0Ymjk67A+NGiWocFtAdXZjw2sTaqZD2h0szbIQu8PgsMCiakBbUp
dw9Ok+8y/FecQDuBN3lApFtXdnlzevSPjgTQFIg0UAAAPv36CzM76xplYiSElv3K/WdHN1Z4RjEW
sl+djnS0HwFmCJoRYGRBpTz/lE8Vr1/5eGQqn9cvBDPVYezXBo0MZ9v1B6N+8Lq7AeDYmZhHkwAw
FaC1EBPjgPoa849TaNcNq0xDVZWIKxDqYSv1gsbeRUdRQRA8J9Kwtoq1rIt8YGqoYykeZ2t64KF4
Y+D0bzr6k+D84Pvze5qAsb7+pHZSzEyzrg2LLp7MK897mMXip2PMs7ZYdz78svBGMpg4Hlp4X2PY
SPIO6zHUvvQjImYrrNC3Dp25y/qQ8NsEqsHTEY+soy8RFycmWOau73bI9kZVgdU5/iImuy/N4dbJ
0jN43PeEAdYeniSEuR3g8W9Szg46Iq2erak0UW/9SUUZ4BbDfKy7vakO3Nue/rLvvAE8CoQ0aFio
0lGDLh37KjwQM6kcibCw+KqdLjoJWBOLRby5xl7k61Ta0ByCJAuTATc/w+35nkJ+R/ccBAcE8Y21
wAE116ZRtbBsBaUHvVgzcaD7u6P1SwlJegKJTItXN/D6IDouXphCpVZX6b7BMybO5Dz3zT0otRHw
WlSG//oOi98GX7bZfxXHBFLI12WG2xda/N7Qhh0MHEporjqwo0erv8VDauvz4Nu3NbYIN9/WPiUQ
AbUXXsnBzoFnWZDgeSetRV3LbvSkONP8/56rFqEWeWNgeMaNuXCcTAh1o2QULyzh9w6eYsDzdfre
xaODAa/b2AKNwxN/k3n/Tw7ntxSB6MAgkCJ8pGVwVb5+aOvAlURwCvp38SBNgrcT9xpegTq9rufR
+pIjFkEWo6k5rvS43uETAdXb/bBzs/H2dIhz37EYRVz1YBKOHkqYW81loapNPY33jnPOAdb8Vhn9
/hTQXWGqg3NlafDNoQXEizHYoejbBYLdT91Vmz647v3gXDAvro2ohepi8HY8f8eLeon1Y7B3OP7h
nAqJXCjrlRzWJMNrKSY6sFHP93Cu1a2N9zxf3lj2UqKhhbalyppYdrfIMjZ2XfUDtIkzBfp3HHTx
KYtDUq/9SeiMo2IwFV7Q0q8aou7wlkGsw/VFK6ccSjoRafVjasMhGs/RkcKKaJ7irR1lbbn7v6Sd
2W7cyrJgv4gAmZxfSdasUmm25BdCkmXO88yv70Wj0UcuV0s49z5teBtwFqfMyMiItd5Njgm+foqX
PjvCeFiAS9UNHLS/38acrLYoZkCvpEJp+6qv1dbYMc27stV/fD3UxRcGqLzMkk3Ifl6yMMuSqaUJ
NOfc/JiM+VYCVa1J+jdz6oVR4MCo1BZytGrgxvj7gpJq6KVKogdUyKhY9pG/VfpvJpDvhji7Z7YW
a3R0EVaZ5qk3zeeck+m2SJ6+vl3/LPNwcamRJKNi6H9U7X9fSGCMyiB8Rhm1we3ntS6vDOmK3iov
r2nBoei1np+/HvLCp8aQC7mHYguNaPDvIVWliYOU2kw3j3vAk6mH13FIHhuNExB6Ir4e7MKbx0kL
RDOQNvCJzvlpqGe0YhqYP2w7ONDAgXvDMXpBbvzH1wNdvJGfBjq7qr7iRLEN+erkdJPbysZQn3Tx
0GU7sRx54Nglhfn1iP+ery3P7tOQZ2/IlHWKBcmE6SXZxGO4UuiFzKqror+dpuuh8GRx3SnuRH9f
RHpK38bRTWywtN8pttvIj0P5q2iOyn9d1n/2q84WBTNX5xSHbOGiKyJqtGeEohT35sr915d/8TWi
4sBSgX5p0Jn+fo3wbU6TD/ILzVRzxHlMqxB14v2rbVw139Usi4uDUZJkg2VaoNlng0WysDtJYrBM
6G5jpd6srIJk2wXbFvZ9mj80PZUO48bA9jV1JAwbePHX8IBcpT5W4c2gcTqDhyWXVnmyaYPamdD6
SnAQ9OyjVV/84pu8wsXZAx7K8omxnBlneQU9HowGnRQZ+9l/7tEu11Z6QIr130/sQBdB2DKnL96B
s523n1fqKDrCt1Cj5A3X3UzFybB06KKS/Pp56/8E7bxYn7HlZ/uDxJYkCCxgyzvZTt0yVR5gcNzX
MAQAjSkrrZ+PTdD/CgZ7dvTcphi3PJTqjJ5g3E25jX1YVq5irfYUurWdwIL6oQVbGGk8i+lUG+1N
ZST8vxqYRLGvqSRphvxjaoY3evIeRIL6lZ46w45uUH15Qel7k/5YErYmnXJkktb8GSJM58Tdexss
LQQRwIIZVQ+4oyG09lnYO3Jtr6tBIfNYHJcIN6F4V42ia0B57yYtwLHyq05oCKNb/eu7d2keZM5l
08g/hUfp7OZZgZ7ok8bNC4ny2fhkiTdIaFjl1f9gHBA9+BooH2aX/vdX2Vctwuu4YKWP03VDm6I1
UnQqh1uYc98M9afa+iz8hI3J9pegDb61djbTTMqE5DSn2g53cY0MOTgkir1T6CmM8Fa7YugaUqH0
MQYvZUNzcSrcry/20kdGKRe1xEvEyLnf3xdb2sPYVVXCVFdvrejYJev2O3jscg3n18ixubpE8Qvp
cfkJnzYsnCzE2rDM8dAyV1LSr7Mkfvj6Kr4bYnl1Pg0ha62fDBorF2ekW1X477H8X9e/8OnilwAD
BokMmN7ZbJS1balkJaQNsMvrkrWhSKzdqH+zBP/JSfxzs6h4Q6lAyTGVBn9fid1YYJIDnkeBEkzp
1opGJ72rd7dxfGfaRwVQo2a8j/4hKX+2+b0eX8uqp9XH9r/nm3K9n37I2ZtpIzouMos3U1TtYx+I
LeLZ28L+rrrg0ozIkmSwCBLZANr8+3rNEMvoYAeYFpvIzaPe0SViKCndAsmd+EO3LsiPff22XHrn
P495NpHkjdqBsCkLnJhAFkS6HcZ4VZNQ+N8Ns4Rbn17KIYeqZCXcwawp16pIV3IyXctS980wl3bp
2pJ54CaSoWHH/Pc4RRvJaRJxeJ5I9aFhCcFyvRNm/JZPduqUEFNof/dSuTr52vRNFupSUPF57LPX
dVCtrA2X+cvQJIqioisjX4ocJzZuiWsm71/f0cujLQeoJLwo5T6bSSRDxpoYCRDT4dE2jnNx0vrc
ledfTfxNQvjSSEtezSB1CJfvfC89Vgi1tZ7PsDa2lnZo+70kPxb5S5N9M9DFp/d5pLOpC4FfI5XU
QLh9f9Cbnd09mJhsq5XVADQ5iUnx8MB/fRsvrjr4PXhhmGaY187ezEq3Cn/KkTcIa7gJzXZnhCXo
GEYcYalV+aHyhVvn2XNQjEjC8m8W8kvfPGVjrOS8tALc7d8vbNiXvDZYkVy511ctdnZjUDaRVVjI
hk2oVEQtRXT39TVf2tt8GvOccGm2uZZqAdYAOh7XwzSt6uJmzG6a9lpNnDq7N9JvzoQvvUGfBzwL
K/NBDWpjYkBfMKkRWqq65IoEOFEbrhpa97++vj+r6PnC8Xm8s1kA6mmpVMsF4phCM2+tYiT2dZiu
jMyGaItmjZI9p+fHmK25mip9NzXxrtB8L4Ujl43aN9PSv0syDHNj0QOKhYl4fs7BuY1SUO/Feqkf
A+tVroxvrvjfG7wMAKiavQx84PNKGyujiKTMmfZ0m9RFeGVBFS7sjynr3Tb/rxMZjEUZ9KK1WqrR
zx6mLlHIm+u4Lro25mE2Ox+MjG9mu68f4r8v6cJ91zkTYQxW/7O5gA793uyiRTfRXtXGyjCvFKAY
qQS3L13P2r6e+2+e0sWbCJVSoCejLPU8/IM9NAexxk1UqOAnxyuC36oOVchcVd/Zov4N35eL+89Q
/ywVvjwgQaeyXsqoTY22rRzMTtnYrt2P7f/k5fg02Fn0gtG8nUkZLciLaC+NT2X/y05/z9FHBULq
64d24cv7+8LOVqWipJS+yZjBOQRYUWTi+JirC+qTp1LZ9lSpyzZdlgBQ8iFiJUm9Tss3pa4Dx3kv
WVm+/jmXbrP5J3pEzsUx3VlwE03CHBufeaCdb3SYB3YBo852y/ib9OGld/XzOMvff4puWiOq8Gfz
SUh2dhvPOEet8ldQma/GIqmdiFPHIaDk4Lv6+gtHQQYZZQQwZI4slDhn71HDw5gbdWDBlORjIsU3
2gSrrBx27RSsumzezLK+VTPFA0R2ynXzJwbb/aia67yirUGKvLLEBKaBjAHdWQNY++Z9+De65Pd9
8i+d3RhYMoHINYM2jPwkxufc8uxu+/UzvrBLMCglQXNDFZkNmONsPrJBV0Zw04l9DO3G0oerlK6p
MgT7ZoR3WGCPhaJcSYrYx/7kWqm01eJwNdjFah4MLwiy6zBQqOT5zsHwJ1r/exHid/GjMNBRxMu3
/vdLMcLiF0VI2FQBJIjldyT0G0udtrIce3UduEHRbFV4peokn6zCvO47/Q5LrhNxdgVVeh35de3J
2lA6c//Lolejw3QU0BvWWcjsuuZXmVt3Cal/MONbPxtXVaSRmwvu1DJYFTCKgBJVIOgmF4vNg1kQ
A4NI6nRz103SKoVSmg/9IbczOKLJNYvhNln6WLTpN/mnXZJiUO4p3h8G29Py/PeMvgs63XMGezSz
TvQQv5hKtO4jKkhJEKUxznSrV9fVWNymCcULCnn0YfQaRCk6bga7DvdBr54qHYH2NGyDoruWZA6i
h8I4VdC1lLZ40NA6uTncv6/fkUvzAIl9XefMf9Gvnr+GSM+k0WIekMLoUddAdIqy3XW5/sRB8e+v
x7oQxC7P/f8Ndl6+1YXhmKPDYn30YRWWmDVVw7Fi6aEYaqcqTHhOJJXsaN/531VGXziYZmx2qkug
TmvKn5zbp4kImxFoyZiDmY6slKMYw9aog11Q+6t08G8lU/7pm+JmyoKTUMp7Seoxfye7r2/ApWXU
4iweN99SOPqnCuzTb4i0TE+qll2sZvUbASWyAHIjNdZqrv3nmrPLr4e7NMVwEk7inBoABcvQ35+Z
hWer6lJWnCBvDroxu5IkHqDVbf53wyyv2Ker6g2t18eRV0hJrW0Qtw9l2RxKy/pmNrt88/5zNcvf
fxpmlOS5Fk3FpKHsBfl2Vdv6/u9ZPpZW883O//JQ5BDZ9SzWurO1I5Qh19kdqb2mhqUTvOT1nVZt
qMcbxOPX9+67kc4CkIGXNbEy7l1tvcJVexggqowSJRI0osmjdPf1aBc/do4KlxSAgCN+Nu82eivn
Ew4NSGniHiL/Vs1fw6TdWun/ZcH/fw/lL4+EgJItOOnRc28QCbChNynpdZe5TpObNxmnK+jlbUdh
xtcXpV/aQizZXmJhsvO0CP/9YrSGVcXaSDgs9+G1EtorJdKdrlJWTTetJiV3bApQlEl5lWtjY4aC
xnjFaZiHI3q6RzqgDPNVlNZLPfX0aqBtqzNerZbtpZTsA1ByVjb8mqr+bg4i167zddtTSQEKnBPF
dTxJj0bbJY4RvkUmRwHcfM9nOYFDEO6QGC3ONH6CmqacR51K/dkv5HdI3ZSrkY6f+spp7WiDC8uh
rxSzS1lveONoCj5YINq8JYX+9f26+Gio/V6qykgInTfRqEFELC9GdoCFvyGt4C206TEO1o32HeDo
8lAaZzLA5Bfn8N9PJo5syvkmVseelrYMZG/eG27UpqcIUPLXV3XxJSA9yMk7Gz0So38P1SZ2g6iK
kMJM8o0kl7/qPvkmH3EhH8IS8mmMsxkoWhw/5UARiCHAGx5jGn1asULsJ6zcjfu7XNuMMrTL6rtE
zPJd/hMvfRJcnk3ko640YtZ04rjqV5QeDWYlUdwmFPbMCrB7y6fb+VCZj419qLtvUndLAPDV2Gc3
tpZ0EgHUkLljuzXLWyle591TIK8bsZ2lG2Ljr5/jhZoObvKnaz27ySLNgyQHveo2Y7wBfX+VjRwd
avJ2iRWbVDywGX1LIYtKcb0pJjBgk/CCNHCNgsbqQL4NWei/+WT+lFJ8dRPOpphSRKakyrzI9FXu
Jj3gHCb37KZ/sE36TGPVS20ilz6tbo2yvbcz3TGjEesdUpQpf7Llam9r/TGW4r0eg37/g3Y3KP2z
8/YxmIOnpibHIuX3sqwdYUgyOy2Y6/g5bsJfsWU/t3aynq3JnYvwPUxLAMO19/V9v/ipfrrtZ3Eg
QuKWsz5CMy0H6sMVFbxkflftsjH4ZsL+ZqjzWunBjxAYDCjc07leocralv5wG0mgAdLvnK0XI6D/
XNV5QgatXQAMnd2nwZ3HJhXfh+E3E8+flqPzd4PEFWWzyyEgUqG/Z54kFRZAYBpZ9Uk62rT+c1oH
4FRxJU5Il/+yz1gv87s8aJ4WNZuJtqhGiBt8LZxPjuuxyZ2eqsxZ+478dulOc2THWg8VDJbT2XrP
MWihazk/LZQNJzH0UzyZW3OWfvryd4W6/3Yw0MNuL2la5CQoEM+BUYmM4G4Yl2ATEcOSLA5JCrOS
OoNF4fLYX5HnzZxwyN9YcineDrCg0iyNCeqbj/VSSPX5h5xddElVKPYJ/lm/bQanbQzXjK1ryxjv
BzNe198a/i7eZIAahFMUaFjnmCUpHrREqNzkPGogIgOtW/Z4y4M1zf8aGLPcZOQ/lLdyGeTG/37X
dA2dsqaLnPlHc9SeIPhVVq+xYCT/NbvjbKSztxp1kJ/hDkaHndLkWWhXdtV6tPp88/Vc+kBppLMW
g/gCFz2b7Ud4s0Q9xG7aeLKmk9EfNXCwX09twv7zDP75Rnkz2d+S7DL+LDqf9g7zrEU2Xgd8hQGV
yTOrh8wRRmV0r2Yun3IyL12q7XHFrMAD3oRkrTjwU/foNakinjx5Ik50fW2jKPdWYm7m0IR2PR9i
XcCoV+6VrnMy7EvrMUkdvcfQMOkbkR7LSe6Z48uTbw1HVQL5njc/+YEH2869ecgtp4FkXhWyN4zJ
yqqnvV5b21E3jwCBHGMYGV4abSemX+0AzgUgDXU0wug+VLu6M4yKJrXIhzRgD4dB6t6MOtU3cVrs
rdLeTIPfe2r70M0Wjcf5na5OuUMDGmxHYvBkkhpPdPk+GH5q2HHQYSnluNA0jl3bPpFUwrvWCHgi
/g+27BlKjEI7akmSvAu6vWgIVB7AJSvrNLfHdaaNN7ESgSu/js2byhQnOc+dNsc2YAAnl4JxO9vh
Pm7VTVr4j0MyrlO5oX2gfUQD7Zmdvq6Dwdi0arueGvW6CsOffenLTrX0qxcHJaMw0C7ulJoe1u7P
5ijWxHrSqnQLwhV2fNNEqBE4USxNVCkFcXMp3Ey176kEGVeQiiy67GaiBrCCgr9PE/4Atf4HiH6M
RdMhRzCUlpPlzqFeOuWgWxRXJdJrb1V0WerdQF5AGFsNJN1RCU3jOVYGiC2WeJaKOvIISffxKNaz
rbb7KdfHQ5qpMm1b9qsCSd+ogh+SUm6MSlOcSp6e8lh/qDMr3lhQ+H2tCd+Twh4pagPRXw5Btxvr
aACWU9wZVnE0ApVUkaVzzAbpeuObxeAZJk3nAP49quM2/jjFN749mqs+RntJJC/XQXwYWsAlbdV8
xKYOLIwSkRU41fpAGENNVk4VnR6kysYCyeyXOCysybwZ08Z3okm91/C8rM3cX2n6vIGtsEXicich
FqJ8IlHdUhs2UVetFeTCrHOhy0Fo+LvrqoNv+zdkNkijtslRI6tttLKX5MGzWnTDzjI3ZT5vmjSA
ih21b/akv82i4xYVB39M2W4FUeDWfXQb+xF0p/6FzgjQJXrkKj6N5nLOxYmUl91AJ8V72vmjStMV
mT/FrICRc3hm1806nQx9N8ohvfC2cLS5eevol1Ui5Vou0ltNQLvR9GJjxnXhzAXm+3Gph4piwb81
bLNoegpqYPdTi8HIwhPCSRXaOjmiDaq5NZPinpIEEKqD8TApys82aQ+pWj3WJvABv71ui4IwapC8
igWhTWgHs2U3LKXbaCoc0VhehR0PhvsK3VCEakJu6a21PVr99JU+9rdl2/wUi6NKH/2tPqWJW8Qt
NPkWKdccnMIw5tnJ9g+tygfPbsXa1omBY9p4/TzGcZP4N1beOJSI4BXpKG7NgbQHNSwbXs5VOC49
VKn2YublfTMGD1rXS3tT6lKYm3JKDlD2fEWsRsGDNmWw/X7Wa45e1as8Cl/MaajYBBnUUYfSNYS2
VWJPlmM2iY/lBsSPVvDVt1oBdzBOsMKmXgtAaG6TndItKiIr7Pe9qYzuaLQeUM7Uq1JMAiH2QKfo
gpvAprVTiR+HWXzkaXsECnsvk5/vNbbFivYzC/EXVVWwL8bhumh9L5/z18XvoJTPyaCynUcbWiXJ
U67NKyoaf1JC2XJQ3v3QksmmD1Be5abYhRhFpKgmI1BpAkyiaJ0+eJxLcgDgvmBnZNk6lvuHNqu9
tuVrKTp/XybdaZamOy50baRUvXXzIiBSYm/QusV19aC26nXB1zTlwOYrFnTPaqp1bP6Cy4rVp7Nu
5wFZR9XecpDuIer6GRp0TvWV4Vp5yK7ANLNtGqmncobLlFT5lYGgwqHkC6J+NqNyqbxaY9eucuwH
mmjwsipu6e5piueSjf9uzNpNO/TJVmqkCtw01pcsl3/bjbxU8iXv0xD4V6VdXvV67GV9ZjtZQyd7
kaNjo1/oKMXNrgzFHXv3GUhVtBgB2l09IQKbqPrXskTHKNLx+aqhh8nRGTg2v2eBUNBqhYGr1dJD
DpuqKIXvmCHtqypl5Pzcmc7uFDpEnfgZAhvlFXvkXWTWlqfK404ZutdmyN5FEEb7OTJuOpHdthiq
srnzvVgpEJThW+MxsLiwz7/nWMbFhFpyxyrWgDy5K2mgCvxua7YR3ClxnbXDLg3iF9TiDqjfYT3Y
eyVSYdgCBSprmjlqigi8aU43hdxfsaqhsKS+aJMhE0nTFoyUTZ7oh6+7SRFeBRjs5MleF2OgYotG
w2Am81Nq1gvpQ0aOlsRekYRvPb1E+tJ+kPZXaRyhhst3XWt6RjlYa9z2b2QoPBHTGKHnw5XevuZ9
ttelG2zlXjeLdRVgHzG3+aiusnjwNIucxqTshkRfsYncwds7xHbptAa55ArZ5fjDMrGmxG+TlOHt
KkyPxXPjF52yjeTpXlEgdslktPSh2emStVEnXH4SDRmF0QVerYhrU/fvfEn4zIAREp+QKdQZwpcs
fSz7RS/3aNBVBeI7X+lz+ejXx9y/bkq0MbnlTnJNQJ/aH3VbzZRdCi/nVCW31gh0JvVHm8yrtOkF
WW+6f9WVMV4HJufj3GDo5KKTvKnPjxS5OZGExo2PMM2ZeDkhOlRy7Mx4i4IwcSrNvkt96rv1ob1q
tIj2xIG5mldVdM9hqLkjPoY6rXynZq9NFeTcRdeYBHAFjXXmWFPj+gEMuja8m5Pyh6pUiisXGn5D
WFiz/wMJlyvS5nH0221m9aajWqgtYDm1gKz8EZ8l2UVsd1VnbMKi8FRJvxmNfDi2CirDKa0xoge+
IS0tuT/KqH8fqM8e7bfReghLYWN/eJtUVEaZfYiihxaPNeX5yB0M5oLJwE0NovUg6xC69GiVVmIt
DdWtr0HWLAKjcuS5u2qaFy3khyX9q/DHm0piI1UYHJtQ4+BORuHA23MCtGKrXEO0IcwbEdqnGOSR
M09cXmiO2jrn+kazPA4RByBuxdvc6P249iuwC4ZSoAXrzGZL9/mdkNiUj1W3QOCu9Gb2KC1WPZtW
+LIDtGUqlUt24CVQ5VOfvAZ6lu4jIba6tmmLLRajon1J2mYVRR+Q53qOOXSmP7trj+M41Szd/MkQ
GxmdRttNV4mJiUUYG3lonpSMTlO/5SBqCvItWGsyPdDkqHO9J8LXd9HcHdLS127CgUYmefZZjDu8
IP0IvrfOblCFH6bShGWhzWuQX4diqNZ+aq6SOUIvZR7gn1luxdbDye1gqZs+xFUJEXPkWAaTTyEq
bS0Pnb2t+zTGw4eVLDJs1xRF4lALYTj9VFWOag+x10rCPIR1HuzKSB42VlaMu0CErtJPx5bTHpZO
7FQJDwt+5KtVKR9SbdG4bc/+pmx+mfIIxCO+C9oCTq11Sutq3SlSusvo8wXe4LayfzeEVFQS8ucC
Q2N7m8Vd5UQCMxiSss6QTrW2aG8DvCPBVLkQHxyl46MzlswHiy0yQZvDn5CAO/2thtmmkhroOcXj
iAUpm0DrJQBGhlbfGgMvzmzcilo9CSOkuzcdMBDGujsUxCntbN8XcXHVysR80aLdscs6xXAI44o8
BPcmL9+NqWKhbEsnDloW4fCJcvaHUKFZ3e5+WrTgN7QPWANckXRP6rxZmTiNKNgrtirqvUAOaxfE
dXsw2YadVLPecqaoOHI23JV2sNEJfKpKW81agsGJTryxSTeExkcsPFfDSI6OWXOfp/lVwkJjRMFd
MPQrCuRckcNsqYbEUcMbmaAvM/lgTJPD8cKpc5UlZWKNiuYVZ6I700rWUUiYM5PIq6r8hJBlrZMm
p+iFe9aCkpNC4S0F+hxbW+j3uFgUK7SdWYjRW/2d04932e8mZ+x/EvFrBDTK2kqN6JDmM4C65sGU
Bk4/xa0xh4eJjj8nqHjRQyBWZiXtAENGniz5K7Mmvmc9K/MW9mEfbvDJYFpJ19DGQKrNYbppKuKK
tqoIDdoX/oHMaxO2N6BcTbKmxpieWmT0s5a+GqwwIRCJos8J6vKSH10F3tixL5y1EY3R7ywOVgps
tjKtTlUQuOo4H0zbv2rtDyVUNnn+lFnzBs/bhs0rVefFj76vf+tUiaGDd6tZXvX2HDsm50KrItCS
NbXS5dKmcDSTbpXE7Btxkm47WpSy5m0M8ucmwVGlNCbvaWuvLTGu5Mx/sUrCe40LAwJATMS5TiRR
lTMV3Z5lj0k+eZZ9hW1HOm8Q5a1j0mjBxKkNqJrA1G6DUfIUenLGUOw7Zf5Jg+9xSn+pXeKlol31
Snld+hS+VqMT5fS1d+ZdaJuhp+bDprLymzad7gY6XOjwIgizsAwyJxvG8OznGg8o4ppSSuX8VnEH
dTpFU7CbsvI9mAR6tZj+K1U4+mjcmOjT6cPlpWAHe5UpxkqRGkfMk1tISAej6SO3igdzKmHNvkmS
4vX0nw/VWwZ4nZ3XTpdh8pTZ4xiNu9QnXTHk0VYSPeu7TagVwSeuml8Bgt60Ru0adS9aXNnebEav
ZUravpBuzTDehIC5J85Mx05sQMUBkFgYqWBG1YmFvHqKJd8jMFovCrlcpGvRg4/uEFkOFcNYFsUi
g7HPgt7atq3Aw6Z4g5nf99IbhzEIhvRy7/vD62Jqc5KyRjb33JixIGM+3TQEOhXIOEq4FqTnAIkj
JOHANtZV+Vq0wn4ZRbTYK+XW6XSikKjJslU3fbS2sH4mergRtX4lgf12hWJcZaF2k+U+mz2bIgKl
/pCmcTeYHO5b5Glkvyk8Se5WESaUGmWh0XI6ECjXhMZrc4xJy3BHRQXqM7NW1Sy5qR2uJa0yt0GZ
Rldzan2ArVW3NdEH8USwwwmG5ySfD2FgPupkjqYhvIrYw0TmT0uvnkKTaH9WDa9jAogKTA8zZFcN
p108A20JCms9h9FHzKGuhcnGQD3bg+mweoBKcb4ZRqAaobbtRHIdKWBJ/bp8HwuC9jggK17a+1HL
3LTvHdHrjhwPlMOl7AeHW1w5V4kcrkU63VjM3LI87QIexxxqR3OIN8KS7JeyrB9quRldSVTXdSY8
OSxXfcDWs0vuaJUu+Onmwgis10aHUpMP5xTJ/j0NLhvwblBmsRLqJg2F9qq1oKLKMRwQRfthRnQM
G/6ITKF+KOELrtlMoaDnYzLsjwrX3+IDE3n+UxH+TSSpOMCYk1vz9xCNP3M7PKhyIJy8ktAu3/Zx
8CwNJ19SBd8c9rco69yqVD7ijJ58cJ+PPNeHjDZ+jYyLJzfFCb2tJwX+Sq2M7Tj3R8QOXs6qQ2A1
rqXYv4168zRiA5zy4uR3dCXZmr/TS9OZLdOBMHprDzjnysGpe/M+CN4sBHBjiZWxq7CGBmRqZoCR
87qxoAs3zVptk1WVpXxMxpqtn2tqilvwnWe5erTJqctSu9ZisbM452ym5qrjDKuIjScqvVyJ/IKT
hTedmpAbspyYQ3fhV+yYDftGC9VrDGL37P8f2072MsSsjcEDjUJP0+YTlVBrIU23cRpv1EqHTCEO
ARVRZlKubTogyjbbJ/ITVNxH0WgbE7EeMf6prQZPEoGHppZGbXGv0rrpVXL1I1BqnUntRZQNu5YA
yq2N+sUOiIEi/g8iSfpH+GxYZQ+tjt8QqjCmtzaa72nyuh7CiRg5Ovm4iD0lucsLIsUkCfEiBv1D
OOoogFXN66V5p0xkh+r2dUm+BeSPyTGsykjadF0IlXjal/xTVNHfQUa9Rc52T6kaZwbx5PS+jdDP
WjVp+KMLlVvNTCcnCfMtlZSrIv6lluI1LrR9SZlVggs1nUy3tptt51trjtnTVjvmzNpjBKUZRDGV
qs1NkZUfRa+sihqmRyjNnmxMO3uxeAfLSeqgmgdFD45y9pOcx0Nb5A/0t+y1cH6aC5V1bXgqm5uw
5nyHD7CMBZu93tX5tHwlPiLjuzFpKLKD3G3scTV30Or5+5EsGO+do5DOTVVk4+wtSrO+9gvV5SNh
82wew4BkZ+2T71kQV2xw00ddSXdyTQOrQENMXbGr2j3pZrV2AmPAMotbbezr+7H2UfWNz8Wo3UHA
S0n3ddfDyCerSG44WKdEv2tI3k25WPtxfiVUJoEBzamZtO5sGPuhLmtvzGxP2PHHBJXEadHJWX17
l0+yOwuu2fxV1NJjCYV9+WgelLK+satiR78YHqbYa3pqFkxlVcYB5j9jqxYPcUA6lKnPIMsWsFRW
2sKAJhKlD+R59KVbva33dRqTFoxd26j3jElmEI1BNya3Fn5vqvFgZbNBDKv6aBjztbDLhchePKa2
eKtDia35/NzX1HTEC1O89+GbZPUvGeZS1szOIiZsemujECaak/I8RyEHjqjHtWWvWvNu1jtFBK8N
pdp2iT2wSGpHqM98GcsKxT4eiR38ClDzHT5Km56jJTyti2w9x9GOGJ6YJmTbamXLhE58bN4j9lqh
T9tFcBFijbbK3o5Pal5yVNPvKqUGjSBvIsXY08tEFKaukdzwWOfXVGt4x7NbwN7X9uC/R8UPs9Y8
U4DVJ7ukZ9mmEPJ1CTB0SttVRNUGpwb04IUrzeQXlspj0CXTSqqWIn12E2VkqaRpgzXUzJei0jun
rc1pLQIefhJtMvIPbkwqCYgsnycpCifW7X1ORGtqgZcRUkl9pDlFKFa2ml/3ZkOod4uOy2EvfSOb
KWcfvB/bzkzu/X5WHWsrqgcjIvXUoRWVXZW94cEl6TPsm/b3TF5vmtZByJlLujHNX5IavjZl+iPB
4plrb71lXeUN07JJJYVJGpDzoAyYk7HrLCrxWlP/PbMIxE3vNR2vbQ3p3OIBL7S5vtTT7TjOP0om
WuI0AOpwDwV7Clsr+KikanBDPb6NtR5BYgqYNSEmTHaqFv2qp/TOz8w1BvQgGE42194TNAuzZmHM
WfeH98Jsb7W5pLRg3BqAx+OxXpW5CXM6QxGaHsIZwg1tHF46hhhLgSRugfwJD53sYz6F9+ZwmuMS
A+msOUrUQ3uhgXc0R/Tn6XOYpz9iTDpl7IeYefvlQKHc+TqSFlRuALD69qqnVpL93nOnT5EjDYbm
qqwyWR5vQdpwfKORa/w/nJ3HbuTIlobfZfYE6M1iNmQyrXzKbwippKL3nk8/HwuY2xIrR4npZRfQ
igwyeOKY3xiTG8bGAaWdqyk0tgra2+A9ad9qAMs0lyoYOGNIrYSElV0F0YdfZZJddBHc0UK5Hgvh
3QuHT2tUrxAovFNbJhYx7P5U/F2ZNI9HnL8AYaSPGYDlOuYsmMFj0jYryUyus6E8yMw4KoP0tgru
8pwKtfd2XaUdTH90uoTpwox2DKtx3Yi0hzUaZuuo6x/M2ZMzC3J8Jb03nbjmlsp4EISeJkK2nXJ9
lcInF+JmY6Lr7lFV6zPRHPFiWpjOPGdVcebOS3NrldVusMxL3F8Z3ozPEmKVRI5dW7X7QQuwMc/t
NvZtEbFQC6pSyv87pII9qI3T0AhDBOogmOIFU95N7Je8TR11ExGEqrRLVG2dGPHe8L1Xg46n6onr
UKEDQjy91aUJTYcXJBkuMgT1jdzaGEl+myN67w/aOxmNGBmf4jy9Yxi068N4R61nByltNXmyk179
7OZGR/1qqvUtXSpk/SNBdNQyddP4M1GNuRpxOitbR7rxCuKOvlxOs7W0hRiDXqw4rW4uBCL9rZn/
0VdXAt2TYsRggAaFK4qWkzAKwKfv1ZAn3IP7rdKW9GS1dIMzMfVG9dl3+Q5SrhurKOUV1b6O9Isi
0FA362zsXuzKp8r3TH6yqNplI+6yvrys/OFuMPT3UAnXTUN/g2mLHSsM9ROyDGVcqyPAODX8bcyf
KtK9nuwbayMUXkxR9DCVr2ArR/SQ6r2H/rnYmL8lb5Kdkfcyw70FMqrZHYVBC+1A+ElRVKySXvo1
FSJDqeBDLZW1VmQvrTnuQ7Y5C3hpgbZphhs906/nZyRKs9h1dj8o2cVYPdPVdjFX3jTgssOK27M3
d4YaOqbILcHMotI+8Exa5UH5e87l6Lc8UMw+08G49ASwup4Bn0ejJsKcfIq2nQ8GPWiMRy8ZXR9F
hLqMbpJJc6YMmamchiS9/BA4dXDXwo01KWJI8A8jqaRMjGVG5gRK/5xYudNr8RGfFaeYrM2EQfqc
fsYcwhk9IhfCjUAtlUgvEeBzkeLbKZNKudQjGDizo62SrI1UusY7D/y+ZWws5qZwI64yb7jLIgbS
jfwQSulbqnSPgZC7TH/vpsx8lEyEcuOaOslXXoK8c2vAUwrTlr6NXUULtjg1rCOrtKNswteaklQQ
DFIzJN8Ctfo0wZKqVvlaZ5Yb6XCDDIFhgu9Hq2ISsAEf3DYxcdbqVkSvtR7fjWHUYQ3w2BueMxrp
KtRkx6JVlE6y3aYhxufKhT48o8biNgDBnVhijEa2Y2XmoQ4w0faSAzglWpQAZSOBalFk96Q2avBR
km+Mkb8KyuTXrLZdWtpeVQFfjrF5rM3po+8YEHXhE2FxFWnRRZvk2HOjNh9yfmPLhanyApjjzqyK
p8bTbyw93CcJ8gWhuC7D6UkJwbIOBnxrdVPE+hPH+iYZuWKQbrJTH35LypfDEEjuInpBBNik3SjD
sK9UKtNQ2E7eeJeb+rpFcha75nVJT6mTwlvEkkEmCK6ZWZtWSS/DgshKZMx15amVFDC66HdJdfrp
E7XQG3b8upvZj+J8TEqXggFdRspFJXNonHs3KsbuRbmuSun3SFzTMuPOYGbPDfjWWUSCbK2Yh0Zk
3p7wUYHBr0lYGvkzJBlrYuO2TiiZlKLicAbbTilWoHtu5f5DlsR7ei+uMs/5RkrvqGdmPQXeOmE4
g0QB4XUkfCl0jYujNeWujmCjKogHcWQ6WxS7ovE3MiHUMOvPjnaFwW2KMqdTC+rNlIBHlV8LiwFv
nqJpBHxuRG+gKyifycqaeLxJdGyUqddQfdpSW18WYez6XvYGhwMqRbBRE5ozgUFGlXmXnWXhcjSa
d6OkXCLB4xpQOjBcUfd5a7qBNh6j7NGgVBMzz/G5Em0hNNxWzz+GBtTbWF33Q3kDuPc6Q66tLMSj
j8NMZJQ9XT684b32IR+KyhZQJqyhU3JXEKbSZq97407ETVmmVJ+afh2OHmO/aBvXw0pWfvtdufep
o3OxwjWVTuzo4b7wS8K1sUjQPW5rZpEco7pJsZ8qCOnRRZA/9dzmfdReTnrgRgyjZd/cWRl2M3n3
qQgfXWrsJqSbhVB6bNR+q1rdwQQM4ZmmXZXqRYjFulB2h6DTjkUuHHVpWJXWkCBE/zAG9xNTurTi
g0r0nTeNawsdNeCusP1GJyTsoSy0DaNnwUueeiYgWUlV3GkvqUa15fV2BOJZj8njSQgiKf2lNG+d
Mdz7IxNWrdoIUnqheN7VUCXrsfUUspFqq2tUwVI2nwxcauXEmcQX5oRukONnH47rGqJG2QiOhzuR
WPw24vQyabGz64JLLeC2KdQNHRJ7xJ3QyiWkc19b3EfILvKIK2h8DtKQmVN7mQKhQS9g1Xhaw9y3
uIgUb1+Ww0HvdVchLS7zYDfG4wrK/7aHDBd1Ml6oHR0oPaB3Rz+aX1Flwus4t3UyBlI4bBv4VYuh
6BA0BjnZCNawwgfcoQ/cErTbbTKEWyuONtKQuVHRifwjlaUkXvVCdT8wTa8oKYF0rLE02E3jL5M3
bon1QYLiUEyKg3aUE8XSJpZmqFf+LvGq2/Bt1Nu9NE12A23GiMI75Ab3LfAAQRNXmJQBSRaVC4FO
rIkAi9b460L51MJnVFedSdDWei67EJQeQ0F9wKwc3StCrWBJ12WQG27lS1sReYAg11aaX2wL4AZe
qEbgW6tfkf46gZanbU9Wn0c7rcyccJj2hpS5vV85AldFbXIA4+pDip/D1CPCem5rqNcZhRUDJLJa
fdhH7Yj2WumyuYao1q3L5neNZoqJp6jQCa7XgIDVqxHMQlmuzfS9ldCT9nwKCxXIL7q+KDLAvhLR
Rc91chTBvAV6Q0Wb7lMir0HzNdN8OkS8rSx6HePC8bvkIdAQk40Y3ZjyupC1jTKNq8gEniuNh6Q7
olt8kKZSom8X3YbURrwfWym8i6QX1/jB7yiNV6ijrEkpbE3r9pDInEpK90GtkEW3TEmD5zQVfknk
TF4VUgPTIPIIXAS5pzCJS6yGhIt6FkaCkher8lHPX+NcoGqQip3c5xvdM1dVwuuydkOng2HK78mH
MIbRN0nsP+T6K1hs7BWI36PvjAjaJYa8Jv9+wXrwFuiQsPGreDN30dTw0lCHnWzqthfS8pYAREiD
t8s89VXM/d+DF+vOXJBbUod2TB8wYug3BVgItYB4Vueey0R2Wyv44ir1rdcL4irvRkJI9QHhErWl
lilDEdLFLcp9ZTGiUDjo6mSMNrxDO7GgUcbZY5DU6k4AA0pIb1kkQLg3iEEwgqB5Rszb1hW/2VTc
yMDaYNgj0hmINlDRaw/+YcQgYVDawelofhd1y9xBVfmyKv5/jaAAYnnlG+9SKbZbE4nYsGjv+xRy
UEGp0QE9KdV0X1R6fV103MdVSL+u9KYnKR9q4JkGeV9zR/P43coLy817egWq0LzHeEQyj2EMggpS
L+5DX1gPleH0vXDdFdKbADVICNqt2haXWSkCtQuvdHnqecHDNgjoLY5j+Nxp9HQSSXSakLvIDMCT
GKZLTmDzu3dpNdkxE2IEWkeXbIv2GbOOTLmpIv1qiKiSsipggFkbd63M3GUyJrvX1JtGN2ifZy+D
EvIMyDjpRlkahn20GazphcRnY4XFJuTq8QdjHcX53kLLNIrSY0LhJvCR0ZLbjwpinILZH2JaxZWG
kNRIZgCgbyOm7bMK6LP1VNfshNuuRQfAim+aojgWqfFkCiDA+FbfNFL1SRDVveRzMZHiKHzgFVVr
rhnbepKuWv6K6RW/zNaq1lgPPTTMXVDsIEq0ruEVOwFXJkXT7Yhb3ZvxRVPh8wLyG60LfnkkuCu9
kVaxTp+81n8nSe1QCB/lQDyK2K71Q++Emb4Rmug9RBUCaC4pW2+HlnjXCNMbUJltS7XdYdICpEBy
U7N4LcxgCyeI6adyqRDlI/XV0BvZ9mIzYcyvojWdZs+BLj/HocG2OqlystzAjhgojCDPebtgoVDN
6Fkkb20ZtaoytptGsx3b6rFQEaHOpXc6KTMUeBUVjOmm+NkvBd+xBll9FjFo6I0x2IlJ0JEH6eFa
DX0nNIfUzhL/A6v4g9HmrjwUx94vVLBDubRGX5mcWus2QEBQghdpNaRdf1QYYQpBctV3Frpkot3z
/U6VfhkP5Vs1kYoL0aCuCJmMTyV5M1mGm3gAOUIxXulDBwZAW9FgcVvsvrFbeM+oWCK9zTezm/Rk
6hd8vaB7GGXuPL0iYU3qy14p7TacLmVFuTQKU0AoDtmKKglq0N3VkeFWBRnKKg9NObSXBoT2UvVx
FFeBzAAlQ323BHwy1RAovBaNjcAWu9Zfd6q/j/zURRlZswevfkoH5clsy2AlesPOjIPnXLIetX66
BGjKM457yLnJdZlPTimo94bmDyt6YzNWz7jJpZy809L3fpjsC/r9ot9vPNRKqImgaGl44aV7ZQwd
QQo/0qZN1yB0+ARyfq1UjQIZT7+GpbBPVVBpgtHaCrecLXXtqi9EpqTKpjema6Z6qygPNg1Dvbpm
8CZVWxx3nWxs3ruBSnpQcNagz23mj4CNcTIuVzUGOYUikCVHF0PazVdecpcxiIrKkVgmXLae8QCo
1pHQbwxnIHI63E+WuE2Rb0ugCWhW+Bh0mR14KD1Y8tMEdDhMykdt4ArO/Q3k+nXIlLeqtFU1qasW
iJ2P99ZAA7QWFbvVP9uM4WtvduS1FCKjviPe8lRMKuhIWqXyix9NF/Nbkkpv1/qSg7DE3veBUcTh
BcjafVn35F9KvwoUwRHl/q6DS12RJPnk8yNch3HUZ40D4HYet4D5KUYATik+WVV5VgKUBSOxdLpB
vlGU4TLUpZVhJPVK6jynljs4MBIdAOa5IIi0gG+sBvcbeOIHkXnVmr91UD+hAFIWkLauQ5+zknfa
6Mqqmsu9Sn/yxKzeaKH5EBn5pyUUN4XMGTaFkhwHLbu4amqby97jDPlbCvdDy7ClNj0CAqJqKQ1I
v6Ey8ZNtknJPxgACzcRV8fOCLrqhAf4et9Z76ul2M0bbsZhWlGYHuU4e0oAu+WhyqzdhvYuCx7FR
bo0oc4qWhq3ncXFIhylLV4Dr3bA7NCYwVmw6Xmol2act5W5g7TS/Ixkk/3dCqSHtYxBp+U9yoDhc
v5l3MTEgJyOvKtDm5Xrysw/QIDqpqfwgZ/F+1N/iKI5XoTz89lpU8ePmwVTHB9Sn700AOwATuOkS
TboXfHmVhOO2zLLnZhQE8FSa2/4BZWTdqxzQyDGnRsHTLmscX/Nu6zHFZqxrNjES6fGYO6NHpzZI
0o3OcNbyDHIj2mmN1h6MPNlEEx3xorsUW+uQ6jxJSPgRerYuj+9uoq1Na2RVRuOtxOebaNqd2ZJd
g2Y3ym3Vqp+zIJwdIjFs7kzrfoDnbMfe9FgKNPnb6aXuRoBG5s5PegaNjXUYJflxSPNdkNU1WbPm
pH7k/kwnOElZwGkUyjwcCRRlvnMwhsmALKUhS1TmvxI4eXpprftMOsPHOrfKgo9VW61RTsXMx2o6
RNzMDeRXN2nE9c+bOUle+WczfzHyG/LS3oPdF8vCpvY/fSUCc0aNVapnmB7KTJrOEaHLs93Hf//X
zMuFu4IyvIwYB5gJY8FdwbJtSJJgfm4xjnVxBu3YBwFWyBnHq6+u6kZaZ6lyJ9TRJViOZ4MZFjx+
giBSCRrAtlD8VYCH1QDDgcV0i7Q9zILuQvwrbPSjB4pn/k8l6G4so770u+xmNMuLdrZaMzBGYoTL
WHBuIf78COf3/dO+5kf8hVsSCGFTyYCT0ZyX6HUEkCS09QTyMgh/xb7nVPF45qWdPBtfnuSCNJP1
ZtKGKtBPQf4VBKPTD8dEffp5V/LpbZm6jsEg7dilkD8Z/ahqBgCy3GJumU0P/KCdXBTrVh+3RZwB
VVapKCpQeYJIGVc+NUnzm1aaK1XNUZZz0DQtA+qCLM7oapcZzvXYj7+a8FNEfFSO2xfRGPdDCrVD
+WiVxpnVTH/exEkqGAbE/7uHxUeUtZ6XhSAHnb7OYjujz1uBJm78YqPquJdzrf+83omvCa1sTSNn
xQRRFRcvphaTTk0jnlkHHq6gboeF1tDkDM8cgBP7+rbOIgSlQZGLgs5XGwYVl/MoX2SJcBVWDZG+
u0Gm9swRP7evxXPkKkG6aI4SvH9GdvRCTNquXoNgjFefEQw6xaf8urk/IiJfvydI3D0zfXQKm9AV
PWFjQavDY8Tppw/FZzASok8mSO852QSEMsAmpIA+chNKOR4mpXOFynjp6edH09vPr/eUfsm3n7bQ
06HzJ+ro3kEt1DS8tGoHvdUI2oVltG5LjG4H43aW9JCi6MzJmoPjIsh8W1n+HmRQvgurcOQ4lTgm
D5ZGE7c966p7Iq4gDDxbKHBFS1BZvy/CVVxpPfwipzdwmoofgW8B5TpzD5x+iKjjY+ei4TNjLg8v
DmnQvIiXU7eu+n2Yf/rh71HYyESOGF8O7RgMzz+/uJPn98uSi/M7SnVcq8OsKZYE9yVgoa6gTSFp
6iGnLD3zqk4/xf/sb6kAW/hqFovNRDlMM6PxLybigCDuft7RyfPwz46sxUmcAIdgAM4VUMXtpVbG
iBYVZ3i0pxi93NPI8mmznYu89FoMZWDKpoQ2SayTF4NxcLOp30egVrJOpIDx/WvJ1D87r76yUm8d
FTDENNpMZt2eiXfyvJ2/jv+sCSypyNio1vzMv8SEUK/DgYYLZ8Yrb+SetHgKDzGgK79M7vs85iIq
L+uIydSY3c24sRjwizi8tT5dERGtBk/qt0MZ7IIRMetcZKZcJZdm1z78/FpOvvsvv3M+iF9+p5l1
suzFBMrWs65H0z+qgbVSaWz9vMyJu5k3Q0FmqAamY+ZiGUwFRjOTWAbppm1EsaI3iV2BVUNh6b0v
pS0qFmdewckD92XJxdWW9kOU9MiWOH3zbkrrVHv8eUunn9w/W1pGhQT0eQqmwhkQox2lCkXtaVed
s2c+t8oiECRCIYERYheKWF6V8U2lF2sdts/Pezn5ehRdxWBFBq62tAlrhi6RQibMZBsjHbFGeG9K
j8bP8CYHkCKpAScYGT+veTIlMFCo1zDuQgd/EbvL1gTUZfGxzt5G0dhcTdadXAFx0sVVmJU3P68m
zzLWf32QANaxzTJF2paL19W1mFyKzE8x82s++iy411SajMVQXTS+9FFyKTJLo20lmMwKUIW3mDkz
bLNmpBgzzNToVlEkP1r+NaDoGa6XdlBCfv6Rpx4JWpjoG5pYKuJ9/P1jpPGS4XjOdZbSGaubxyC7
inTTTuj+a/8iQQI9jP2QgbkI9ev3pSrLA3jcUdukKhLACrGogIQKfskOgEL/vK1Tp+vLWsv7RZIk
gKI940N92k0g6ueRTY3u/iCtANNO1evPy5368CXaYqasKYh/LmMNSntWX80C3yL8pimuoVqf+Vzm
aLU8S19XmN/jl6Cpy2089Qqfvt8/CFEKeJriQlglxRl11j/qCD8ttDi0SoH8RTZxaJlxN06GoIEv
d/QTgGSaGiOVdFNEH43VbToa2FrTPvaN8THgM9JWXnnmcJ7b9PLExPJgVBUnpoIjHODhgHdeQC0b
wsXI739+haeiHt85n4JqmChBLvbt1WIhhLPQBnDx2whZRHHoHuv2nBHXyS3REUExTWPquFwmEMes
7dXZ6iilLtjmSFInu7w9c1Gc/KoNBWc5BaMAZakKnZm+6os1Qk9y39rz8N7D7tEA86zRKJNR/Pj5
2c3v4a8z889yS0HoXrD8xIKa7gyDuG8syfFEEWLbuwWxHqgHGLCgf4OKcCb5OrVLvFckhXISbP2y
yZQotchXTpJcMrXvLOwrcstB1hzM9n04fPy8x3OLLc6iHvUe2uawoxTtY5DfakrjZpUNoZOO7z+v
BKfjxPOUeXGqpEskldp8iL587FGbKlEsj7TNgGvT+t6FgTLrcQo3ah89NPB4IEXeWVqxmdR+B2be
9SxecCKh1eY3IiP3st9lI3CPkt7blFWjLXsdRvcmPtHGW52TCg/YU6fleFVkynFo/Mekf2qFCSiS
NOsyvcLG3PYl3CtDPJphu8mkwhU1nTytu5QnIHWKhG14fyUH0w315dGXECI21JrA1P0OcBITjWjf
IWXmagG0k0CdXduLF2BzCa9HfQXSAGOy2BM9jkWtwF3y+qMOq3xGOX3WlfDGPGwbhV7pFkFnMN61
OqiZ2dbv5SsrGPaxN7xXTNqn1tjELKF3wLolYx7NaXZuSkc/SQ6NJB1y0OOWD+KxzdVVagg7ydKb
Cyovcy0b6ZXaFcdxzHZFWWOeGe0Vq72U1fe4SJmnlZaysabxJpSne6+qnTAasrXmw/3yEZOH4Prq
9erO8LS10EGqQ0mCRg+dwdHokLHLiwNEzIMZVq6ZVPe1SYHQNB9TA6xu5J0Uo/UpGy3cy3QLUML1
9fBYgyhtPUjc9Iwa4NRSEAIJUy4ygNdK1m47QIrS5DutBmpJe2+s5KJHLWEleaAsfj6Hp0IV/hyq
rikGFGB5ceJNoyrgzXLihRTcntZdlPOgWXj2vfLu55X+6B4tA4iiyhQFIhK8ijl/EF8OfE560poW
gT6Ez2ZGzZWJ59yEvR+zN4BUwVosTNVWxQE38PoZhGB3JoKdyhcUQ9dlnHWJ/dbiek3jehyMuTwM
i+pQmO9G3TOjhtOc5qiTwcPtYEP9vOlTQROxVR4sM3TNWKYoQwUb1hvIvPTxGsszXdlL0X0I51tP
7lLxwpTCf/M+vyy4KIeNTG1DGHEYrdWZC+ff7VSAOiCwFC9xf97bqcv0697k7+8zIg0K0Bzg/hHc
IHUy8SU4J9N5agmqBjDBMl4n5jKXT6paKf2ywHjcUp2aYxLV1N6gw37eiTL/1MXRpFGJEC3NHoV7
e3E0U48g6BUtroHN5P0K/PjKUCA/T6G86gPo+qD8C2F6kD3zxp9KDEtlL2LAD6ZxZLJiCdM7pJPd
CGoXVl+OOrJXmL8ScXYo6mrUKUbzWpFHfWOBly598AqSqBzDZpbXSV/iHjrSkFwrsGHKClj5z5uT
T1xq+BRhVkTSqqPOtTgSgFGBF2XQZpq2utPM6i4QwRvmYde4lhEfMmIKA69tqctXJT+hJaC7yHpg
XxfKW50GWCJro6Nr6kMixbe0XEN7DIQXvxE8x9KEfcmoXESbGu9YLM3H4XfNsDAtwjPp94mvd84+
kK3CVJLwsbgvVTMaA3EW1w3SfhUKIZgRwLg+yNYEEh82bW3U/P9PuEG0kCjsZsO5ZYal1Wj9hDEZ
VqsfO+spjB/i4Jwm16ltYdiGZh5KUpJpKN+/oiYY9RE1Mb6fRLRjLdoUyH8rVeyYee+CJVnl5tnG
8p+ovjjvhm5o9LNwQkexbfHptspQddBGwdWq4qrOPB4oo+oEoPVAPeCLMpBCb+MX0MI9MHtcDx4v
uBj02xEGQcGAnVb+uGuj5K73ytUQqNfUg1dSit7OMPNY23mu7wN2NuoLhfQUxOrtWH6IcTiDIMD4
GOSoOENf4fG3DqbPWswf1SB2/BZCgDBtmrRwQ6RihoB+jpUpwFtkYC7lbz+NHgqQOxqItjKJXlWm
WFaabAU86IJagKcYXccmWIEeo5L00Wqy6zoWH5iYGZJ/n+kPqLi9MCgT+8KVo+4Oc3UgVcEGqOnD
gBTKQW+9a2FuTihvnjdscjhKwdCIdioyVC91aVeO00uKqXoJyQ1dhKOQMfqOAVs3wh9N8z4I7kq4
8PBRUDys+amhdcga+S4DjRb3ptOTMA8mYGkfmg9X4Zy+50WyT5Cu8HDkTNsONZJflNjbcsh2CFbZ
Qid/Fl5rw8qErm0exC5by/A1BjSN8INEi2ZYM/pbobueCMRioQYPpY3t1ur9F6vEPCUOyvcSdag0
HK6U9h0HvHfoCENs3v4cbU4eZ2sOopqJDKSxyCfwNMCdsmNcj9sIY8j6o1aEo5xHd1qM8opGJSSc
E/c/kcJgifOfJf9S0RwQ7lKRbcD99aEG8TbA8UryozqeqZpP9V4NNHVRz5vl4SHrf/9UyyYMYDW1
PN6qfBF5gp5hHGKrHS7iaB65hlu1BJEJCzYcOjBglRuU+uTK0E5HIVynoHTrtCTl02Z/jcbcBLOh
h9qL79jMm2fsdE5kHl9/7LJco1NtCBYseadvuW70xPGle99HRKOFNgGuXKbvPwrGmcvmxIX9bdXF
XYPFawnGbkidRujQR7mTJGFjVsefz9jJRZjK0AOXEW7+I4P9JZGUBkCZyQwJGdqWoWtktisLiq8G
FuTMdk5cncx/dGR4GdgzqJ9/yZeV5N5DcDinvFJR1rPCtTTjqUlUYX2ftYL4OwX5ttTiemuHPkHd
JktndSU753ozxEMzvKI0AP3x5+d36oP5uqtFHtxAzfED6hGMIFK0LghfGGFkZbH22o+fV5rzpuU9
Q19exilUxd1CW9wzfT8UUTngSK551rFrBVttpN2/WMLUkFbghpG0pb66N/RSiyUpHILKuNcrETvS
2j/T5D35LVlAakReESdh8cBIl0wdzi+txXgfRGsoA6qw8xrX8w9ts6nDM0LTJ0/dl+XmGPvl1KnA
tY1KY0tGXG6aEPR7S87VNslOUDHVbKx/ofJvUAr/Z3+LwNaFiEwYNYEtRIm517i1oYHTeCzq10k4
p7p+6kxgxUL/lO9J+SuKSmGqxJkFzRgt+tL/6PK3nw/Eqaf35e8vA5+pNaU8dhCAdLWlrZAAcxMg
RkHZLx7Fc1/tyc0QgiRGxfCZl3KqzWh2aVrgXpKU9wa6fcL4/PNuTpUmoKuoHRnOMcS3FnFhaDR1
0lpWaMOeqqS/k+A3aaq29UZvo6fjG1TCq1g10aHArUapsp3UgbANGgQzLAvxL90wP7pOPijVu9H9
eQw9Qx/RVSrhjjG+XWZG53gAtPMsfO6pGKXQu1BRPJB6pFok4DskY2jGdeXTz1s7lSp83dniq4qi
oEhBx/DspsGOECM0YY22UrzxAxV5VmCU1r8Q3KbLMQ8mdFUHe7V4mAXa+JHu8yGjmjBl+wEksyns
rag9UzicOoNf11l8wQhvCoU1zk1LKEPAwtGOMS7y4M40z2EI5gv1W4Slr4CmNWMdg1IFtML3WDFn
HzoibqWDeNJtcZwO+o2+iu7MtXoIzmQUf08NFmstd5XkolXMa1GtVJprwrl7oJEYvXnPJBT1hWrY
kHYuy/efz4n8133FFun/kk4yf0e/e/HW6jYRNR4oXVlbs2v71nNeEQp1rFW1ugfY7bBjwPK2bt//
ateQKh2gpauff8PfnmWL37DYe22iQohmQOkgkWrHzvu0wqTQfYuctzd8Dvg1P6/3142zWG4RkSFq
4Ac4b1mz32mvrwfn1nSiM4uc29SyOyUUmZaHsFachi0gar2h/uNBQtFcqXZm96vM8dc/b+zveen3
nS3xGsMUIbVpsuYrVY8NiHuVs7S3Ulcvhcus1Amdq8A2Vm9nDR//itV/VqbHAyFGpw25eIV5UZhK
r7Fy9TzcSEfdGbaGq7nxDqX2jXlUHO1M2jD/wcW3ybn9Z8HFS0zGgTJMnR/vGrTIynLVlWyfw0P9
H1/Hf1ZZ3neBGAxoDbIKqCsXK5bVtK22/Xq8lvbWlX9ZbPUbc6d/wIXfxU/eVf6u3Qv300v8np7B
q506s7RmCKx4S+Hntthu1zPAo/OI6p4rM+z/kK6qN/0gIk97JiD87WDFm8Su5U++bAGdWgS9GoD1
GON0xnDCHnbKL+aFDISk/fiUdna2z5D3/Pj52P7dvJ6XxAZJxNEa2fQ/uupfcrJGrZBZ4h50WgNh
JVt+6X/pz9Ztea99IIn+/z04psbQEAMXcE0SyfN8kr8s5lVSphoeN6P/Nl0o5hqZ0Bukf885nv39
LQJE/upCtqjWakCMfaFDQYPDkN+iB6iu/M6OjoUr/a7cntPqoYTtdutpLdhIIqyChzOP9a9vcv4F
CvNL3ZqPzbKU40nHXoTfhzM8NztMhdBP3iKFs+GH3Mu29DtFze/u5zX/OqaLJRc1neRpUIdnp2L0
GTfMyJ7Uo7Xpt+dcpk8uo6qMVsir6V0v3qGvpoKUzG4x0zp0qyfLpUl5NYsy2D9v5++TOe/nH2eP
JZrcYoDXBsrMIzzCvXDjO/UFMlGyRldn432eWWx+ON9CGovR+dCYoDCLhc/1/WSOYVHk8TxzrtCi
Oar3FhLrj+ZVBOjK0XbCNnoYNtGlfMZv6OSqX2Dei1cWWgO+C3XI6BnBXtVtvW1/Dql0ImP7BiRb
vK4gbPsWD02qkkvVhXK0QSX13HX7Vx5j6t/WWGxj7NQ4SEbe1Oig7GY5r3ev4cbfbl7hN0mwiCZH
Nuzh3AVxEr2IQcbs/Al6nUHU93cmC9JIWyYvHXFTjzZ3BIm2Yx2ASdNDz2FVudltei62/B2jSe0x
AAYCBKGa7vbiNrA6NWs8mRTYuFYfkb5y55s93iHhvI6P5pkDcopSYfARiIw4ZDxX/rTuvkTMKko7
TfFp1IxO/ajcw70xnqd1c3HoLtDIuLraXHX2/ubtBhyqbW30i73xe7yAz+jA13fO3IPSibP07cfI
3x94bWaJAuyVcjrAWsD236yt95CsUQ24kPbybiwY7tooX/r30Z2krM58ovNfX3yi32qcxetGliA0
O4kHL/erERnygwUV5FZ/1q+j2k7vo9vu5cyKypkVF69aVjIcpQ2afpH8mZeDg9KII2vvCq6+NUet
7xD9tY4aYnVYDTgJpC1hOFMHnezNYmpNl4nrUlP+oC2+HAAxjGopUtj1eKvZVFwMBUjUs53s1p+x
o97rtrFJVwK84g3y++7D/3B3Xs1tY126/itf9T08yKFq5rsgwKQsS7Jk36BkBeSc8evngdvdTUI8
5LHnXJyarurucsni4gZ2WHutN3h/Pvb/2PP5q/79n/z5JcuHMvD8evbHf1/nbyni129v9eVz/p/T
r/79V/+9/0d+8+cnO8/1894flnhN1MNt81YOn9+42tQ/Ynpv2fQ3/29/+K+3H59yP+Rv//XH82sS
pOiE1mXwUv/x80cTE4nyvMns+Y/dCD9/fPWc8JtQ19N6+JcdP5dvB37xDUm4//pDMD/JeGsCylfx
fuIeOmH+urcfP7I+YWduaJYpcj1lL5CZjCl+WT40KOUTinC4FWoG6AMZH9A//lUhhjz9SP4EaYSG
L59Ftx64wB9/fcWbP2f6n0+eh/Lzz/9Km+QmC9K64rc/zk66haThksT2S2a1vxrdoYq8SuHKinUs
TSQpeXX7E52BUyFmh8fQCGGkixweRRU4YwOWA1nhcr3z6A+M48DpsTeO2S04QHk4oaiQ2GM9rtIy
Oe/M8EKxnlp6DccjTV93toPsRZrtIGrTS7or8MSiHgFSP7qqtfS3BqNDYZbAncg/kpqd5apoRWlY
IfX61no2qhZdTP+sjDYyCsHHxzJ91/lYoB+ptAsoktCS2n/7vVuaNObAyYdsvuKVYiA4jJUbwKZB
dI6HOvDYdOowFuZKWCMC9tgPFcW4hqidNFVRlZXfF5Bfx+bz8RjTZ8yGowOuBS9GSRAgzSyF0Ksc
rwVBTmy0yxdCc1sp0E8x3qB3jKacjVyh4wcnzrMDs3sv5mzi+TWav1xUGBcKI/lD4GHJvDo+rMMh
2APIkKibzYdVGFocjBYzzkLwZKzP/erCb04s0gMzgQKZDn+Paq2uzFMEzarMLsJHA53nCk8guOkq
Ap34mPrnzSkm5KEUgGDTgQT0R4XMvz8XUr2oZdEnWJ4KoY0/D2I8WX/fd/1z50YbKbXOssp6CCVt
bdT1C9vgeJb4sZMMwrMaqquMi6zqIq+m/gamARiIbAFdgA3I9WT/m+XYShRGxspLBmuba8YCn5XH
UT+FAz/0RvGAM0FrANH+YHhqyXk39jWtaVfDlwkpCG0cNp7on9hHDq05VebIMTgmCDe7j2AMIXhD
q08dcDTSA2vBdezE3Jym93zJqRP8A9AajjrqNK92tiq9TsQx6Og2FgB/xnoZD9+hfy8mEepfXwQG
/UxSdR4YxsT7gVLRNZLCZBEEAAI8f1uBR/KD198JQglMnHA0ojJbzF0yBMPgG5QWzCsmXyjeauGJ
/eLAAzMMdTr3JYukYE4BUJqq6ZSYg0q3Kpx/pPMuB5LqdbbZnWIZHXj9hDIUoP5cgpnU+49Mxi+h
AbfFaDIPQVrfaY3qRGZ5YCLztLANmYJAK5mtlxDsVlWqHCBqO6x1b6WM1GPCXy6tT7clSjEGPEBu
MPPzsMpCxXMTBmJZOQdVHDyBS3rCYOVJ7L6mSjjpq1jSosQUa2U2EYpoaXLpaXhPTPIhpjScaEEe
fLD/3N7mjBEF4N3ghVNXtQicYKxt0HDHJ+LHCAYCNyqAOxGsiKLMak9xJ+OR02icZClVPFGMEba0
8hNr90MF1iTItG4ppyky8fbnh6GMNQKKKjmT/KpkG2SqBcQmA03Bmga4yK/zbKZwU+YKUl38QM7j
zFF7pGjR643ucqo+zbtEbFdb5/WvbxZMFeBidLwBx7M37Y8sUDHO6mVCNeJt76LoFp0hj3IieTr0
jrhMg3yjvYlv6uzxSZkcIiHBWRHL/gIwlFK8/PIkwA6QYpLEDQBuJbeR3b0VYw0vauigohYghWuV
NN3Oq+RUz+Hjyc+6ne4SXDV4WHPOpCV7Q6xAc0T0Rc0dMUZjLC1dzWkh9GzSQBGustTNTszvA/vG
XhI9ywDExjC9OOUF1fKFiN2Jvim0E4ffx4YcQwII+XcWPX98Y4L6okKMSSMlXfTXw1p5Qn9MWBsg
7KiNox741pwLJ1aVPH3u7EicOP1/J9WzsWUSwqmCzp5Iv3YpruNtvpUWyiq47Tf5ZrhWbqWzYvv+
Csp7MSx0b6Fsj0+bjy+UayFY0L/SxdmenMPA9PWYIzl6Rg9XU9YTNA6s7W+gt/Xd7GJ2vHhqp1St
wGFZOtVZt+w3TbjIF+g7n1hnB8azd4zNDuVxUJqhickW1WWBDd2T/IT6UqU7x5/a4c3wn91pFiUb
UYayVPKLMF6RvAzpqkw3hgqW1jZ+uYHB7rSzccweXEBlUDCiKddWl+GrfMPVBBAcrSD00Y8P6uMy
m6iecLroH4AAkmaXLlWIRE2VWdsqFrWrSk2rlVlL7srPqlNUiYOhgPBbROTyJc7ys8Ad47jo80mW
tCm3mlJR24/Mfou40qnO7MFQGLqooHNl+KPi/r5oRWqMsnwSoxgeZKsuMT3MK5DA91vpFIJleuv7
a5nhWDplYf5rUInZD2VKvhj1HaNyizZjS9TK89SEQ1T3aoSx30mT6MND+yfe7CkafSEGZlkwtLIZ
7wodWmwliSEX5uQUdexQKOpSFKUoPVkkV/tD82SQthKMIXRya3Xb1ihwKX0iAVSvT+IDfuQr8+dI
GjORByz4XOr0ZXauCWOAwYwgo+1VwXxCKq1ABYObVvXVMtK42kAJDLa1UvWvmJQow9ocykZ3KhOv
MmfMpRJTM0UDk9so4g0K1A0+ZPrkfDz6CKD2hYkBI1zqLkItcOzP5UISjCXuRmJoA32dCGtt5Cn8
Uug9KK2ckEyJihCuanjmG18tON5QLEWhuMNTdMx8QF6D0CQXseD5+qLsZAV1tEa3ZbVV38NyUN8q
VA9gNRlGCwp5TDhMOuTWIt3XHroywDZUwGCAj6ODgEp9hUkN5nOYSNVtho6vn/Z3wL/SbIGJVb7R
RPAilO9crsGml1Y2eAodS67Yy++1sI6/CLo3VEjZt6j/p6OJpjFac4MFfkY0n1ql4RIpJxLWgCmC
dps6102ACpIon1MMK3G2UkPjorLM6KJy00xxet1FY72nKrzuVAWXdynVwInHpnyTjQEaYkiWo/iZ
Mnm+SL5rFIvODFpOq7FHRxxR2WXWT7JpMig8R/EmZ4woC8TvIhXm3KbQU2zqoGC4coeYYK9LPMQq
NlR3WYF0lyB14ZfamaUc2cMofQ9d3YoQnBzKL8IgW61TGqKEv500RLbWlq0To+Q9OrlYaWfUSDE2
AJruD6DWLP/CqjwIpH6mo/PPR0b9opOwY8EKSjedpO6jl9HCGqAMkRfqw7S+qPMMt4kCKslop24+
3sbe+NgZZX+L2anwFpoFJheDoLnRGbOmQ8wzaRHLzlJECkcvgUTXuWGHG7fuWvKf2/X/7jK5TCFj
51SaCvGHyuRO8z0O0r06+Z+/+bNOrn2a7OohsFCMhlEy1cJ/lsn1T5MoGEUMNqrp0qyyKf5TJgeo
RgcNwiLwK+pJ/5TJqaBTwNe4yJM7gxiQfr9MbnLpBBXDV6OFxjYGeXl//2ollAwLAcRficAQ6raG
8q1T3ncey82fu+FuKX4GOPoYZJaCqGWH6ERSQBDBdtGatE5Z2IWv4pxEhYgeKLaMq1qJ3sL4u6/k
tzgvo2uPQ1Fnfe/wczv+dfbPh5/fhioFdg6oTX8gUKtxbzR9geSoLqGNIq5ifZWV/oncbv98/RnE
xAxCpWrLbXf2XJMxNyq9IwjqN6uyMq/EpFhnloE7WvX0G+PZCTU770wKxj4ONp4dpY+QDdvsPM2f
/2chZjfCFpVnzxwJoXqrRMEobC3Ip4jmP6baP0fpx1kyS+9LX9J8uWSWJGtMl8/wBPumrLD5XLgO
dGxr+ZLYN2e2TaFscT/a4ebuy6vtwLFYeCvTtoeNtTk+6B/X0PkXmipaFiWEaRHO0jGv9RGXS/CI
9dF0vOtu/QthQ6nxMtwG6/wc8W2HNNeBRbxGLd72luNqWKJXuOhW/VKy001P67tZ6msY1Y63VV/k
DbrMduCg+XviZgTrjnU6+66mSAMcOA1mtyQ+++s4kaQRhjbwXRT8X6J0DG+1pJQXstwJS8XF4aBQ
A9C8Xaw7mpRVN16ucKVJTXBjhjKc4cvULYMxvBgqgZtChRAm2nfo4I8X8Eonm3PcXqIx5oXk4bgq
hWxVWflDL5bYUGl6tOwrIXQMNNF6DntMjYLiygjkrYZEMW495xa+AoVSXYQYZiNpLztF7i3FTLpD
7BnTBJU8NLGuG3P0r6MANxwLYXrZbZaWhE+pUaP5JTYQa6xSvRSQHROs8T4Kb0Ft1eu0894RXEZt
OIdEpeBnXI73w5g2DoKt0LDw/fQT9R6judvG1ZdwdEww4bWdw70K8DbN8cPy2flcvVpqiSQuuEO8
4Dpgx60Bc2GIHC/ttqiEI3SpQRz+VlMgW0p1dJO2LOu0easx2hPb7lGR48xJfe0cw1Pd6A2Mb2Wn
NwL0/yyvQUY89y/EBKdEHbqkrXXIhpflQ9RX/WrI6o2leCjC4hs1DNWyUfOFGqOSXNcYzuTwOr7l
gfSadNqNpQ2vsQVqssYFFqGdtWj22rbUMsFuhS60cz+zFoOsIgZrJpHTK9D4SWtEOxxFp0Ab3pWx
H5BQsfKxNxjTCjOUfBnzmyri8VXR0sXvWjsXzEXbyV+AGlcXXqHcaWro37Zp0F9iZlRtfU+8xqrQ
utIDI3Jog+HJUCGUaGSdrScu1r+CctmkcbDMlVFdGjnetYofP4dDdjNG6i02xWvMzvNr7MC/VB36
lq0ZYo6Yl5cy/vFxKuJQm4TrGEvJGOwmrFm/ixEnABEbjAulTlFK8dF8QrbZSPKNKoBbwykjK6Xz
AfW7vDEuy65Tl3XW3GFJ84JqxsIPCIzVuJ75Z+SVOE+gxFhXF1bJgMcE+XYca7oJpoFQeRjfpRoO
7Q2iuC6dE60DIWRE8TXUIHLJ2v2mxoVp+2MEgs1tLnXY7bbhRU6nlE+u1m+LFu2hUd3qQ4oyeoBx
A8sfPYQOK+rAe8GsgCfSIIuuRygzI83T4bWV1eMGaMW9WshnKPrTs0o3A7KxZ0h+lwvM/WJb6YLH
SEX9T1VRccMoHp65p5JHY0k6wF9utGqpmONZpBi2KrIBSMYDANx8jRfPnRjKZyiJRQszpo7Teu2N
hHZ4VEwu8I21qJMGnyhy3FqR7t0U2cis0qELqGa3HPA+s70R6w3FTJ5NGJBjHV73GLd0AWIWEkLm
OJLXakLeGbqrzvvm4bK3rBPsZfXQPZeS76Pba3bm6+PCM+4lwVvrkeT0GTLPYqAhgQc3tdYcT0Rz
Bj9LzEGCxWhp5aZuAsuhKnoPOhp17PEaXC8KvpOlgitIZ10KRdlj3qtRfy1luLY0YZIt+2CEEm9i
1iMkxXvhydba7crPoYwo89AtCj1cynq01tzKc9SxwXgAJ0wLTXgY4CJ1DA8HLVvykEnXxfY5DVgf
Wmaq/N0Khc8aPgFZv9XiftNRlXVUpf6e1tgR1eVEWPYanCaQjQjQQodYvg3C6Lb2uscyE88zxJtp
kZ+pobJCW4zkO0/WnYZ8hDKmj6nL9Eyx8Sze6R1sMsR99dTCwjByWr9tbc9w11bWfq8N7KOCIngd
kalysli6oUe9bhS8ylzsI8oQhdLEX1m9uRCHAkMA7byKQaKJVak7KbQpx6z7NSbe10VIB1vNkMwm
lwF/3hmO4Y0PUokpcWrltItipxGxS0dCX9KrM6lz12lWLTQEawN8DdQYhJmfrbM2cOK0O3fV4YsS
hBt4gdvI4C4r5Al9DIRJpKB4CDX9Tbb6q8ICrdUyvShpYrTSvsRtbC4yMbB9/RlrrMmuqLFH6py9
+o3TCsdYO1YxruW0tksVEfhQwZyVSzduImnHYPvPsTU4wxieu8hLZ9awzcaKCfPkV6m4NGJmQoMe
aqEiKTOkxZoOrO7gZAojWLk2hxQzdbF8K4rueylVW7pmG7AlCJ5450UkbK2oeEsSHyIN/8uvrKIB
u9CjASZdtUzBraxlZ3rRLF3/DYMmfNjG2NH00uXSGt5IfoQkVoRrImRgHRNGxV+LFobDhewoUvSW
1C2+QUJ76aJjKgzwaLEvDlDzL14CEVMBFYcZVxcfVPYj0Qu2oqess1iz7AHDyzHgSp19M4ildWss
3aNk248jLiFNsRLit9x7S3v3QpCab4HluY6SmWsPpnJdY6WooRqxkPUvPVYMiO203kbyPXwPJzXh
idIte/d5MbjLCfa+anVhO7TM2JIjUcjfuHs6OZaik8MRzD9WPYtIkbzP0aAutRzZmC6GAmg0wlXO
URYo4edIxf61DbkAh+XKi1VcYQvSEixRoqJ2bXIZLPuwoUXWLzgTvKZa4Tba69b3OJTPse4561F3
QY3mvQoeRqV+EI0aTcNmLff472T157ajJWy55XklaRulrq6MSn6UxCBjmUIy8C02GumibhTsrGnu
djnC9JIjoAnfGuzUgwrF9572ld1Jr3KDF16Eoj+a3HrhmHHIjYgctHTXlQ7Zqpfz80zk1q5bjbrN
48x10MsZ7coTNxHbGTT/bW3gZ6ZKOH8UPpu7H26L2Fu55E5qXX7h+F6Mono38vEybrA4UUbJYmj6
exfhGAwLK1vUw1urMB2j9FajIl/WvFXq3rGj98l9kmHXPpQuYGajW5duPKw6H8EbuOfo1XCql+E9
8vHkYrz/NH03u3rY1EO0Fa0BykzJdJIx5RPL6FxQAPb2iNqZdbGwMlRxKFUthzp2AtW84HYr8Kra
61otloOOQUBhrszQfGgTbZta1VqMOMXNcZSXuIYZb/L42vb1FwwUyyVuH9jZVF90q3gyO+1WyBXj
0msCKOrxeFlXauCg9OCkCRjJRMkecEeB/1hBK9JcMMeJoV26vaqxe8jRKlVEWsyJ4r/WqhuuT6T9
HzJpC+kHC+kHLuWgSmc3t1LVu0rFa8AOgsc4vPfjE9eKGWh1uufQ7KWcDK2UYjmCs/upup4Cm0sL
AgjtVU8Kp1UeDlCtuTR5j2WAdasfIGqNdSqC++z8qiDAqa7vc6CuPBvjKZ1sUWQgrwmS/W3BNpRi
kVis9CF46FA/nKppI9aBOZ5CskmBSa+/k8Qgh2g+lIK8TnLvOlCKb12kfD7+7D5ercEW0NylpgHw
GFGV/aGRPyCfqyqejWN9sFAs/J0G7euAfcnxONNtZv+2Qxx6UTot0KkVNntHXhUF4AJUropKhJ8i
lCKqazrZSyHeZfrt8WAHB7UTbHb5rbvRg/7GoEo2CQq60qSMskyps/6/rpLtQUsvg5cyq7L3eh9j
+v8p5BQO685T/z/V0i4mJOheKU368Ys/S2n6J+o1rBh0WUAXITVB1eXvWhpEc2o5oArBnsI954L8
Vy1N/SSh8QP0CVU+mvQTFPQvyKnyiTKaanG7Z1lOHdVfqaXp08r9Z1pOxTwVuClQM4pyE09idgmP
DQO1SDxAbS1NQmz4aA2sQDhUq8ZHENTxMaK69QM9/WrWHbcrNNmw3hMKyq34q/cYjYykNubQa+ky
SuICx3ZJO/dCX3z3OhOn5LrOtdEZyfPfrciUcOiJu7tSaYUaC8R4sLjLj2W21CIFrxV2N+Hcr00p
dToVLymHHo8kOkNqyZODdjqsRVeS7n0tUC90LWr9RdukTeUIqt7jsJOQZ2F9JkrdUsBgj7uxWRT4
VILGkaDudiTGZS5ysFuuIH4GjIV2AV8k3Iy5Fm5SddAtNCi68T2P4ogNTBKUex2INaR2D0lgNwKg
HzQalHNZHbr7XKgVXDoLnhGWRD57viAKkyETB+6fQKX/3cVoSr5M9tOY7ayM9tfPj9/7uX6MT1Nr
Ec4VuGsoE2x0P1ePJH6CaEsNGjkAYHUm0Ou/V4/8CUwXJeKp1yrR42LS/7V6JH5kgrWhTg0vCMTf
L62eD4uH0BDdLQSXQI7PmSPoVWWdOtIh7LnKgqheiLlCkeZcOSXmv18q+1Fy3w00BzmldQPnyCSQ
WuWPvlDfZ+rDzqMnvZs8PfYK3lNlcH8j2BuLNjvihzx3KWH9CCEPywi1/gVXh3elgK6suBBP49qJ
Gi69Sl9cDXFyih22f2T9OUQAqKJo6JNzxdyHgXJ6lmktjeTKNL76McpEAp6JJw7hU0Fm5yJ+4GYf
5AQRyn7V9+dxlq9C7wREbvqQ+ZNERQSVBYxTVHq6/Hynv9r7Q6bhnRlzZQ3oWCULqfkKxJaWHarO
F154f/zNTbiBD+Gon5rkL2SBPwC+O+FIwd2SjmlsR+6jDDQJMUI3vKpbiOa8LdXEVsh3jofcz2V+
vqudkLMRYr4YVVbBCBvzKjMs9M0Q10Kh9moShDoe6tDMt1CPV9gEaEvM9b9qESe2WmN0aXunV65j
Ke3meISDc2InwiwBBJyTxLlMhKp+NlKPQGvdHE8EOTwME+4zAmroYc2CmB3lPlGkwa9pwsqna4rZ
6PFh7Hdvfr4THdUBwBhotUqzyj/eXMFYuUFslzgsTw1fAMCiTBfbvzke6OBQdgLNNgopz9VAmwJZ
JXaF8qt2Shjy4Oxi857I7yKzeprwOxMa+X2y9JEAcX8VxC9W9FY0iLVx8Vj9xkgMTF8MdDanxbof
qJdIXmKTQB0uxF3JEW+uT0Q48FZAWoDhhznEDJ7vBVnQ6LEcddjkysJlhbNqHfWIUtThZWAWa/QO
V0MZdwsJ22xs765Gt1yMff/mCdpzKU5+KRUMmr6/y9r6JevpmDfdZR6KmHcNt7Ianfu9t6zoclG+
w3WP+u4zmytYJgBMUWNIQOZD9h3xTPKTG620btHSZm83Cvwka4xCKnUlpfo3M/DWBs6qZtXdmwmG
k77Jl+0+10OPvWf1551hj3+2d9R8zDnpK9MMVkVQ/airTity9wUrJJWjKrGmS3/pRVsNagGyHEJx
ZnhYpNFD08+b8TK3fn33Z/UBwqaJik/x/JosF0LQlPIY27KPVrLb3JRW/1W2Hk6884/7MVHYh8HW
0t7SpymxMzo5VAp4ZbzyKH9Ns7M+OHG8HNivWOMTkpzkhv/OthIcHXDcaqguaT58Ddc6iz1109Kd
/vVhWGhwqgb7FVN3NgwcPeVCNoCreVWyDGXUS1rlBM/l0OLYDTG7e1RSbXrVFKLUvxtU50aRht3w
bqUn4hx8YjtDmR1XblwVvTzxaMJOOTepDLlKR33qFJH44HB4XGSjTGtQp/sv3pMM7g4WGdSAQ3uV
ng0B3Lp2qkfeHn81B078aRr/HWi2QXpJ2zalQKBa35jGo+mbiCWuwS1xCGvRhRKf4CwfHNg0B6BG
onIpzp+f0GLXFPH8EkRXFf0M+MVixOzxFCH4cBwGRqGJxfMDk7GzcjIwgxoSqTg+G1Tuk+dGeQ+L
21p4PP74pq87S5gUUoq/w0xfYydMjKBo25eEEeglYoVuJVdBvQHE2g7Lvl3+RjAEe0lr0YQF270f
rA6HftRNnE3j9GuU3uXjRWvFTiQ6offcJnfHgx04mhWe3aQ+NGH71dnIGrMwzagkGJi1RdQvJ6vz
/1mE2XByEj8vyYiQicWyQ0uyM16ORzg4Cag4Qsph8/wgfd3lXQnMiHSMzr4enwfmsAjGK4+t4Xic
A8+Ky4ZMUU6B2ksJcP/FuPg3UGdgUot+c4/V6WXWlr9MyOHuOmXlgDGmsunsYalpGvig6yM7Fmtb
GvMrncYFDfITLKYD28FemNl20IhmbpiNGdlGdmnl/lIDyJHfhpxzdXOpCgZma8GJhzd989kS2g05
v48KZmYoYWHh4dSJ94EivSNof9aoxlOje3dNcUqI78CcgNakkbrwD5vQLLeNq7jHS5kRYkljS9am
RQVSGS/L8vnX58RunFlq6xtxFngZL8zzVNsXY/7dHo8gqQfu2epU0EN4CKMhCCX78w7wLeWsWosQ
gUZRt8u/ZWKI8kJF+ahprcUY96hcDpSH3QynMx1YBLiOqDIfB/2lNFvHF91V5UpnYvil0trNEMCm
UNvPbSljiOAvgvrdd2Onxqxn8Ppz13NaaeF2Vb0QNcGOOvSzWm/ZmM1CzhXAlZj+mINvqwLeBR72
EaGl8htvStEuWTrGMlPeGr8F79I3G8+FVeDRhSthpwfZvVn4NywxQDZ8B9n42oRAN8ZknYAwoXig
LIIoPgOaQBfV95ckkxQNVfczzTG7H9/VbGqiSAUW53SiGt+gQZXeiGm+HNR2mRvAa7XiSST9LIxn
iWsTFo4Ap5B1shO3vYnCfpnVPh1kHAmMoLaHtt663kATHr9hrNNvMjm6qIERDXWK3XMiOayTV73I
AcCSbGg6og+R5dkK4tx9on8rRW3djWioc9PMDcDy+MJniBPH9EBjQ7+w5JdM1Jc66yrJEBQv3Nxx
uQLRcMUxHR1qvXIGyDNop6xc61Gx2jNs5ZGlpuXlV5cBL2oQ1LNRMxcaqa6aZWeVwYNLvRWd9tvB
s5Z6Zt32Hc4NiUp2jkDAUlVeJcAFOAnaIjrY3ObCEzPyQHKEZD21NUoHyB/MXUv8gauoXiiR7aKf
LgdfkCdxanApx+f9xyjUdlTAn9DOJnTobGWBZ04LZQREPKDbWY1P01OIoqdfDwLZENkrg7I2hb/9
pRXXfoiXXBHZufEQFa+afi+bp8iAhwYCJYCyI/glhLRnWxFKIXEkB8Twlc+ybofq64DdxfFxfDya
EC7aiTEbB0ilaixjYnSCvOxj61aX+tvjIT6eGfshZrtQlItFXBg5u1BOqWg1tI6ZrY3qPNbBLwxn
Yv54PN7BIU0ylpRKJ1XL2ZDCoGw0r2NIfYXc+GNwStfi4wnBeHY+fzaeBoKB5pV8vlL5zuC/FN6l
KNzW2SlZzo8HH3FUGENY4dB80WdZQ5FrnhAPPLceCnymfG7Td6NcGiF32BOZ1qlI00TcyVL7vPPr
dnpi6ItuCrYgWoUC0HutVvB0XB5/PQenw86wZokjMoeRWugMy2MTKFoOhqh8F1txXY/hJs7CEnJE
yQ6ubI7HPbiaVJUjXTM1i8Lv/iAVt5dcMWKQQuLZubrV+3IhRSeW0wHdMV4ajXG64whL6XP/Iksc
XDnzJsdJq18Cu8R1DXViTgVbqwNbyL551nXWX5887A++wp240893XqGnx0bb1tNTjatFbayC6mJo
8Mn+3kYn3t/B6b8TaXZDwx7Vi7xpWhpqCJjtIWTC6OJVkp54XzN88VRl5FFCgjVASULBmivYq4MZ
qhlbIE5syaYX4u/98F1Pw21uiJA9Ikcr4utxHL4VKYc6mj2QRmBV6q1nt52+NZErAu6GYEDdPNeA
0tJMvkuleFNlEJFyqD6GcWcFeCIpZrZSiupNrwv6cOMtDKyO9tp73nOcSjXG8SOQWO5ATgQpRau7
1K7aulxiRwGs0vCweYmv1Og5h7T1y1N2koJG+IDbHP1cZf+ltonUiGkScJLFj1mBIZWKYc3r8RgH
dsu9GLNdpi5CXfAVTCbiqj+r9fFCCn69yGrthZhtL1ncu2rUMowiOU9V3+65NGg52+cq/nWBjf1Q
s80lm7jhSL9Eti6udcCZo1FuEbE7NTV57vtXkv0os8U2UBaPjXGKIrTvYtbbiV+9/fprQQWKsjQ7
CZn77JCRojGslR6mVOyq+JEkYD5PTK4D+7BCBoMuHJUO6qPTz3d2jGpgJo/SyORytYVfXquma1fG
YIukmiFkuuoN3+DfiAmvBBosPSuABbPJ5gVi6uoFe7BZyQ9l/aZYC2yvlmb0oMu+LQaPZn3iXnxo
ek9ViklSCa7JnGjiR96kRZMgdsZdLmLHErtTHaoDB4uyG2I2G9qwVPF2IwTgJFvJzqw6dwLp4fh8
OLC/U9KB9aqTDLD7zpIarkyBmVpshlJ7V+OUFYXfK2mZWueF9ssVzEmdDPEYgFjyRBKdzQsFu01J
njYEUd54BkgDK9pACD8xFQ69GMriIv2QqW8+p6EOWWDGY5ySFZr1ys+vjdHaHn9kBw4qBawa7DIu
87SsZ5MtCWEeWjHvJdGbbQxl0R3DNWpYEkYw6W8s191Y0xzZWUxlG1OSjYjV05VvatoahnN8NIeW
626E2c4GiqQ0PI0JoAUY1LZnlUXTAuusi9K77dPX4ZT056FZvRtvNqvTopA9rGQjOzSf8+TehQYd
CtGJxPNUkFkuMchNGcoJgyqT9DwXW6eLuu9p1p4oKh8Iwxyg+QNfEHEVfXaOJkxzxQMaYtPZi5Tb
VCgWWn9iPh/K/GgyQXQGMmVNUs/7UyDsW+y2TPKiDv8QrKqhctu1exZZmOAoxroYzgf4xqLv2tkp
D54Dc4MWAB0u3cCHl7xzFlqlWBNXvCvaynqlLNrozlcvfOm+Sjd6fi/m98fn4oG1i2Yg61bldAJA
MXttPlw3PPo40H0k/UbcKaX6hNLOgbWLJyI9bPiXqMNOrNDd9aSjhIcWDjrLmtY6kVnRvluEzVpT
shNT4+Br2400G0vXqoMmFciRib22NJDJVpy0xVKv/jwO6z7+FqfOCG4/fDr+CA9NScQ6APNAgWRL
l/cH6LHJ5rWPRELrto5nQY7GBE+KTkmuTd9+lqlAk/0nzGzmj5XSNllKmLrwVzV2oEbZfk2xCS1F
r6H3mm3yUz37H93/YzFn+24bGnoqmMRU3TtsF9FoWuimrYU6jCroExkGHE+IAp1Yfx8V31Eil1l2
Im1KtI2M6YnvbMGBn/rZOLFnq6ASF0Iur3AwW3CULhtZXhTN+Fy6eJ22ZmpLgrmUys9eUV/Eg3hf
WlG+pvsPKjeB5CDfyJEqrfWkvuu4XpSm4gRasPAN/Dg0cSE28kLAbff4fDi0pHa//Wx7j3JZSjTf
gPubBnZbhNshOoULObimgHmaKGdQGZunlKWq5ZWZo40QehSBcZAr6pU3OaLp+YnBHJx1O5Fms66W
5D7pIjm0raxfuXK9HkLxwUjzBbxiJ8umEvC344/v4HLaiTibc1ZlFCP7VWhL1BNG5a3KULKKneNB
Tj3A2Qyrs17pYJcyw5JgkcO3DIfHcUg3VjacmMwHZ8POcGazwesiT85NInmUaBd6RVnbzU5ssQcU
sFkwO0Fme6ybxkmijrylvE8ewt4/9xr/Bsnoq2Yo3gXxJtYvXcnvL32oj5XfLCPfO4f7cfyZHpoq
sOsnsS6UL7hW7a9aIQ9yBaIrL25iTxhecSsjRUVrXl/I8TtF96VuBZvjMQ/k0qiR0peV8S4AOzd7
ukLjtrRlWQh6a7ybQnlV9Yh8uEb3pEjtIiv7E/Pm0OTcjTd70FEX5AUWX6EdiV9LCAssgnhwV8cH
9QNRMt92wf7Ag5y03Uh595/k1MnsvbQPIWIi/BhJT1auP0agT7AHv45T/UypyrMmUS8kY1glyTvc
nnNDdh+KvlhEyRtl/0WX1V8DLCQ1V19plbwtTcPxudoGFLIGT7wTRjp+Jtznptu6hX7pxx16Heki
6+gttKKE1uQ7ZowOWmIgAl3J9uBnaOG4qRCZ8cqcq6ayDiPzyoJUbMqjYxZQnqSqkFeVEW0GIXku
fO2iFt48/pdQp4mN4CV2s8sBPn3LzS2VUydUwe80WDC4/sJCIK9TX2I+z/hv7s6rOXLmSNe/CAp4
E3HiXADobrah53A4vEGQHA689/j1+4BaaZpgH3Zoz91qQtJngkxUoVCVlfkaaXSldqTd091PvbIe
x/IX7tauYo1v9F2cUtRc9BafATS4sjqt2+IevWXfGY3eVej8tAUooVixHnohX0X8AzX010FUbHNZ
c5paWQG4uFBb7WKscKmkK1WVlSsqENZUC9vbsTyzSk+uGgBjYIdpsSPj+Pl91pMBgL9k1ci0VAsu
5dLjOJ256536+kAmo28BJg0Rz8Wtso4UIezaiSwkzbZGNrgqNdlIfZrJxWi42GWq/jqzTHnq5So9
jrj43qc+SQHDE5HqnuMLPogxRw1fJ/XWKzcmrLr05fuAp6aRgi+NcXhDM/fg8zSmQtb2Q8bHPqDX
KGT0WVWXTuX3QT62jC/DmllR3JypWy6BUnnXSoYW8bIS0/9lxNW2k6ufCfqodtO8ZDGMpEEIUb4X
NrUBaa9Ca7HNhvcqjXYininq22QEq++f6dRppc3aKuSYJuWdxaWApkJV6QJ0+hiF1ty4D0e8jqED
V9vv45yc4KM4izXUCoYfDSpxIkN8QITTiVXhMo+jM8M5dSQeD2excGJDyGMD9zAHQ0hHLdaSeE7X
8dyELVYKsGmzNYZ5wjgTveI2iPa99jtQSvv7CTs1Ep3lOKtVy1BxFsdPVlsxPhBs1FMdrWJvWJ21
sDl1wB1HWBw4uZxJWPARYZZrgmGt1PQEEo80fK395zD3WZr672jmLeYo7Zb6nI64QqwxfzSUg1lL
di+fefcLhZyPVgCdPL5etJl1FPUXL7/NotATqyZylHB4FzL/Tet/d1MJRcG7LhOpcYMqc5Sx2SIs
besq1LM8rPS1IcbySh+EJ6E6J7F8atWjnGni5wvDDpLH52F7pZwEHSQdh0ucrQsXuZVAWDqzrZxc
KUdBFp9WWrVhoVrVfEl8qTHNo/N4Zi2eWvPHw5if4Ojt1Z2fTb3MMLIQOj8YQtCKhr8+C4s8FQeU
NV6nczQKfp/j5KR4yJcRoCgfunSr5leFjr02ucT339bJlXIU6MPc6WhAZVX1ZZMSqI3La6F+NYDX
10A7EPsqgZCBJwdCMrk6OVKZZNi8p66aivuxMVArMNbfP82p98eBAMsE3ft/MuuOZ1fShqQsOGId
GYp+rCMFcs6K94ShDDnsUYjFC8zrJJctfJQhA48XWngboaZSv1con41OhpiM513QumLj/62kd9+P
7uQ7hQylz2gprKYXH2WkozBQZeyXJiSDoNmJbeum+bVv3X4f51SSAo/q33EW+3IuScCkcMhzijju
SPHkbR1KFZIJ1J9MLMdQPinic+Xpj6dfnugc5FjnqvOyVeYN4GghDUk35JVC1Ko2rlGJhEbBhpJF
V1NQ/4H/4GZSeN+X5uXAxqrMPD27AEqVpu+xoGHUCVrI3JjSa1m6KCv0SLHrZ1obJ+f/6Annf3/0
hNHg533e84SK1yAFttOlXVHfJOOZ8/1khcwkcQKBIPOfZSJhCvIQNRXvuYZIYQ9+sMKadNvPxmie
BSFz2odC9isY6iurTQ6Sf66yemqrPY6/2AXzMkZ5aT5hCigCQiDeJZF6jx7Hma3j//HG/45zsZ79
DHxbVXLZRXngxyREV0mRXpoB26+kq2ujpTYIXXslljlSMqgClJnqBgPayZ2MBoTYuJoADEus1w0E
LKNL10PJVSMHJQugork1EIf5/sM4tb1Q7oJYqIBn4Pb8eQF0Qdz4us5NyADKMIavmn5mSuZfsPwG
jgLoi0MuydosU31UXZRKswtk1RVMg0vZMcrtGLimsgG2+P2QTn3rxxEX77rrUd8qciKSCWykYjdL
bgW/M7VexZpPI/7u+3CnltZxuMUr52g1odHOd8kuXcWJtNaGzK0UffP/F2axg2m9PyJTwaiyGIVQ
ZSWo1xD3zgT5OnXcEY9IjYvtoOYKxyUUohziIlCN141xYZXrsrrwrRfxzL3xhMY2wWaHIqQXkWhY
5rDgJpCWakFOIzBg7toKHw97vG4P3UW3b59SV/oTBq51JurXDW8OiokMLWs4uNYi1ax8oCdlT9Cw
WktQ2+6j+F4/A3D+mjp/jrH4pqiXmCG0HXCXhstFI9lnV1M1Gz5+vyJObKpHceaC7OdvN9IDYSzm
OPEj1PIERqNiI+8lGTZcEd2wC0rX/yP24b/mj5jLj2sQs2Ea55fWOGFC9XI1nSMPn5g+6CK01HGG
wORCm//90ZlU1l2vsotCt3piu7D24yOU/eJcQe1EiwENgaMwi5VAxl9kmQwvKaA9fT1dq89t5HoZ
6mpudKsU//E2OEf7y4FZ5FhyoJiV5MGBodjUPKEgxpHgC7a/wS5BOUe4OT2Df4Mt8g7dyNRYaWcC
jOFKtpHaXeBYO8r0Zxbg163v86AW24VeoZf7QbRJkIuy7PSFPttjdl/rdpLYb0riiofoUkJBajoT
+euh8jnw4t1FXi+2WcgAEVwPU5uuQJ3bSuAUd8Of8RxP6sN68/MRRrQjisdimAJ9YY5hdsXC1bBw
flWxA/Y2iivvJjdxA0QqW7c8WJfIam01hCpfik2++iGi0H9OwPPE/gzSBkigCNWUi//iSUKEXCOw
VvSHd9bauBvXzap47M6t1Y9fsxjwMV1i1ug9/gI1ZWqjaDLBJv3wfgSH4GD+kG/rVcmfZv28zS4o
7O/9g+FMt+L1eD3s4m23cvXV98vrg2/yzWMsKf5CYHixOPAY6gaRrvRRdB762fYxc4un4lC4wnW7
m673aGNtu4ti1br3yFeuJtdba5fyPfpch3Ir7fCfvqW0fKs4pu1vf5SrH4UDPxd77O8f94Ma9eVx
2bSAu6iQpz6266N9S5Q89H97C3Do3n9sV41b2wgtbcZVdDAvk624qx1UtNfKZWOrNi+OPxN2qN2q
WU2b99LtXREPa981V8HBOJybzQ87na+P95fIsUggYLB25H/6vHayp2hTBo60HtwIQRMbKq3qotjm
mjzAtGNzWvtX9Q5ZuhfAThffz5M2B1o+yDGCf3E8iiH2dHms8iBOgvKcGxz6i4YH6XeTPToPI1/V
dCHYkp3a65t2LW9LN9w0K64NDhuLPTnteuPE9uPPx1+Ppr17+WPev7/JNhKjfHG4c5x5r1/3mpkA
D3BSBUStaUvgR181qppnIq9VdH3UIXt0JZHwdAGANL0Tm2e2thMJOeRVDnbgU3i2LUmFyKdLplzW
YGYAeii2fCY3OZF1WciTzAUh6glz5vX52y7qAhpb3cYOSBlhn23Rf3GGg+LGd2iFYuLjNtU6O9NZ
/bCz+fzKoUEdIegW+5ae+GVSIXXvtLsKhtDOuGblHcznWc5X2jSkfpt2jVBlaxu30Tl0xtdNEzCa
hkMm3SuEwC3584j1SWtyYYjAcI0r49A9eW7+mNrm1rpkEy8cZGIRDzZt7158G89dCOeBLQd+DIRb
7KR9LQ25+oHyTFcolBQ3XbYPn77/oE4s0GPkzrLJ03uNURky4xOfy8fmRkEQ6Qaoi460/bnhfGy5
i/GA1wFTCg1R5ta4eJGYSbI+S2p91nVqPz77Nidi4z5eG3ZuD/Ybp77BekrtV6xhf65u7LvD5o6J
d95/3sxf7r3vzMfin39+q4W7P9dE+aB5f3nAo3Ln4mXH4EaVJuQBecWvlr1+9HmWzu7sLWo3OIZ3
LiiM9WBvJxsZWvthcwM32OayY1vOz7fGfnHur2iy8OfGtK8i9hScj+1o0+57TvMXNIwdhU3mfj7f
MydxHs9l9R8Epu9GsNinhwQwu5kwAhC1zv7peY9GL39k571jv7723Aef51XtX3fvut26OlZAbNrO
gc4o0td/emd9ew7me2rToEIoUkFDGgLA5WLLTsVcSVA7pa3B2zWYSN9+aNiLE/vX4cdZN+/5DrGc
gaNizRebO6nzaKpSLBILJ32x7nEisvZomwYj6gsOvJLg9vsv6HTF96g8tZhzekaNEAVEBO+v7VVo
1gx1cIJ14FYV27wr/S7euRME5mo4l2191K2Xwz0qIGiLPcIKPNXPTAoI6kbcFAeZ/0YPEom75Si3
/pYca1056JdyLv9PoF1HoZf0oMKMkFObiwqQKOyodD3OtSTfFNSY865E8u/MWXpyIR0HXNxMMM2o
6kBjrM26cJu17AQuPEr+lG7nTI7l5hffv9oPUPM3s7vUhQhwqE2zOWKOo9aDuIvceBU74WbY9WsS
WAfnpA0l7lW769bJxjxz+Hyg0b+GN2ebN9DqH4Jgx6l0mwBybA26TqIR7cpxcCeLNlMf52t5DPee
RfKO/KZbxToXT3CdjVC+5QrivFOzrSPvwFbsGpxSCbTYRJ12VdbuAHlt/FncUnpX1bdSjm8FjF8a
v9n3+WOnpRut9LfZELhJp266/mfWMEC9sP0Ii/bJWiMTvhLq6jWGKaqnGfWdcZfHdWnDSFxVgtHC
vU3tEPGJfhgu5Dx51Kf82bMwCUjN7USvwzXGaOdz68slGuLIAw9x8CQK/S2aehoapAUqs8lNLSi3
BmeQlsnlJp3RpGOz6WPWFT3kcAo0JKPfK3RU5WrYIHnhIuHEZzeBrUa+tUAWOtduB2AXDRTVROyr
NYLRm1ro3Gwsr7qi+eV1ylbwi71QPJWhuMmoWrV9jypg7sRtaSuIVH+/nE5kZ6BV/77Oxfk3Zeje
agOrqadAPypXqvz+fYCvV+rZ5UievRslej5LLBOyvXovtBSqlVmctclWlEdN+ew5fmKHpepPNgsb
gNbjIgmM056MYf7u8zZd+QmXAGnnFZvvh3KiwjKP5W+UxcdeNV7R9QVRakxPLLvaF94KPdWE2w1S
ievvo518M0fBFm9GHrGZmPo5mF47EcrO1rkIHwCML9/yUYhFYSqZ5CqI5hDSPfZL073/Uhz8R30T
vniuebB+SNHP78f0tY7zeQIXJ4PUm+CHBgIOMZjRbmtG24CmYx8dqvJMij7/qu/Gtjjhk0BN5aAl
lHkpOmXvplcCu2Pvts73QzrZbDxaFMtOEIoFWY/uPAtcfk/fh9yO3GGnPhX51biWNrl7TmPk9CqU
ETLFuoPG05L1YpQgzfyOT7aVvTtDzR1TibeRF7s1QC/Lp/Oe1xhkvhTNuUbEyW95bquAlgWosRQG
KzxxKruSyKDT3EHd1nmHmd6Z++K8rr+8uL9BltIWUSjkRTyfb60kbKQ62aU03muohVPy+/tXdy7S
ovRr+OCDPIlIkX43tL6d0O4QfuHq9X2Yk4v+aECLDF5ASZX8nhMzQLpV0w5KiBsaFBWm8Jyg2knI
lXUUa5H3KQISnh7qZg6b7i6UpoMJLi+XtGtxqm7zUN71xehaYrGL5ddgwinNkPn60tdBwYmlRVVm
iq0z7/NjVXx5oWBL6YnAbjOXzrp1G1lS3ZP/j0J80VPPL5sO3TTV8cbi1jJTbDmiVVgk6yDuHbnH
gUFqr/Bv+VVq2t0gU/LS0u1UIK8RqTgcBIda8bcyREnBqmgpFg+yhE6u+cvHq3pVBeNOKoxtXoMn
lcNNOiLBhyMa/A9fQI/FUyAhR25ZjrsB+VBXUdvUkWf7jtDzb+u+dyZaeEOZuHJerGgy/hTCeKWj
yxZ38QYRq3N01pOr42h2FvtUYHqqFesUz8dBv2ya0PaL9mcYW0+467yFabz9fjGeXPOwsGdZYxSH
P/LZo5re6PfAfOfrpBSv82xnJE9jcdlhRvJ9mJOjAgFFExYygaku1nwvDZbZpjlrPhdu6/RXlHr7
aIhBzBZ0+sr/XLuUMGj8cKNDheCLJzYGIYkmdSlpf4KDyVjdSVq3zgr1zFI+MXkaOp/oi82qbPCZ
2LqOJs8wR8sz64Svy8Nr76HUMHmh5levv5+8E9vsTGY0Znd3zJmWvkxIsUt90oX03A14UVJpp+2m
SM7VzeaFtfgsNQRHmDcVBSZqZJ8Ho/RlOhgz+ki/jAIK4SCpHM9tbHSE1t0uu0jpWIo2KN9NvT/n
Ynuqfga6XZ8FuUwIU8uu5QAljJyQ4BH6648DCjnjRVsf4EEHD5TH79XSHa8LaRc+JE9h64z+3Xj3
/SSfSK8+PcHiu1MDQ/cwlYwcQcBBw7uu63NAtTODNJbtTM3Am0r35xnWXfV2XIWH16Z1jMSRnihn
qbQCnyPb2pCXeJNNFSB0vx/iqdMAJimfuQr6CxreIt0qPQnnOA1pyzFxlYfgkBz61TUW3bb8IN0q
9MHdnXFz7oJ6IvH6FHQxsYZWxfhbElS4j5149db98c9egk+8vOMYSwyGWLRh08OBcHxMlarkUtCe
vp+6E5/grO6OzsgsVkmj8/PHIRXxlIsFAUqfO6U2Wx/1+uDK5Tn+0cnZgqCAOiL2Dl8Yv8WkYe6K
oyh193IjRL8Kq7lOW9Up2h9aiIlF9fr9wE5szAwMyezZwBEc/WIL62SsbmFGhjisZYdKfIiCyR6i
ep9po4OTz5kN8+R7Ooq2WIByOCqKVzGNuGM4VvYWJWfgXqen7+9wFovNy0f8oNA+Qwt3pRhbpV7p
ykoTDrRO/fvvZ+5U3n00dcD7Pq+Jpu30NDCYOoxu3cp/HbTdZJKxyPW670ES7lTaXRBNvw97eiX+
a4QIanyOOqIq0hkNI5TDn7nmZua9L57ZJ06cBAZ8CpQAQPUhlrs4CTJsb7u4RUZYi2rHV66a6UYu
ynULcz9Czaf1C8cTyv88K0ZjnJq7ji7fjKH7PC4sYBrZU/PQMcVL6Tk2LkRkrEW7O1eNPFV+BgxG
D5ODm+RzlsQ/PrSR1bQKbKrZjy7aFeZ368DxNsJ1sO3WwQYPQcrS8GA4+iT+v3Pr1etkW6vBecHs
+MK6NG67P0NCqRxbQAeRswvt5j9+wf88BWUyCkR4FssKiJLhebj3Ol3Y4EhVRvs0rB77uD2zkE58
+cCyNQVeL612tNo+z0PT1X44wQmi5F1sN4KTH8654JyLsJjpbvACr8qJkFC2EuMVMChVu5LRl+im
cwXuEzvLp9Es9rFB1rw8KYml3ZeP+ZO+0a6jdf+RuGg7eV+tf3//luZnX2RLn+ItdrI+xydqwvYR
BcTnTna19LIUVKc/J6P1Ib3xXZzFhoYvphlPYIgdcbSV+2Kt3qau4VYrVt9N5eL7tsFE2hUvsz8D
EJUrJV0hpyu7NCGD0jnbRjjzRj+0FI8S3t7qsLqen6Z6KhNbuW5c/wWrktQRLgtcv1bidb/21upb
z6f0/Xwj1L+ccZq5NOQw6pHnS+PypJo0vVHKBOmAWjDqnedHeWabpdzeDO2QG440KHiwCeZ6UguY
dnU7+FtdSZSnDhG/faLkoWKXShHqF6hgePcIJ3WaHU0RwAvVzAoMKwUdo7DI10nMDD0I7dLKxncl
LbWnslWFdOurfnAZ1KmPF1wsq/WmCKp4Z1EyzWyjl7jIYu6TPbaV3FCh1cxgAPtkYrXoq5p2maED
W8Odb+RdoSBHEVEaN+waS8fMUVEMxp+81NJ9XhcdDu95RAViKq6LuhNfSnNUexvmHVbvo1WFgx2O
tXXXTNSdV3hYjtNKzhs0YDtxkE3UJxs+Ab8SXLUQwgG/3eGZEoqPqnkeduuS/ldg6xWZhT1FHn6k
alsIb144aI+dJRcUrGSpfEqKqb6J21oDNmGExoUBC/F2isQ+WnU9vmT1nGAewiFNfuV5U6COGIrl
q5fgD6VWlgF7YPQMd+wMbGAbqQ+p7gv9dDW0VJfdvvfEt14p5V9q2gvJTQl8DBblWA+4IObxKDha
K2rU62XVm5w0Hqf3Bo0FH6NKvFSzNL+D4DTdW8EsZIVmdT7ZuV6Y4F/abLrV0ypz9SIqVHcQOy3c
hZoWXLdGEQJFE7uSvqhUeK07YkryR40bXQB4nso/UPIYNLctQ3TaQ9HaKZrfVW7mR2O1mTyv6Wyx
bA34jEjI+3Y0IvLeatfyBxwauFYh2lITCaw6+PxmMRcxhDbgqwQFXtowc8pbIOIokGN5j7IlRa3U
0SM/Dg9CIPhuIaew2q1Q7X+3iLn+8Ds1+pn4cTVgxBpPe0nN1XatRl33uyjMtt32QlkYTPsw7tUR
PUrNFwVM4iM2WyNu+p3Q+uIq5VR9qXtxpUSppdgp6WvqtnlaqXjGm6XiIjWEwXztt/QiRS81w53S
WOoPXzEigPokjACSrNTYZ4oMB7SXm4B/PCm15KKzH+q21ecWuJQ0yn80SoA93eC106FSQxmF06yN
fqLtnlmraFIrw8XTFXF93x8FHHmTeHjovc6bv912+tOPkXmYqNPWCIOE6WtljMOhllIdEDXfJ31q
sdcCdM4iD/1N/mfli5qeuWqTpxburhK/KNRV7wZVDGQG/Qh/lt0Y+7g4xspY24oIR8lWC5B7Za2i
4SVGuozqKponG6RKU6TOu6JunAFf3byUtT9VOvq7BpfX6cfQWVJ8P1RqlK37lo1e6ozarhAzHd1S
McnPfQUN3BVGfd0rMn1ts0awLLgcYs/XttQ9jGwb4bNIx8bQcwz5/AyASgRs5Boxv+Hp+73ya8OV
rRIOAnbxAENQjF+kELHQJzW3bY52v9Ue+34EedIEwUYZfFbypE2vWcLz63FsXlgkXrYpjdMLnh9o
O6cBfyUF3SYOm3aFQH+zwvgAEEQaJJukQiUiaCzpTMb5FenLE5OCoCSsowpD//9zMiKNlKh8lSw9
L/MBlnFzMQ3SVh1HAGZcVsUAA21l3EyWcJHgLAWZ4OLMnH050BdPsDhoe6jEUSOzwBC4a9axts56
+1JuL0jy/pgscGwbIjfdSHeRXWtnHAS+HKufY395X4GYFkFG7FLR2KGuTGSik87JpMvhXHb5tcez
iLW4P0xyi85xTKxRDH9TGttqbOmcQ29lJjhy3KzrHkNH5njo2kMvdrdNShuSU/FMRfDLJYPnQNJl
VleDdMx7//zGQ6gwWm/yxhX1La3vEBxBYaPoHuXhSisfVXP9/fv9cm1ahFvkh7FpBZE1EC7OcD7N
1gJ8cflc9/9kkFncSEOATEfC9/OYDCrITd1N4IFn7RA3KBFnPvOlnAiBZi/q5bNaF7KHiw8FnlER
qbivIl+OyUjrY8HblQck487kWyc+B+wKIa0Zlja/nsV86Ygc+o0RBo6Q1E7o/aYhbSu9vIdLc2a3
OjWi40iLEfVh2mhNNEdS8YL2fsC0v9WE/u7j/f+vNmyjOwKVlzz4rGXbPkx+v1Tvx65t//7hf/se
wkCmP2goICMBdCt8kP/t3Gb8Q8IIBwzQ3EOk9T/XDf/le6j8Q6X2rHI2WmDicJv469wm/wPQIY66
Mkr66IOo0n/i3AY4k4/j700H9DnyzSKa1DgsIrZM1/7zx5M0ihVnyaz/DTvaC8SX2PPe01jZIsNR
DMHPxkexo362OiyuMem2SKx1fIgC2ZW8YSfGPkKZln+XaggaFUG4UjusyctqVinfDia1awUIeyO9
qVFquqU+7H0t3ZkVQuGNQjKDY7Onx+Ztj10iwqU7kvH7tsrWao6dL+6D19mQqsilmxsP6gYuxUZj
1/FQUmDynr14uuf4KO0s810p7h/ItB91CVyXl4mi7WvjquuKS9HqD1MUDfSewkev0rcCwv1uDehw
bQHjcVJZtyXdS9ZW/MfTMOJBar6xG9zNq1BXyJqNx1IY34ug9hwRYl3qIRKvl33oTnFcrMQcQkym
lA+pqkOU6VruFIKxKYyutkNBBedXkovHScB+0RwKAwmZMG+5C3TKQ01f2ZbS6Mbwmq1gDSqa40iw
NFH04iVhd9DM6LmMgTXqaufiCPy7LsRDKQW3Fc5ttsDL3ZdJ2ttyU66UcXzSC0NfFVG4AW8c2UoV
7nBw/2PoL7ExrGkN7nW6dhCiEC2L2lt+9Cmt0oc8ml5zYdwj9KDwWpTcrioPARbh3iiyn2o1Ka7Q
3pta4goTOnG4Ua8rU9qabX+g4H2h9+F+7KJf6ESbtiXHT0ovwPRVNlZWv/qF7k6T+dC14Z8CpPjK
b/KfjeQJq8R/NdDisoemdBDa6Z1uNPQL3UphzpgNCvqZykQWm5b28GWcS89R3awUxHHpI5orMPzu
FJgXVQLfVjPTzjbz8I78sLRVa+AsUHvFmYzuUZl+p7OlsTWbG4tq1wA/qzeRomzJwX7gqLCe8EPW
tGqV4Y+MHBA0ws47DFzoKxyUNbGrnWo2Vc6KwpkmgXQ92Su4LldBVeNYhRGzFkdba7Zmntr4T1L4
lw2ezeqQPFQz/I7O810HGkmY6nHd4fM8zYbPaVe0WwMPaA+a96CPpaP06iXpLNRM3EBxjc5DjZFV
0oqb9oNgZOgs6agJi3hNC5p+P+E9jWv9o4AX9RgIKxVJfGC0F9psVq3V6D6FobpNuOeKtXThZ9Xk
JFrjcUNT1C1MNVgk+F/HWkSKZVGFgvTXe/02afONqrzrwVuD7/wqr6jnRC3pSozcNqL1Gp9Gnyjq
yhQK26tNjZaJcEmX1EfXrLoQxh46pu7VjlzL7hiW3PA9CXnG8E1U4VhoMV7vua//DNTxYtTMB0WU
AER2wbRLfZztU7PCsQtmKtUWc9xZrX8YqvJOm55BOHtIVPc10kiadGPot5b2LKkbedRXeav0KyyT
RUtCPVHbTEb8OnnU0oVhDDZISe0n67WNZxz4hEt9ExTbINC6ldzyA2agFLieKM9DWUtOOXm4FSap
4moYjqsN189EqPZmEF1JaoDVvQbyrKtgwrXWdN026n6E+JC/+WZ3M5mQ1sqiuxAmC/xd7ruDJj9E
MSsjDzInKnXpQBL+CC1oFZXeNu/8B2ESinXQNt5GL9q7oalyYGyuZNwKnh2r95aB073o9cNOzvRD
3jPfvpcOtlJ24lbyi8dpUFW7h78bS8I2aIrSzoP+zUrrPe4++ykZ75DGfMnGIncCLX8tZHOn0523
W6/6adSThHxWOq2T2exdUmKLcjP3UjOdScXmL27AGzlBk7zRu72Yi3dNJ6hXfeZNKy6at2aKPUam
ZiyYqtridC45wOV/dtCtPbnCYJ0fY3VlhX/RmumfLi+nwp6ykdZi1rpxqaZbKVa0NbykValie614
KKDibR/audke9GB0q0BmQciwa8PeUFaTIY93uG6uufRmFJaU6zoLmnXblpexGbqGqhyKQqhXTT1g
4xbKA6xFWgRWhm0XwFcgDnarFplTdn27phD/St//wcswtLWKxjGk7sk0p7XVjEyQ/xghlhNH7Y2m
lNdGHLra1M86e3Xz4GfJhMOgYCIXVz9Q99ZtTgeDB6ESFPnyRd/UcFDS+M00MmFlSZ2MFEFwnXbZ
U0tx+UGvwtKVGlm+ryKvctoR9jZK4NZ2Chqo+QmnYjo4njK8COF4l0rjymxaVxisfe2JpVPn2UPe
DG9yZZLDa7bs5bIjlKPpck9r6Fg3CANa00OoxxG8dOMwaG3lqEO18+rw2RsQsuLgCZRwjaoG2EkR
XCNSJKiUhJ5k2JY6vE1FK9Pt8B4BaKb2ZOarqhjDdRJ5b2UQU7soRTxQJYzvqSFpYxusAqm8UHE4
qWv1ORmCN6Aaf3IkpF2JrQ0F4sKtB3aPrEW30hRN61CH5bbSeUm6Wf0Qsm7XItlyLXn5xAsCAWNM
+TZW+nVU9G9xAn9SSjAA0EaNmkH6AL4wdyDE3gtmcIXj+k0McHXwix6N+aq/1zzv52gMj5xe9xrW
gyzq9lZI0utCjVyELx/6oRfoXE6PiTGuuJi8xypnpqEF49o3qNBgs7Cu/SREfCMUUW7pXjuxpnZY
iuDmp/i37yl/JFX72QtXaY67kPqYg/bJaT0JFV1lwYfJGnobQ2hXOMrcxB20OkQb7LajdkuNNLvO
4dz98373vzrhpjMuknaeTbfdPHv3X5LjdPu/f/TfyTZKH7jOiTCRSGahI/072Tb/AdHKQKhPRqJa
JRen0fWvZFubk21ozvJ8LSbzJ0X+l02y+g9uy7M7Frc/gNYId/7f//PJ4LFe/P2x4eOXyx0qFTwY
eJLZlXl2LP/UAgvSIsutKaWyG8r7qB3cCqfxfsSdVpD9MwDxL9c7Ys1C8LoO+U5mXJ9jlZreVUKW
FiBxf4gFLj6Fd4dfwbm23tdu7BxnlmoE7TY7lS6ukWmXK5XQJsTBSMWRpEC2+7R+NM3iYowG4F5T
NavwrgUsqu0wS/r10UK4+edF5XhOv4Ir5gdgPiHRzfdyY570o96I1HpCE+d4Q1He9Z0onG6nKb+Q
Pc+RgonOvVn8EKr2pxAHg52NHU3FQrvMcVYyG9OJOulKKaQLqhPnDHu/UhLmB7NYWdTXuF4Zi4tV
2ZZy5AtZwVkH0mPenhRlk0bxqiv0TTKkTijoAP1MWxjrrdxzkBpkF2OwMsr85/eT9PmOh0TV4lHm
Hs/RHFmpVFaxxaOQzaHGAdINxslw3Q2w5DIY/uM5cSEamvzKv9fKRUhADot1oQxxYnoxdhRWGcPl
NWqLRlUBBNFpEz0tbQ7YSC+1xEZtbEOmFq5g5Spk/Ymv/JT7ynwoRk9sNho63M/WZJTJNi/q8EGZ
0Ey0Mw8hwKTyRYxcW+OS4jrpeypLGHD5AblAM1ZGaGdTHb8HRmBdVlZUPAfdmL/pkVz3LukxNehC
MnpMqYx02Af+S1SaWr1nLoNrKvRJvBL1rJJRdvS135MmAA0MEe59buNqrorWVnHNzVNp7S7zUa+T
BIkGemsmdCvyQGdS9WC+ceparTjGqA7mHyUrSvlK8fRuU9L12rMWIDV48OJwFE8putp1g49w5PnJ
ZFddXJE9psaPWhCS5ykwRBitgjQg4570rbjLDVNtHJgVvMxSVpt1FMGGGM1J3BaUq/A+NibtesJa
VuHmYqT5hdeFpkiHZexwGg0UhIhLqxoORWxyB6Yzo71pnbVNhyLVXG/suH3Fpe7Jbvhf3J3XbtxY
1raviAPmcEoWWUHZsizJJ4Qt28w58+q/h5rQKqpQhe7/7AemB43xuDZ3XnutN5Ryj0ayVCd2JgcT
jOk+C4y9mS1AlZnoMrBHcRL2VV8ggjNUGD3alVQoBJylIEMRief8OtaHRnSlwMBmuDJCFWYcLhUz
t2kuCFsZM5W7Khl98vp1lAo2ryr/adI1A4u0vCrixQQsfaZq1WYbHVUlt0zjlKTxJD9mppw+aVXL
e9DoNAY0LrrHrBNxciCxEPxusSSapL4MvAIAAoS3vPqmmT7p90L060Mot8IhVFPjt9xCU7JZtHaf
JZXiJG3GU2vKjWif+Y0+I3iQGD8VyWxey0GWiaskqkn2aPXdMz0lZpUHGc6fkErXhU7c6jSUVSiJ
KGn9TSZAuTZmA8vQKDUIn6LQHwvK2FP/KgR9a9pzM/puNJvWVtHnUrAxfyTQ0DVB2eUYUWy1WRVw
wIhwD4mqWsOEbcZTvRMw1ARtjEh4khbmm2QFYXg9D0b5nc8jJyMgdwzKoC1j9AzaqP+GUFAUubLf
S29GZYi/dQFZcWMahBc9poCj9FVLZC3Mz0oXSjkHKKlr15SSbQiG7THKpPYZXDoCS4pSapshS/zr
yOyUX7AkWjfNYfRk3aTd+SEMG3tOlPqeNI58IxRjXG90NX01dGG8N1FpgSsf+Tyso1FsXavPEy+L
68hNRCX0EiMo9lERy7ZlFKA7KyXn5R4UQve7KKP5ldKi+lUo1OFKNiqI05XcYKKcG13zOjRTpjlV
mCH55eO/fKMqiPTs4lkbnnEV4aqY8DO7kaepbOypz3yPslB7rUqZYctZnN1pMaySINTdJInEYh9W
c/LVL3IeIjHxNq9DMZ1cX03b6rrSjPilzloyY10Iatiq8saTq6RP7TZPUvaKZgjyniL0eFeXRhlw
H5eLuOzyp9gqWtMfv8sgr2QS9xD3UZXNdsu19DgXCNJCjJrm56rQBfJVozbdxkXFPVonIzStyRJj
8jAY3Tuo/eG+d/7S+FyyeL81yHljEvuODj2+NarWHA3VJIQwE5nsRyRslpRDmHf37aIzNdTKnaZV
27BNvlAV44VAgZxHVmMNjxe+ZCmcfb5M/vcla0FDOYjbXu+5vzT5F4/AJN1UGITLilOXnh78Soq7
uL8EMv5czTvu/lp/th/lSImiqnQqtPa1n1g5qtG9qfL08szoJhkeYvlgFodsuoLAT6V+GLFqSq+G
uXEBvwfijwuDcPpG/WsQVhGdmBRDFqgMQi3NTkRaoxHy34r/RsH2rrV+kMAc7TKr0YLPe5QXnibw
FwVk/3Hst0bwdv5rToWy2BP/d22sg5uuMKASVHzMLHzNVR4/+Ta3rjupuLQIl7rYualfhS5sxWge
mwLCbvO9kHd9+jXqN3GXcfg+WYpX80jmaGrlS0tOWX541TDYQkhs+ByRRl2LNarMfi7VTD9PwJ1W
h4dBwORK0DeTpt43gVVu+6K+N5r4Ra8ap+oIqeBBRJX2WyI+aORgjyfsJiXHjfyiKy7nWpC5mdbg
ZTm+9dPNjMNnVxt3AGK+KCjZNAaBQpLZZfsnS3pX6KY9JFpyqBE2ZpadcSsWfeFaheDizrmTBt8b
MhmXQvW21QyAKqJ60LJoN839beDjdy9Z5J+rqXeSpCNdDahNkHdJzJ+WmleYotON4Fs6oycO0DaA
465KM3nx8QWJouDOTKSbQfc3Rq94qlHslDmDwdIRoKXfkob8KywRIeLw1s27ARULmnQbFKflsXJi
jZvMSrYD5Gpu872sol6m1A+RovNE+F0qCHIAhYBTGXu5Mt1q0XQ3qNW1Lo2PjY8vaa26vJU2RDAv
mvC9KqCcjv6XKW52WmPCWHsWCmE7IWPRZ5wAfXtQBJOsY+7UlbTNrPpglBIKI0iSKkLw0KiGk5OS
VoXAq+sCfG/mSt1gp3O3ZCXuQp4vQ8ukZen9hN63GPgv4hx7VpjrTqM0D5mvXXVy4pENx51lGPeW
csmzc4mHzy23VX14qHCI4EYscR4UdyUFiQyGUKqQH9TrVylpbD8YLzwRLzW5OlD02EirUOE6DJTA
t5teeYiAPwWun5KQDL6mdXKhwUtbSmEMPjxDCKqatkm4UFim32dds8WivdDEZ0SDQbLww7ZdnRcy
t08UpLQh8uIyMckrggEyT9zcE3u5gKCuMJqAjz7vECt5MlHNOn8wnjilj9pf/vxDH9XCDKdKYx6n
9I/eeoDiXMiqm/ONnLqaaQUkJN6DsG3WqN0IOHcDJIjjd2of02HcFN0PeeaqAm5CmV0il1s2byle
v7Ui2fgnUAryHcvMLwz3yd7KcJjInICJfr9DP/RW8kNBrqeIO6kfPbLjW1GYPR+t+vP9PblS/2pm
fRYXFXl1RVgCN32htbetk0XzywLkqrUfEfoKBB7d9nybF7q2pnfiMeXH/ZiUSyV+M8XCtq7S23oQ
3PPNnLhIEd3SSC3B/kGXbrUnxKKbq0ToSiZHuuW6voJU6szqd3Inu/MtnUgCUElmuWDrA+NnjXaR
wiSd8sKEwY4aL0x5NxOVPWK1rQNbfCBy1cwLy/RU3xYWONVlRHqgcBzvhdnS8maaxcIRi21eo1TY
P+dS70TVhan6fK6Q29NBlaPASIpvTaGyNKENUW5DQj7BPQal7tDOKBWeH77P6wH1VdRpIOtJGpmu
5c8/LHV1ztGZXcIvEXdvfaLqyaWnCOo/aQY9AvAAZDIJPo6byaQIuNoS7+hheM+7aGME3XMPcfp8
bz4vBhyuVXBfmCwuPqarrFmohH4D1YCNW/deL0tXkZLavtzYDaFFTGrgfHOfN/Bxc8vnfBg8vUh0
dFDYwK1/5w+Uix5yZVcBC8qDfXvJNfQTxMmgMWgUS0oStcc1PdpoyXJxUBRO1yq3kx56IiLTZjtT
u7e+pPWPiIfKGOtP57t4ckT/anXNl7aKQFS7lCNZTt/QxHZieZcrX8PgN2isC2vkZFPwhiTS2Ngn
rPmPEUwUQU2ZvHKOXVJd23HK3KbPvXj8rmNYd75jn3cxw2kCaWT5I+KqrxB6BXpiSRxAPhF09IAM
fWPWG423Rt3tzze0LO3jEIi6p4zvwOL6KYG0Ol4k7axnKEwCfM79N4uSYY1BCnfJhXfUqcPiQyvv
Ce0PS7FOcceuAfWS8UKeotHuAMReOGlPNgGBZ7kVF5DdanO1RWmRnSL/ZUWym9fKtTGmFwySTq1x
wGicqQrEUUtfHROyIs0Dwnu5I5SkqMpfXTXYCFZO6Re1uTLSbS9eaPDE5DArCvpc5HIxRVr6/GHY
OEkiUajok4ihgGLCKpGmqx7zgwsnxYnVpmJcr4ABNxm/d5G/D+1Uox4Ahq/IHUqqJxe/S+nr2MIh
b76dX2wn9tBy5+LETiuWbKz6w8tD5ozneZeMBoji23kArL+JgqssucS8l9+FpY5WNl3BJh1kInxv
tHpWwb0gC6aq5hzqcu5OQrMzASJIWuj1WBQa0KUb5a6SbLW5TtDLy9W9oX0psn2LjQ8q+fGEye6E
Zs1z37yEC/PlIBfZZqgje+Bh6T9KFmlA+Rf5z2LcdouVxvh1nDyd5HVQXSWyxxK66hVcTO/isHVR
kx6TTTuRbILmO7yICu/a+cZI38yAJ96CRSbXmTb+xpevDOVBQBKT7Ia6b/OnUj6IqJ3V3hgcIvWX
0uSgmK7M+MrATYZnmBlGm8pMD23sdUuuqL32lX2fb83ie5rcTgHE8wn4wE2jVBuQx9CNt1K6yeKb
BtCU1s52Jb20MUiJ8aqEqjgUTlDCLDW+RjMGXDiHU7Ip3jJf2Aj1FxMdTgSB4JBUQeKa1mFA6TL+
mSTPpvwszneZ8EU2H03euG3AERnbQ7CVIaPn/Y+ZKr1vRHdKsJgbPpaUdQ1j3GTSjmGWh01CmCIW
BYoFe5OMrclxLkIe1h559ueZByR5Lu8HkiuB/2TEdO8m6DeV1bldSW2aTHFFZsIbanRO9Jeqz10V
DQ2KE3VvbBpfvS58ctdisREANIkOdpbI8gAc+TaJd77wEKj8cHwr8MLPsUgnGZCIOWUbbud8xq/B
sFM8q8C6gYRzpQa7KmCcSrbv5NYh79BLlRuQwvcfJ2a5jL8YFbnu9LHQfw68zWHeJIO/iQoF48qr
aNA3CnAYUsnL1AvzYc4PASX5MXKt4cnyd7Vu9z6qHMbXQHbHdJcN303rrtec0IJH8YgjR65fmRH9
9r9EEnI83Q+t+pX7lWOpvL814TU1p2tOyn0cfin64VDydxHZ3QeoMWF8nOeIw7S/KvEXgzMiuTso
92Ug2h04hqClU+liWAsHh74PVsCVsMkaR0y8Ofw2jL/QSyqVx1RwBX1fa14agV7RgCthxfI7TTxl
2MjD91hwq2kjIzc77TI0sw3MnVA5tztWuohEX+IFwVaSbOSKlGg7DFep/GwosyfP3oyrV1ubyOT/
gENRzvtBFW+bZNf7l0K/T0ffckqYSCcBCUXmdS3W0Imt1PMKAK8li/ugWJSy+hEsQ2+Anr4kQPEp
IjP5FW5ZSOki/K51drNty44CwpLAy7StGit7sugg6HCo8SOymeBEBvmCFNCnK2RpEhsGQ6KWvpzu
x1fI3FWJ5neUBHOKWFhfRmDt6+FCEHFiEI8aWSU1ijAoLLVNuT+EQ1u1jhQffLRUu6Hd/M0LhN7g
m0WgvijNy+IywB8uKvC53dx0nOnm6MhlaqsZoBblOhv/qH7inm/r83ufxpC2pazKW3uJ148bQ0Bp
MsVhyWoMgas3zS5U3uYsty3EmyYpfAWgtA3K0AELZzNxjgnEKW3lC6/9T3fm8hVgmWkf2xFi3eOv
oDIahzl6LE5p3sVl4/VGDolPsVUDKcULYdqpxfKxrWWePwxvb5S6Gso8vyMT02ot20l+TjG4uTCL
JxQaj/u09PlDO2MRZHq9jKzQAHJVRk9X5x9aGdwZ2pufq4dyKDdUBx8UwFBlB1TN6B6sUb9FAMU2
Vc7F8zN9avnibc7zRYKL/Y4W//g5uSbAtpL5HCujACmyFTV5n+doKneXnoCnR/h/TX3KB+gjEbDJ
CCNE7E6ScaUkkIyES+SMd6TJKvihK4T1OkY86HyuZrKWqA5yvZdsRf9AXnybtBQGK3Ri0NEbN4bk
/6wC8V5oNWIfjRJKdTWJD42m/obg6CVZuM2hh034iPdWyz2CdirEMz01fqSWsIkBnARa4HKTewoU
R+iqXrXI4IMhy636oRFHbuNgG3OnilnrxpZpJ7xvwe06iFa7SZR/T0FcKzpeZCl+2EKpOUVReH4s
AhGH/l2DasyM4MrI0s1YVId+inbxlBA/8ByKYgDfqj0ZWutKcnRtSgaCX/HzaBmub1iPsjZdKkx9
Cv2XXQgqlqMAWAlv1+MVi56qmkK+Kx2jFZyu+Bb3v8JxBvGubE10EPxKIn/kX5CpOblYPjS6OoCK
Ajj0GHNd+Jp1F2nVmySn16355x+sfkSRLC4HAwfv1QGTN1qlJgZLJW5cbfYKzekCVwoviFWc3GP/
zuVAdzAgUBxt+bxPLX20WjAb7aFHezu6rnKvHLfn+3LysCTh9i63DQBodT8AErVAVzBNYttuDbl8
7a3xVZIF1zTBDBiXmPgnFJRZFtpSs1wUxVFMOe5VLAsIVlIOcdSkdrIs3uulz6WkvUwKQWzX3apA
1+EnOqPyougEtAHxY9DgEJS+mvKfprNu9LK5ljtSCkoOx0nRNiIBFXWdgzTAsdRDN6K4Xo6LfBd+
Qvxf4BuQ1oPbuUVjyK6rRxMqglgvdZgJ2rcwu0Iio/gqQA0I91KhPhQD+yFFmBu+h0do4xVzv8tU
yW3Ut2D+GZaPVTp/Oz8TJzfMh5FZrSrMreSUkjxHvNbfmWVxI4SmV9QqClXyrpXzb31pemI+XNgy
7/rYRwffMhnwH5gVzOJ5kh/PiMD5noAgptxhF7v5Jf/aHUIOoUP1By9TFx7tfrqTH0u7tiXH35GX
ddS7/tB4pSt71P3u5/vz43ACkcbS0GSNVD2ALQzEjj8IS/Eo1Gag4oCF9tLd4LS73s53qm3ar2+3
wYWr9bNvAd0ma/TvNMiSmT1uDunjZFE/IxQz7f45WLhzmwYuzw1AbFt7jj3BSTaHp9vZ+TLadySU
3EfS0Jvb3iHRv/NvwwdQkqod3IWH+qkfL5wCn2/+988jpUswqvMwXy0LGRq1FKdUrMuN6Iz4byTb
u3rX4wUgOZNd7bT9JQ2Z9zDteEUwIh+yNqs9mha+1NY+CfH8WsRPAuzZvXFb7yDIHJ5y51ewwULi
kbavwu2v83MvfzqOlt5+aHp1Cyvg9kM5ore9N21rr94MWI0YWMboN5XLwxLBZHHfeIt6cXI9eSqm
CMZ22Pw4XFoWSx+PxmC5vj7sxtWHhBqFTjHjJmkULMqEfouz8j94A6A0Y3BHLnlEczWzCUpSmdGQ
ih2NfV5trPFNyLYltejzY/oZekpXWN4kLEnBaaK66oqFYkKWhLw1yho2gKnEP3UxuDWLntT2rag4
UZzvu8rcS6J+yAFehqjf5A0qNnkWe6PEv0SR9nzho06ddpzfkPp4RUoAl493nZGaQ6lj7egkVhGS
IIhskFO/9BK8SK0Hdq5ZQA7xyDCfLUKmWJ4gwTS7trWcqPsJep5SOvmLjqyMYBGgyRd8sj6tQ8bs
/QhaXCIA+a9qQlmZFrPccE1hf203oHjqUkFe4k6Qr0Lxkq3N0tf1WkNqR1LRXAPRL68ak/NZthqZ
RLk+AbNN6l1HNKim4dP5MV/m+Vwzq23dd0EE3o+wJfKf536byvMBUOVGEt7+QTtMLFLBCDZ9ShCE
iuVDeUCDuo4zknDJPvenV5h0O3muLiyjk9P0oanVyM01sfKwxHsjJMkhNiBcAFfz+8rBkx4gRXxJ
qfLkVGGkgRaiqCFUvYpqcQukUp0whgbYQBPL9LopnFkuL+QgPuPVF6dt1B4k7j9otOsiQxGUUTLH
VeaMXuuRVd1E1/LdYbgojXeiPyBBNe59UuOcQqvwL69RjzMo5EFWe21ghbRbxbhkPvle6FktPBox
DWDvi4nMutDQ6CqaAiYLIu4nh25tCgnyovWlaswDmSRyfK0XRKNb6Y8SlFnscTaZnv7MhfgQ+bxd
J/KnVCE355fp58CHMcZRltBHR0oL1vzqCBrqvopqPquX5N/K8GsWJK/SEedRwb1WYV9jOA7w2yoe
9DEkFFTg+4maOxftla81fyyp3XaF7k3AizXKG3GiOjLam2psMG1d/IImTGvzN0kT65tg+i4W5j7s
rG0bpv/gPc5WkyHka9Tp+Oe4K7pYRFPfFXSl/NqkbhX3sHVDUt2X7DlOrZcFZobOEm4yCBkcN9Tn
0ty2A0XLVH3DVAbcLwCu6eX8zJxsRNaRSlA1HWvE1cRIMhBdOac3WZB7PrSEoLE2BqnV8818Dq1Y
AJDTDeh2S2vvgeiHpEoLCDZ+R44GXcnLGr+JwHyKwsSpxCmA840hRjjBb5RawW7A883WuLWgjJaV
8hgYktPX/t+XphVVYgK8EqDNk39cje8k5pFaaCRXAXZsmuhtEpNtAXP4fM9PDPBRK8ux+qHjmSBF
pTnSila/TGSijZ78Qa1daOVdrH+171V1Af/A8CEnuD7EUiSsyiLkZdH04f3sc6Pn6k/BfM2R27K1
SNo0xiKOHz9hEeE1CpgIQ9sjlWMHZrBpwuS+HaMrNXwNY14bvmY3o0HiHN5aMS/0vGkTTda2Kfwr
v41u2BX7JuU3+8qbRUoC+ITG6aW633IenunSuixrBJXQEL7mTonGExGXrYtX2GNXVQoS8ho4/N+f
KFhLnNDo9fCf1UTVJhWgJA8KZyh/jdl+Kl4r5UIU+hlAbJKgYQNwfiCwSPhxvBggsdSJiUG0U2+M
u/g+c8PH/qreITblMsp2bKe7dptsIi+8Ebx/0L0PTa+u7y6CJRCWdA/eyZUwdE+LBlNp5t/ON3Mi
SiCxQQCsUto0uVOPe6g2ZRSltZY7pvoC+dPp+n3bg2SNf+SXUuCndhZUNlVCXkllxlaDmastpJx+
xOIkJTZIrYOhlhwrwoVH+4nXySLFYZmocpB9XXvtdcpYxUIAlMiURVet+1ekzqILa+89jbVe6+Ap
qLsYpEX/zZ36cEpYZdWoUUYhRNzKeEVF9vdqc+9+werqem/vbzYvezewr90rZ/u4cZzr3da0d2+q
/Xi1G+8uvIJPvBbUD5+yvt86ZBviKuVTgvZL5duFqiG87oXzvoG3Ur+gaHd+xZyaxo/trY7huaiQ
AsyXrmPFPeqv7EI7Gb+cb2T5kfX4WkC1yL4QHKHJdbwsczULFNj9udNU90bk+SHk+NDNQunCRJ5a
/lBXF3i4wnVqra5Ts8pj1Fvelz+yHbOjTofU4uEUbK3swrPpHcP2qU//a+vTYVKb+mzGacf9RSXI
aeVXrtMteJ+2f07Bd6NIINvQ0W9HxfSyRI5cYxhvuuBXJ6KMUqi3lhYg48fECjh9IpNHwmPEJ5I7
Ko2RcfMXeUHqjGJKZCU2FwpHJ2ZdY/PKIEcIhamZHU9Ib1bSCH8L4qtISTuud1rUbgTVv7CYT9wh
yJponLeALTiVVvMuLBDGUmQ+kgR3IchE+6n/WVe104d/mubCJXyyTyp1PyAkhDDmqrE0wWIYgQ30
s2Rv6F9xxZPyS7fUidOIOO2vNlbH+JhnuQVYP3cK/7q3Nt306/xGObH7j35/af/DQdQj/4SxPL8/
d7e9sWsH1VP7fS3cT7Vkd2RMc+Pv7/+jFpdR/dBimVhar/hcTFHwqGmDizQer+ZLIOwTB8BRK6tT
pu5jOS005qbhQaCX91Os2EH0ZZKez4/fpXZWUUQsRxHkDtrpQCGo5bdAe1V55WWzsTnf0KXFttpA
SGwkQV3SEOnDbSdllLcAI6Nr+A+aIU1iLRVIkKGrA22BC3RhRTO+7AXNG9sMeNKP822cODRRNgN0
hQQ0mYy1T6iVRAU+Hw03jmS96Vn3s8/EG0QlIE7GxqENLiUWTs3Rx/ZWKw5xOKMIo+XgnDdDsW21
bRp8lYcL5/PJXoHEgx6MjheSAcfrekhR75Z68Eq6iNZT1t74WriPIVLqoHaGdLyQxvjcKaaCd79C
6nE561bNaXIpJGrVkUi2fjTdnaglJPZu1UsyyCeaeUf1gxQmlUrgddyrWaqzXoGI6YwSKBqnSw4S
IiHq4/kV8fkUQhKBhQAVUwfqtIZvR1IwJdZAupaXjieNGTpg5nXUspEqP6HEqrk+mv+tpjycb/fz
plqkGCTCVuCGOHCsTtds1mGoR9Qn5vIhMtwEhw94lhe21OecP2iJJQoBr4tGASD14zEs0fMU0mRJ
RvupXSLTVBu2Dr4x0DQUu1BU9cLmS1d+a6XbLL2N9XFvwNbqVXeW0BBBF7X6YcW/VfP5osPTif4v
GQcZUAmQHNTmjr8MNsjYAKWjWCfcpNh++/f6/OVvDzG9J6mxpCtRRF2dW6T55FoAZoTzl2lPHbXJ
u6C6sHyWzzyOjAjAPrSxOrSkOs+TMaMNKejvraaFEBm757vxObA4amJdch8VIW/nJW/COnXb9qbR
N8mA0t1DbohOptYX1szJibGAd1Mde98TxxMjIV/WzSlZBJCrqLij1GyXdY71hTA65zt2qiXeH1Tb
KQpSql5tgWFCicRsUCSZEAwunur0IF4iZ5ywXyES+vDaWQ6ZD1d+2iliUBaE/PWL/6S9ZVvLwakB
L8h764eI0Tyk8S2CHQ/yjX5p9S3H4PHSOG56tfyGeUQiZnloTQ93Hjbv+42/9V6+LM68vLC82Ptu
E4/ajdd4t6m9OLKMjvPQuq/Xr/gJf4sdFzvw3Ll6AXbqDLZ5YfRPZgg+DM36fMWwLkzMmu9Lr+PI
LiM73etb3fEpkN5EBwSZneDaf2y/YdK3w4Jod37y34EOZ4ZHXw2PFsPcEZbHn2Zn38ZNvv/euTeb
75NzIx9wV+7t+9HZVZvn1r42nMl7fuo2h1+dPbqb3P7zzblyD7/Of9EpnNvHtbLmGiiJJXRVyxe1
nnlADhwZv+vJVQF9PoqbfIdg7oUxOFXDI3nx11txleAt22meCrjlznSAOy29zS/I8krbYIupVAvE
4UX0EE1zxNvk+UJfl19ej/7Hlld7L9T8wKhNWlYfFtiqnbiGC/j1Rfs+bi8h997LJ6vGjp5Gq8bG
2YisuCay69kC4yNs5RlIL4ojyFG1m/SPetULdvfHvGlfCwQ278SfxdUlbdvP9zxJ9A/R5Wq5mZMR
KYusAzp0KISi0+catVOVtm6As0Z54cIpemoxfWxvXVKSmhyB82IJmt+wgxxqW3blQ7ajMMe/qq56
N95c3NGfD9SjPq6Bmn6CCv3Q0KbxKP6pv1ov0Q7X5+m188bb5qvptdvwcMmj4UQZaAmgyD+Q78AQ
eB22o/YylUm1wAr2oycfLLvfyfvMUTea+yxuUMVw0Gbb/qev/18rjSGgB/WREOyi1tjV77qePiqN
/e+v/kdrzPqXRO598ZxeSFjYl7Oc/yPsK4n/0hGjogRmkViHXEKD/9Uak/9FPcTQ4CoS6ZKbIpr5
r9aY9C+YmQTAZDAAawD+/FtaY59XIs8CgMksBwPM9VqxOvKzMMgsjtK8TV1Vm2EBe0U6bwIZN4tp
p7dvwlSiBiQiXKjaoopNeP57KMvFO8JOc4SUyh+GBiZ8UTsYN03ztLzZ0sOU3so+WjfZwRdfZOVN
nUu3CnbJnLtpWEFHa27zGpskiYoO3FnJ7fptizdCnQJNjkyEg5UtGteOmd9p6tdu+orHNIgw5Pb+
tP03qXrL1EXpCUfIfBv0T768xfjIlgm5FPl1NAFQ4fpU3U39xtJvg/zCffBeBzo+KBk2Q6IQreMq
SSH6OFqBpIPe04igU096LMZWW7xH5CPxSydEorCliOl/USwnNXbV4j6VbuL8Vp+/m8qjiHaDPuxS
+WtlPFdUmQw9eBgozrR68gDLop/d0TqQuZtmjEct0y0RbYi6Hz0gY+F7LN3gDfFh4d7/+6s/aqMt
2tKrK4YntkS1zyLIx0VtFRpbXa+VUsjbd6gMO+iza0VIvcwfX5XpscC4xKgfuuwtWAqaHMLG+B2R
J8ghB8FXHaN5Tqe7uoMevIyGKjva8EMov5TTdynDu0juXBRIIwnh/Nxe7Ev8ad7IkpNO+o2GVkQ2
3kZIDieNHYhvknFrWheeb+8reD1VoKTZfyCmwcavehcotcrTilXpE5WrygHrviB8TjGayIptHISQ
c4CSYboScLfnf9AZ66a7rv85xy9G487xYKMYNEdfE2PbJW9qP7m1/rPpv9ZKZPvKlT5LmxyxmfJm
HCn/fvORrE7Lyu5wMh4QQcZlPr5KzVsz88b6MazxnB83g2/uUqw6dNlRxbukym20ZSfBQL6h90oW
LPlu0Z9sqznEM4aHwSYSPbONXGE8VOJtRIU7MR/HEkfL/jkRgcdoqJ21gZs2xoZtdGg1Jw1v9MqT
koNcoysMiUpDyas+pNAcUI+zzD+BuB30rdXtxvm2EO7U7E/cfNetveT/sCisWkhfleJNhqgt6f4s
vAr8K7E0L12/Jw4glD/JwCMtzn9/Kn+FA9bZUsX0pNsm3en9w5hcSywOAqxE+daJXkkpB36TpP8s
GahJRFNke34HnIB74GumyQv/3JQU0VrFPWXZtU3e1+wA63FQHs36TyOF7LrdWNeOjuCemm1y4feF
Vj+HdsetLk/WD08ePTCKQNZptQ2GTWW4nY7aX+rOqmkXgB4NpIgdUSDTHn37f2x5mZQPLatqFMYw
1nJcsNvHUPpeCy0qk5Mjj9/LUd6M/vhAdeRGqKgKAOg93/r7jlvtyKPRXj31/Ljqww5SIBkF/W1o
c09PObAr1d8MKGlbQ/YbWd6tHjV7a4T2GDYmYGCz94wo2AS+9MeYLZbx0NpajSA9coDbQtfcpADd
okYIQ1PTuYZIju+r5ETzU1kI3wWMldEhu0IAayOP2c8JlPNkSj8TzG27IfT05LccRwNSxNYjxANi
W8pBW6ENvLlANlejiojZzS6KsOrpmysNyqKlCt+LFNkyzMQvDNDn85hcCJ61Mp5aGE2uIuCg8IdB
KFgMaa/dIqR21ZH2PN/E55TdIoSwyJniwLtkLY4XABhPNBYFuJPREG+bFosqXfplxfiVJf4FSvCy
itez/bGp1fkbZaOfJxoiHL0vBugAxW6caPfnu0OkdKKNdxwViP1PrnxTqfkTVJjMQRzQbhTNNuCD
xvNTk3q5316YnkuNrd6COADHImpQ8E7nqLD1OHmQp2Sv4PnU5FAKL1GcTk4VhogUqribcZI/niro
Ni2QbPo2h1xAkZMGuGXmLwOOYecHcfmhTxMFpQi/eJPnNSK2R4eCguFhGYr0y4TZCv0zz/Zi4EmB
bFfcXUSB55s7sS6gb7MMFYkEH1oWx83pUtAV80hzOvqvg5Hd9HCYzjexfPGqR5CWwZbhXqTzz2rp
haVUQMoCxZcbezV46fsf5t/WfyGmZ7hQPbBAEINnO+7FnIsqSMECxJkx79C7In/Kkrh0Iiy/8qkj
QORQfTcXD+bViamhX0a6Ms8co+9fKb56Yvw69/4uDPtdh7NApKVQEy5ZIp+aIQ1sno4aDCJC70Hw
h1ui7Nu8rAvK4qhLfItN7SoqC+/8DH1e3OSUFZUMEnE0AOdVhULKUWwNFln6qZJco3wcohyXmeuL
6cXPA0g7C7mCYJ1Q49ORag6SEIYtJh5la1vaAT3/viM48nTdabWrcnw636/3uu7xjC0ossW4l+QN
LEj5eF10elJSyZgzR+yL7aTltp8N3pR2jjKIXg+vXQKcmKWd6ikJBRrfmP0NepAPQtRsdWX2bbmY
LFtoxq9VhsVJXqbYpDQbOdL5Xwe8Beb6qQUJ5aFcoh+Spt93Vt3c9cbrkEq4Qg0SCjQGpL0KD7Vy
U8YEf5VY4UEhWDcBfiN2aw5eK4zgJvElSSbr29ATlsvSfVM3b1rafmvMFuoz+pO1Ge9Zm+4U1rhm
TChXjui1FnH6SD2u39aRdl9W6rZuuwzyY/cj91GExwy9FYcXRN6FvagQyGS9q7bxZuowDSPBL5kQ
7n0efZ1M+Qt6aN3kKBaMP1Ks1CFA/VZS2Ynn+ac1VK4KuQ4dYGwzY82DGbGRMG04P2MnYkBmjBCU
2hwkRHUtsYRkZ1b05pihvvC7kTn3DG/sb3l9bf6Pu/PokVxJkvAfWj5QiyvJVKVll7gQpZpak0Hx
6/djz2CmKitRid7jAntYoOdVJEN4hJubm0Xa2qRFPlVe+vAIkeh7hPo66N4TkHs+KyLsPVBbys9k
cUNDvh0ea/r6fo6/DrIX2I06KoWZTcQog2wO10OydSU4Es4PfQmUDbCJpf8PiOnrhhdwdrB65EsS
FPG057m7CehH/XmNDo5h0oejODh4fWN34Y2Xt5m6RIuKlswgvQ6k+Cps5NXPwxxAymwF9it8XnYC
Fam9b2lDq6VKu+zmObbXUzr/Csz2rDCMGO2MdltCCtUGqDGVfqr39VNomRhatCeNDqEkrnMsBPKr
oBq3jlEe4a4cnAGHDbpUfahF7u0XLTcLqe6JY9hnNzbnPMKF5v3nzz82xvLvn8I+ZC9ZD4EBvKju
t303emPuXFva37MIuMc0w6BJ/E8T817ot8O6hlPCp0SqRE58ptTABfWRHXMA3aXDR9XJK9FKgKi3
9zFWIrKylYjDcDzhQ7StW4TFdTg8IICGGW901Q/xZkTdjKN4iZvlQiXfzVxGfz+nYHmgEDxPMdBe
3pSf5rSORTZqgiOYcwe6zdS/9YF8lxrVkfv0+xuOzwVL5JlBRyF0/6/jNHJb1b3K2uXKk9E/Kjzj
WrzbzFPUrTPlSNp8KK58HmzvVTIHSavONscEHQG35Go72plzgM/G9yz1fiidyMhaeycxKstB7+lX
9bIq/yhDHfsmap2tPd6oCJ2OKYC9GW1zuz2pqoxsNlmXdbSS6xkrLHE+NK+9le7G+rmxgguMaVZN
57gy6JYqovNBzVB5QY01jYrzfpqPbL1Dx8gBTlhcKxY1hL2XYeEkXT5ZOTsv9lNpZxSnkfP75111
aAE+DeHsHaE4jKewyhgiVelILzCXOlYd+f5u4gMcAiGBHdWR/e5/mn/nMIeF6sUlGZWqRds6xKk0
KhFxJm0OcYXUSsdrzHH786d9T7KgzoKvLk93sOk/cgGfDgxMH6sY4yDjFdNtaSl3B0TY4Q74HZ39
vXEsTvwh/e291xblDGd5x5OT7B/QSgxNEelW5sWiuplnBZdb4rgarCvEa3WBhbGh59cSjmhKawfe
OCGik+EgZ/QqbmfZTToh51ZepIblOVWz6TRs0szoo4pxHHOqY62Lf1ojvv9cfi0JwULt2dtcDk1w
49CZmefM4EdaV55kglKdOpg33TR4ahmdTYsDMqLENX6aeoa8k/y7rDrFrVAt//u1wmEQaoC2qM3t
M0TwWBKQzMiB1Pm50RrPoVhJX4re/1LCj5+HOrAfVR6DpKdQ5g0u56/xrW9BshtHXVy7ZZ876SXj
9WgMpud0rwoiql08bGKy1p9HXQLZ/mxTMyP5hsXJNtl7zBeyEfZhrvF2MsOPgcqICUzbW703yPXT
z0MdONJo5yGfBvMN+TRjb2EbIfJGnpBGzTMZ5xeuSD/Njl29B8gWCI8se93SkBDBRfTrNKaN0Iui
WKZxjC64N9eG/WH1H206oHqcrFNJv5t4x+SGuFHHFGGnzKep0DOl1E+5ozMVDRlarUnfHn7+/EMz
zcuGrIlXJM3ne+s7xbSrKLbMvs4SCFdvS7KAGn53rMHv0DTz7YtlDw1O7KWvE2DbfTAo48Q0t9oq
VuprMYr/w6YhrwV4QKnCYk2/DmH0Fr1EdccQo4y/glyeT3Hv5UO2mrrR/3naDlz7xKz/jrU3bUmh
0kMX9nhmaBwLG78CLffV4BJHhG5+oePv5+EOXG1LiGSD4iKO7vnerVyak6alRpt5uIJi0BLVjdvm
I93BxwxiDg6EaCvYl80dui9F0PSphbNbvezT0ZuEAIGoMK6bjhDPD+0GOuqgLtKdjWjr8u+fLpuK
h1kHaZ7LZijfUIK+abHX+3nKDm1sUFBONloPFDy0r0PEmZpOFg6qiCI1N4kZriq1XqlYQejV31PO
eWd+Gmrva0JR5bx4yfSMFgE8tVnZke6nxnjEFvtQKP48zLJ2nyaNCzrTEL/LPD1wzpEkRtktWxR1
gmqj9s59xeBa2KYehZUjQeLgrvj0gctcfxpZVuM01M2c3d5rZ31l3hWdsirNavfzkh08VJ+GWZ4o
n4ZxGkOOYoUlq7vyCcng804gTmcqlzNyE45iXELMOgIHfNclB9/j/yyGhbpLy8DXMYETO6OaGDON
MDzUJ5kqxVIbkk8bEydAhJm9IE9PE0V128reptFRGOT75C72vgSspfwALrsftuYhmKulwIidxaV8
PZwMJ+rJXYNt569gO6wfAjrSfp7nP8Xyr9fr1yH3ohfU08AZVeod1aP9XJxlvjihN+bedlH9PUpn
O4DzmFT4aEeEf01n5H5HhqmFZWU7gAgVNsXwBFbVpXmmnjkvwWOUHvm071sIdPgTAL0XKDNsA4xJ
A4Du3jS/Pdff8bi6xQL1yAQua7I3gZ+H2V8zLdFyRy0ZZroWt/ZZsBE7jZKXO97P70eGWjbg16EW
EvDSbEJaRj6293LI+ipUatGC2l/3SIC+GDeh6ZY35Vthe/Pv6sLelq8/D2kfCJ1fUvi9eIYbqjUI
kxSeDuD1s+WWq8m7/HjGUdZ7RRHTXZfuuXv5eH5zdzl5vx6RK4K4ebPZZG5GQ9zm7rzx17tn9+om
dF93V28PT09XcDvd2OshKD7dZt4Zipvui+kPfuGdgLG6sZ9418XqVKwzT3Ub7/rnLzpA6Pyape+F
Tqks5ySVyWohB2wCTx98lCo52ei5PaKjEK5IKtKlGU0/H3+jvej9/vkH/Mlmvq7iEmZg6sP5oQC4
GCB+Dm2pPMO4kLPM6wMELVFFR6SpR8RBW1uTuklT01fCeJeliKO17QZnVrcyw9tclrd5M6xrRfJa
msn6LnvLxfBLbgBHsfVDI/eSl5Ub8gVD5NktNl+F+YCn788//3uIsnEShCu+lA4skr6vvz4LeZLI
LQ5hM22/Tn2OmdWm7o8cqmVX7U/R50H2jq6l53lvIxXgmfGMj0h0JTmPf/sZDsR2Kh9UYEnh/uR4
n+6XIrUkUYNPoK2J051AoBXT49R1MBb9eaDvNzWAEK0FqHhSyWG8r/OV9jF6epGZegllJL+LgGos
4ZBRZ4C1b1n4ZAfSmgTuyP35fQa/Dru3TNhr6rVWG6ln9TpeNSG03FHf/Pxpf3LLr8uElyeRiJtq
mcZ97ZbSQnGk0tkLgzlyR+XISVB+Q+s3G3dZM+BRGyMXa1sx5s+/Eml8aqboRYLt7dF3DW0Lp8Aa
NVzt0Snli04zd7PU7TB1wmO4ftfbmuJn+ru1jtkEfI9py8+mfYrswJLJEL4uidD6VApSCS2vtLiV
5/i9n52PIRUYoyN5//McAZh928vc5QY6JovE2JLufB1tmMpEzwbkfGZEB+HXFWqn+Lodxhhdg34P
/ozJnHWqjggn09u1qBnWtXHf5poTn6RVriDoF9oOqhx0V2t+X2Wtjvefk+b+XNJ+5MqRssqTTHpp
MMBbaR3ksHBOoPN1ei79wrYRUCAep9NBD6GY1RVCczt+bHQthVocbmc1nU8jW2vo5dEbs2YSDOho
fdUNjZ8tkkqUnQJzrfeQeMAVUOqxkjHAV1xDkjkyqY77SJvXgde0tX7f243een2hpbepPJmQOeKu
vMwaUC464kKEfemNawzgw2TapY7upcMM8zEEXDDWIqnRrivjNsk2WKtlmd+xLmg8z3Zsr8hHpNNR
5++BAUSJhtGewGwE4e54xgOwehtm8YZ00ah5BonEhYYh8nPWR8LXbMJ7G0/SM7517U0xMp0Zyu3M
+FiSiUcTK38CKK5xC3SLqrE0VE19grH0FK77bKpemqILLHds5gmR0a4MAasCozxrGwTST3SlkG+L
OMGkWKDtBHsJIOG9G209dzungEpU4uZwk7VtGQIFZ1bvpo2S3Bu0cz62ZmqNu7yr9Y8pHuabmopt
SA6OWTxTuqB8ZaIYyEMbAUydsMYYkxXR1B3iPxBvFi5OmZb2PQ1UubOJAXNLXyt7yDVR1repi2hK
ZnmDPol0N2jCPnOKFJJnI6JopzXAPJ6uRzWO60WvvVpmAsdeLfW2QOLcMoRvVU1y0qYFC180ZQCG
X2YW0lVKorznnUL3ZtHxpl1bQ4iRYpskKMOg3ph7fWL2ud/kcn0B7ytC2VDPJ2NTd3P7K7Da5rKO
NWy5ZEqgAVY8ZqGv8Sq3oEjnavNeKaO81rtieJ5pwElcITXq6Rxrd6M9XMrWDKvRDNP0EeHkGI7s
0DnarimcCF5gifow6xD03Ezy/KJNGWL7YdiL82miSLbWGz0JXKNVQDIBiWMUwJHo6S4RCzdeRS/V
77y/IB7plrSdCnk5stpZ54huqfeoxb09lM4x7ZNDUWIB8ZDj0WEeG3vxWi9qQ5Im4rVCaUIbVZe1
DN0kybaK+m8fq//XrHCWcZFQOcoJP4vzjyZ+Sz/Twv/93/6bFG7/Q/pBnRTHGyR2gFF4XPybFO78
o/EeQ1kC8wRqfPw/n0nhLApyOQtrUFFQbfsvKVz9B6I4Ukpc8ArYKE2Ke4bTf2VADWFG00g+UT2k
PLcPsjZOGwySQj0lrBrbxbFH8VStF67ZDPVa6kP9yEPB+b7zqGgisQrXTYbjpPHNn5+jdaoqSadA
9dOxZ6XDKIrTM5Dm7na0ksnwxyhX77W0MyXk4HL99yDipPc6224Vd6gkJ4Zw3qkYB2lGMbhqFltn
HSKlr/GE7SmaUFpDB3mMDC0uRv1917T0efNlIYzLxpne06JBPzYUSXqn272srHWnHt4qKzJuMkMr
f5WdDu90diZE8upejwfIyzW6fYh2zrjMqXX/IRIt8JvRMD+GsJ3gzbaRciXlqv2qy42xstSx2mpm
UZQuCg3DLW+DosUrYKbXM0nNBt3mKG/hQ4Apxy7Vx0pxG9mi+BAVyeWEW6rDl7dZiyxREe2aDiE5
WEam/rtO2wRZLBWd1fVgUhAiWhj6COyDhKo/hqryEuDQdtv9uRLrP7ejJVeBF/7r0pwjLlDMSblM
NaKrPiRcsNpy16Z/rt3uzxXcTZF2GTsOD0c0V4oYO8ck8o0kTOMzUS0GWyWqSRsptsvypDV04FQ7
BrWu4yx2KEDiPzN1uJfKXSLt5r6okO2fo3GhdlqX1LDc2czQ85l5DTc+lr6dcPMwwbHmz2n8/x50
Ft7V0aBz/jKVewFn+e/+E3AMEr7F94oKBow79T/xhiYU+J9An0sL6b8ix3+aUPR/NChM2ActoOgi
kvLfeKP9o1uosoJTKRhPU539m3jzLZ+zwBTAXpHac+g+2DeNKZ0UD+EcAQ41zTdDS6Cx0XJ1hptP
83L1r6Tgc5/D9yY+xgH05yvR9lK+SWLH9RCg5YXjRFt3v5y8v5pgy6dd6s8YhWbY+hb5xJsSa3qI
w5N1r2KPrVgZjJzuvFQoO2ft+uef9C3w8YuW+h3sKTqzION+DXxZJqc4X8AxbyaL9wHEp1Q+N5v8
YxjNx5+H+s6EWMaCVwzOzVo7+2y+0o4LsL2qgSOte41+FpXBtj+bTuV8J2mbpLpVxN0wbNTxDVdu
78jgh5aYoReWH7xmNs7XDzVoaNBjtWw8GJ/bFIuWGZKYq7WPZRpcCBIFM2/f+35cRdRJuqrd6r12
UsboDtoveq5qR+b9O866TAb51x9WLXtiL/+SkLmVZonfI6YIT1MgOZ5obpqGj+pQ0+oEeW0stsJS
1ymeIWEmzCPwwnKlfclb+QHc0zryFkwKDV1fJwTme16Ys1R7c8M7L+uKTR8kmauRsVKxO+WS2qkw
N35ehkPbjTMGrsvfWFThvg5qBHNcOU3ReBIznqMG37W3Hb3pkX4E4Tq03J8H2ks42xmqFITsxosr
bT21i4Z3+tvMjrUmHxiGlB+sHKlYhLjsPWSQR0qC0ztP6BjT75nWUBmzIP0ok+N7W+yCx3NuqHhR
7vqGiRdqkXV92jFvaFTX9N1G9kmRPVfVg22gR3JFEuhiW2/JL8I8bVHBWIQJU3sry6/IbOazX9HK
k1z9vJjQL77vIXoK4Ub8kWEx9wWMlb5V5LnlRNeFsjLna/zSRXiK4uX74o9TVLQzaMKFN4wJ+2O4
yGnCd1Fe5/bagnIFScl1ehySoATgED4W9iZP3gWG9blirRYB4MyUVqK/i8dgPep4KEz6Sq1eIqFv
yuq1A7eU4YbFKy26kRG8zHpS+H5TmR0ynTSq/RJliZKutFXs8j4MsjVqo12NLYMW+0GEFGe4dWRU
VvBymC5tucZs76HCCqnuVlMJJbRHkhAFyrNmJn/U6dYKx13SBH4W7uqF/Fb745S6U1D51lR6rbMu
zeBU6zTGYV/TnnFl4JTVqW6aPAzBeV1JVEdtN5FukvoqREpyMNXroH3U63I7jmiKNtkKxHGNRvPc
yF5sBhsHzCrP023MWtpcT7jbRSO47E0H8DjRSKZY4zrnFYq7oNtK6LPn9taB40prWNdeWukD5N1d
0aqesI7VLA+c5S+Lv/z7J/QwKbJq0cpqvLZLV3G8texwE0ieMhzjnh8QaCfVXOIlLgjwIvcb6GIe
1HmzxG5J1eiC0n/Zte6XU3wajNOl1aR31dBEGJVZnZsojs8FsKLvBMEeU0dF+YIGumhQ6LK70a3h
1C7VdVecxP15Ypz2DnYbsf0UCubamS5KdJdtJ99pdn5rz/GFRm2hMvFvT8UFheiPUnseoHwFgXb3
81k6MJlUg/g2MGV6z/ejcahIdmn3CdfT3JzJ9kj/HHbXRuZX7XgkBn9XeiGB+zzWXrVLsSojNBG+
9VTULcLeoWWgONclIPTAeKnmYGPE72EbbRRj2NQRrRhAyNCw8SyJcezBn3dyyMea9NKoum01Z9cU
szyRVqn/85wcuiP5oVCBSQWhYO1nZcHUy4XcoJ9bqdGLMXa+FvBw76Rg9hRoI/hGbRu1Olvw6rLo
/OOshgPh/csPIN/9vMWjMVcNZBYbSOvj1lLDzJ1syj+afESV6fDq/+dD91e/1XH8HgbGaVrsvbHn
VBaud9bFi2PcEcD62Fh7q68bAehfzVgjBLIGTzN5ik61+UXX/5q0xD5zDCjMJOg0AuyXF6xwrOTR
qHntKif1ILtF8lja547UHnnJfG/nWwYi70NBkdcdtJCvy4S5ySThSV57hYaI1SwnrmOJJ3WQr/KK
MvXw0Vfl1girx0JGP1CJCAvSRP4s0vEaQNiivQ41gk71E5H8Bqde2WUSetbkrKtZ2uSavConbSOk
wO8byx3ScSdFBhEVvQIM6ppRPasRqmjkxB84JUPWnBVTs63MxBdcgYgauWPwJlMiiKmrj3FzZ5vl
h2KIs5C2d73Uz6Q0PJGm3gU4ODI3B3bwos6zpBuLJfB+X2mdqHNvdkxNXNxyv7sZVnd19fdb6ssg
e68gGrQSu5Kovw15dh4r1kNDOiNq9VSjp/TnmHDse5Z//3TpwLGmZmDzPWnU+bUKmjlaV6Gwj8RI
/Af4Q3vP4z80MC4ckkyyhq8DhdI8jEA26Pzyim9cAO2TYBx6nS7mQrsIeiBz37Ty4SRQoNi6Xde2
rw2g24loqjlyp7QPYq8Jy+mxo40AjRZVNDuEaEtgcHnIgtUYGGdlXZXYTo5KswqLcvArrZh7L2zE
fNVXjrwTuWasFJDXyIslGmVlijbP2axH15XmpLchVDjhjVUn2H2FXN7kSYdFVFObdeiW1pA9Wdoo
nrGyGaJNmCh15qJf3t06ACD1ysCytd8KXRd3HQhK6g9q+TuNrRjNrwLpZjols/K1tqaI7h0xxvTj
WQ7hyRmAfdIEKp5XNk3wkFomfhFjAybt0hKmul2mBdFab0caBLV0lKjfouLcRvEOmKdcMi2p0jxc
d1JsNgntZ2oka3gdGqn6SoWtwnNUbmJnFTt58lrbY2v4Wa8iNpTMJRUgvDRwMMhr/uYkj9mqyTLn
Ru5r09nqrcrf514gqwj4rz3R1b9zRwznymwkvAUF/KBWT/KnqTTUG3Ij573K5elOsdDX8dGZ5P4v
5Dgd/Kay5slrJTl4CjIhWHe5A1DSMkkNtzF6FddtXOJ7llm5E7uJDD5VI1CBzIBl/bYcseQCdEiS
u4twuI8Lswd6KwehuUFNj3GX9KyRakDQ80rDka6aJLSQmKnVYifKsExcTZLSdz2VESSbu6m6npSA
93KmqOIEPnRzxhrGV1YvaNRPNCN2NkCVpfBEPgT1Kl0IrH7hVPNVIvGudOPWqt5lU4nYAgq6GF4Q
t/PkVqFQdnZomluzzNrNmNoqKkZTgaiSMpm4r/fKwEO4F1cj9kQRzujtwrQfWz31ZbWdLiVzEMKb
1NCRrsGMNYpYlsz7t40kQmUFCbRzKbmRIgAWYnEo6uE01oe09Y2hjIYtlZtxZeS5NXuSptQ7M8uQ
C7f6un9qGmuivCVk5hfKUf1Be4/lC71XardK0PHwbeoW0mpsE+lNaLN4x71bs1Z6nNSgl1FFDVWZ
mspPhTZMp2HZGRbnOEdyXO/t/m2kHpd4xpRnu3RW48L7HyMvFLnopAr9V42WMlHPNwPYy8X/FEE6
YfuMLamewVr15T6ytk0WhPn65/h24Hb+Enb28tZcsqJOctLai8xVIa6Ao3mlUQIOjSMXw/fGBiAf
+O2IqtErDP90L8BxHodmqhkJFy1pp2qtNxnYeQZYXXXybcNJa3EZTaOITsGkeFYy5cqSinNFhxBb
OlTH2o2j05rbjeOdGiLZXlt+78CbtUhRkyh+j2tjG9S1G0QtpNNjWNqC13yLzyAYtGHRtcnO+hqf
6T2Z0QyQa0/I05Xd6Sej/tqPxe92bHdR/fHzqiwX2LfBeMgwU3THUBP9OpjeoBWgWqx+b3KgpV2N
vvfPIywvyf0RMMujcQ02CYjm3ueMCoem7VkNSNfuPOL2S3MocgBxt6sBxNUIscmnn4cE4Twy6N69
rWZzLhctgxp2tMsNVzPdxnyV60hyq5E7jVxY27W8hn61WuWKTHOLenqupWddzF4gvXHQXLnmWZ69
21GzmR3a31Uq9YiUaMM6qD+sodqaKcuf2+tMqlzsYt5kQsEOSbFf740vyWfTg52fOjYCNnnwRH18
HfRAKCHSI6Y+3de9eaMajTdE4YNBB2pZ0/ehW29DEHITZE0LNz0DLdV9PeJKTbtVP/augy1wIU2r
DN0uO50iSEZwACTdTzTzOpOapZfUNSfC+WIkW1Qzpw2F/USsYe/Tm1jGT5b1pqbt1dIrFdMOakqL
CMuw8NCRAUM5l8eaWnYfafueRCyWkyFVXeAaJq6HbDrXYjKFxeLOGi+EWm2laYo9Db/lwTFXQZVc
pH1Hj5DIz+dg4l4N2u1SwK0MGCQB3ZGh1p1CKwE5yc4VdEX1Ml8nkbbKZO3cMUY8mRPSkBzxOfFR
SaFHc9G9NFqnOoa1Fq+VYO43RqqcIh0K5JBysXVXVWiujMkmoTxGn4RAfGgjcTQWIB9+8T64Wiu5
MrZBTHSsb7JCukyH6A2xmMDN++i8LFt6dNq5dEUu5asclIWb9JKLflsr46YJsgen4ekc8ZEAKXfQ
OFZlbdFko+hXddNuHZGeCouSWTormzoJHyxZurLjfPIsqXwcpfLemGhXTnAeTZkXvdVf07Fc18CL
MJ+8MImuAju9qB0BpjI/aSE9KNoc3wv8d12Ua++LUaA4dG/Lw68xQokiU09r3ClFLHuD0vpzEvyW
EZ03uQsLpcC9+cnujVWt5Zdh2753aXbRR1zbmnI1KNNzrkurHoYECEV9kWj64BpR7vPGo64tzMCr
a/uiSxoJ3ZBqJWZYkoMSnQblY5xbl3UD3N9F8k1GwY4f6uWSuHB4iQzyeKer0klRdY+63P2aavCx
sWmfQ0EhUJFObXzu626iw1A8JW2C+k66yxMmphvTN1my2GZ0m+WdDtDMTq704MpIUYyI8W7WWmqe
qeHZEB8QoI63mUafYpDHT0iX3NJEWW1zbgk3suVbyU7brem0D5Vs3eVWd1JIbeeKmSOQBsN5pKX3
ZpuErrAtbL3a5jRRe38el6WEp1kmN2r5Pqj4wsvYS8zyru50MC5oG67dysq5LY1gXDVN30PwWPXR
BT2gPA3lddbHKyEh/sd7fQ3X5m1QNbekaNcV6Fl1rR+N2bUo+3WvlSeJlj7EdrRp5v6B5ub10HW3
ZtSTYJvZNZoCFVQQ5awuu9u2R1BQDgNfLboTub9TQaNRF0PXiAb0rL8O8qnzHLNam81rVcW+4dCo
qW7RLEMyonkLEuiZqoOQ/nwpD8Z2LGXXGLOXuOP+LGs/smnza1Qvbh/l/pfQtZ3Z6Lu+G9cTBcy6
l64NOXfBEZ+bZLzqFpvWefQUHCkhaK1F2qY+PAskPelqqqvBz8zbeHYCF0VOKgeD4LFtYAXb+SH/
owJ9plFKVvo0qGtrQLhM5Y8JrTpJumdKW4L21v7OQkZNH8PwvBrBQcWbw5u0xf+lHSx83vO1LMdv
yhj4STa9dCxGMI7rtDEQuSzbXYelfIGOk5xk66R9byKdWqyNaLCiTF5jSJSxRLZ2grBz+XUwVgrJ
2DjjJFZFI/tmT7iNH6NAeY8tdNbI5c8gghPBO+U54QLQA91weTGfJ4VzDg9qV05YMkXWvRIwMzW2
TBqVX1cS/VLwPQ2CyO9K3Ow1nttJLzwZOwhbFZXryCQ0wgQvdSa5u1JbA4kqO0pRFuKx00eXRtI8
Jm1wD/9plbYmCGG+UzFxijtugdK8GDo05gecMBPlxC71m04Hd02rddyMm0QtNlaGznRjXYaFdKW1
ySqq0qs2irZOVp7yNkX3QANdbrZJOGzJ2jgb4XqaKj9LTL+348suQwWM8lJj1b/aIOC+yjw7fkFf
egUOyuu/X6eV/VTSiu2aYkLdJd8ZSb7t7XKVTeJMV4e7WJ89dBO2dhJA8ikvklz1BtgBVXSXgYfX
Ew70CuZJ1n0qmnVbxxvZ0tay9jEW8SalVVWyXmxrmdP5qlJbrOeVK9EO6xLtBAA/4xcm5W/1nPqk
bas51x9lQHKU/l2pRkQskB5mOfdamt6UKH4K5BRsw1gt4d2RbvPW8NK8ucx1+aocAKdFsZ5JRCBl
LTrjWykovbJ4gm/1CMUBRQxjE1Gqz8LkV66SRJoRjvd28FoZGZ5g2Xs72nc/v38OFC8sePhwHyGu
0OGzB+4FaRgPVsqllfe9F9AmJcGbGMSM4Vfo5doZbbVH3tzaoXckLFgE67VF6nCfBmk7rTYPbVSD
J7fcA+WFyQ1Ux8N1X1MDzbjkHTo7sNNONmNrb5p+PoGZ67UAnqnECZQze1PPnT+ms2/N8mWuPWjc
hUMxrJMiPQ+UZKtROVCd0k+kAgfffjPlXLHizk6FVwCyo+s1raakBb3SpiOfd+AVgA4NJf4/3Rt0
GfFK+ITNTG05V4HtEL7l8EmvK279oODchytDym5/XrwDT1dq/vSJQA9SEIbZWzxp5JqQDQKPZNZv
WuicTFC+dQWPxqC/54miu4ac3jlD8NeSNNbCRlikD6jCQQHfS5vmOTDlES8amuogaeLW0RzroD+Q
2XwZYS8VmLPKjhyFEYAMcA6qdgoMRwmKaz+vMA05tmjLn9vLPHCNUzBhQmrCIsn5umqoOzUh9MHa
CwTZG+0VtBVTSJljKoZpvJmN57wPVrk1oYXSXDRaxEtaXE5dE0PdfVHa+MFs9VNHSH5vKU9Y93oQ
zzwptCApVavMhOVZmOewpD4cQ0EHKVHcecYHJhaXoDyoImhPhrSgtGXm8iDx6FE70wS2U9ZwrTev
Eb0066QncqiScxLoldsjMF9V/aoubDy/BFCYvOv6B1qLd/MkKF6jdYmNZmzLvOJmX1fVXWQ318Vs
7lIK2lo/nfZIeEA+BXkKnRtdZMea1g+EFhuCnEnjIDxVGHFf51QenKgIdU6C1psn8JzQrMd3YyC0
WEhVOnHkJk7+9vOJOHT6kE5GzAIyjU3/wdcx52askUCB4kvTGKbYG4Ks189XafbXbkKcABTyYfpx
2mHL7Z0AJW1p67XhaimJtG31YW2ptVePFJwXtBMJzCNH/QDk+2W8vfNgZaIYBD2FnpxRqTVOhRP5
pjgye4fiiYU+p0GbJ9+1X8jXA8UOp34hoDWT+0flwU5PK1C2agTxXUXtK/DUkaN3aJdQuMCbltZu
AKW9kyfrou2TlORIQCkvoPBd1kmxyakpz0xueszQ+Ps82gvPh8C1iMb+UfT9HJ7VxsgaKQYxkaMH
rYk3Wt5gKD8fU1X7vg8p06JcA7oEucXZlzyj4pI2VtuBKwXztgtphFDntSTBOEb16m+3PLJCpJvs
w0UnZx80mbK0k0OFLzIHX+1lUvq1qNZG+/TzMAcmDi9y2GFAt0sLw95dU3Z/JORKQGdUWSTUKQvU
qOK/7tRD4Wx5E0BBxe2D++Xr+a2wUZRyHWPZLgdzQOyu199qOgPxP2653Y9UHP/Ae1/D/hKYgNMX
Xzwu/j3sJxhF3EwKzSoBArntEJ7Y4q1JixUNDR14Q1r4YUyBHK2f/rTLla2VpS7pGpWGOekhJym6
X8DIVdtHpBeQ/yAdGjFwrKZwpwCQ1uF0hNHz/VqkK3Vhv6gW1z4c8a/z48zWZNcTP5hqYjhcl85F
o59Ty3OV8Jj/+aEF/zzU3sFc2qI0YAzMVCVrU43yIwGP0K2vft5X32PO1y/aK1vyEu5abekXysWZ
CJ8cIIe4AWOKHzP5NBmeAHi8n0c89mF7O3lsZEkPR17eUtCutQFv1UlfR4Z8RHDzQAhgkSjbL/JV
NM7v7S2zcIKm7p0S1YTrTp4g3FQXoXKbIkL819/D2WMoopnsEHD+l7szaY4bx8Ltf3l7dnAeFm/D
ZE5KSanBGjcMS5Y4k+A8/Pp36O4uS+kM5SvXrhfdEd2uMhIgcAFc3O98n+dES9lxBdebh19yTvpO
MZ8amG1ft3GkM8AgCNF4woEJtg72VbMa4jrHbYrHLpg+zktX3rKMIQ6tv27n992A8kTS2XSGgjL1
t/Vvl52m1ezf2SDOKurP4V4sVWPYCF+cZY3haeJvO9LMwHVIAHjewRjTDqVraHRMIwwhy8q1dgmD
YIf9/NedOjZ4nCmhiKD0pML2YML5wxRmTsJ2lpM+mUiiDi07XAp5wAworflHjR1+KaG0St6FNGaS
oIjKlSZ+jOqP/o9GDU9uMA3mbGl9cB4JSkiVfdGzHeRYREQSZe+npJ9H1ilz6FcTBwsorXmmykxy
L0XU7inTNCm7kS8Aonz7esROtTP/+YcbG2XuA9sOXYml6JtTe/6gXvnNicB9dA586Mz85x8aqRyT
MoeRzgQUv8nx+9AE7wkvkF1kn2hpHpaDPe3TsB3Ebd+XTKnSaKkl3SG12tZvf/yzATsIOHGUC4t3
Uxap2b3LpBDcOlBvO2V4+GftHKybUUmyISvpiVTHz8EgyGyZeGNK+uoftXOIiBlVwVW0nyeaaF77
Md0XtYm7z0msxPEvg9pYM3Tk3vrBnSHgoNs0PWf4onZu2hgMWnfq/nOqiYNlGXddaYuMJpK+uEC+
+Vr7p4q2TzUx//mHmeykphxlKsvFTLXzPipvG7Lpf/JBfg3UwYoMSVanTU8TeSZuO19CijBBiUiC
m6/bOb4of7VzsCibuMBSTfDh5wdyWjD7cEPyLihPTORT7RwsySkqO0fp+CpqUF9rFU8CJvW9E8xv
fwhC7+tOHQtn3EtngQUn29+qpK2E7yOzfS4CDM7dIfM7ShX6/4967PlXHwYa7qSc1slyUdl2MHom
1TK4SNAri1ePpqXku93yFE5pkhc27YleHRvCj40dDOHYRVxCR66mIy4PrTg3RbDWK6+S3r8evVOd
OohtqiINoWFwHZXUyJUGZdsFAqVEe2EF4hJg5OMfNMdlm0MP9x3At58XU9iHeSIpNJfUNuUGYhnq
+kqSh22py08UOp9YWEdH8UNzB5/MGfBAUSwefmBGUomIgZVKJUuqRrdRG5wAEx2bhw5gBY73lC0j
YvzctXyy/JC8Pl1DCERh+LCD/xnwemZuvx7DY5362NBBngmSAJ5gGonWKOBZfLLOEM27Q94v9PiU
U/vRpnTqOZnulMPZBxFctMLngsosRC29zixln0fJnRVZd74en7ibHguzzoemDiI5BVl17ygNYvWO
94YxkRexzTPG10N39Bt9aOQgllsdDz+84IsFMu3V5HRvilA9APDLr5s5OmxkXIC0M83tw9JUDTPc
oUpoBr/rJdV6WAtF55lZr4Q4ZWB4dNh+NWUfzLrKGGIjD2iq78p4UWS89gbq1dfdOTpqH9o4mHCy
M4qWIkNGzeq8sqHuTjYXZtifoFAdbcacZeAzuBSHyc8LKJliR8oqFuuEkrOK2sYNDM1zeutEO0eH
7EM7B5O6xzNWTUvaaaQYEJN+H/XUeH89ZKfaOJjNWuYj85qL2kZDRAunzvehSrbkTxqZC+XR19nK
YTFXl/AqV6cEgqb21wA5MT9M/bt/1sZBR9Qqioq0I6ph5gF5h6lcbb5u4UjBP3RiXscQU6HCRJb+
+bt3YdzAFKUbwDeolmj0PYmYhQqEz8WBRN8gYZQwSS8WonPkhygB+DmcqmY5Mvc+/YaDOSGP+qil
Ctm+vHiSSxm+ae5a4alk7LyZHpwgKFGbVXA25Bhk+J97OhHh+nzejpIqO68D5CxJ6E75sEGkOLpJ
1nuFYpxYvEdm4qc2555/OL6aUWgizZ53XNlaWpxaFHx9v/6CR8LdpybmP//QxKQ1HZVZxAdJ8I5d
htCmqQRRr9F0ft3Q8b6AtZwFQSgYDy5I3B3tuIoYP1XP2NKlffMndyP68lcTh2a6rTOZAVc9Nlfs
nybNBoFSuInpnxiyI8euT80cxLpeLupEzugJflP7QaIo4aYjvyxFmG4ZN/9o1IyDJSw1llr4Kku4
TeyXkJI9sr2n4t3R9fNh2OYv92EK4CHdKqKmjTSOzkp5eKkSavfy8J9NgEP9bNUJXZg6w+ZQJekY
ZKQtZ/X1aJ3qycFkNio1VJKB9ZKq41XUqeczjdYenPWfNOMQvIHZkcM8OHfrVdgGlUJPrGHaC7Vf
O6DCo05ffN3MEfE5wRUF/n/bOVgypp8Iy/BpJ62GswLXR7eSnPdxML2p+55M9V2mjzeVpu2C3Hov
HD13HSkdF2gJcreNtdDN+viSyv6/v3V9/FmHKYh+HBtARYxy2069W5QUX1ixfyJRfHyR/dX3wwfZ
CbdXqUaZschyCOW1jYN6r6VuKOM31UTGqlSjE8v66OTBbFOnfonE8WEOPNKLNMbslK8aSNeWIS5x
lw7cpEnvvv6sp9qZ//zDcmsHQHpJTJSynYcqqZZyXKyQHZzYmU+1crAUdMJglVMWh1FmvusbKryT
yNi2cKlOzIb5L/ptX/wwbPOH/NAd3pZ4Hp/moFvHPIxm8bPBC59riLZfIj2ITjR3ql8Ha2+iGsf0
Bc1p0CMDy94WTbntoz94p+A9iaeKmZ4DZubgI1nBFIRUA5JoN4tdFuYvrW88xCWI8j+ZDL/aOfhM
wViFUzTQnaGKl/BrLorpPEfo9nUrx7/Rr1YOBi2IjAilDL3RzI2lfS+EQZEyqqbw+p+1cxCwyBtP
U95zEvOj8NEMSyR8Y+Xqnflgd+39120dnwgzbtFSYPgdvlrrGV4SUpGLRTUELzyXop8qkc9rzYmF
NP/m3+f3X+0cKj3DrknUDvPWRWFNt2NTrvNBXyJpWpu4GxTBTYbIdGFb3fd/1L2fDusfllVRtrVv
tEwMs8NNwOz0PYqG1h0N6USgPT43fvVP/bx+M0UDqWYwjnFcnOcRS5fCYA96BVWGNnnfr7s1z7Sv
RvPgPBNCORDmPJpld1F3E+WmOiwJdVU51rYs9cuT6czfp8lnpelBeErtMA66Dvkh+oQGMl1JP09s
HEcuQeSMqBCksm0uHfpZRPjhWwWxoQRDiioj/xZf5V50nayt6/jSd4ED1w9fD+AxsMSnxg4iU5VP
9ZTOjeGcvM7WyCM8c61fZ2uKsp11eBlfiktzVbndsl2oF/2JFX5kNXyqrDiMJKmU65PJ96se9bPk
rnPj9/gyW6WPX/fyp8fOwTz5WDvwk8j8YUgBROUkNQO2/3vntY3XZr8Ib7GOrmTXuSuejCsA9fVs
8AXe6kRI/p0tzSPrXHPz3wzQQRTzS9WU7HS+db0H7/6zuZ48ZXKL3uW/5VVwq5zaBI63iGD+v8mA
gxO43tTVMOTzbnOdbjWuzj36FVffR1f2yswQh7hAyk6M8LyuD0b406358BbTqFpM2SnrHvCEtoi+
m+t64dxlhQuO17nWFu2fBNIPqYKDpS/GIkPYTIPJu6QttU3Wu5i+TWf5sjiRJDqyIOeD86+L4EFM
i4YShr3B4XG6TWCYZC4U7a3+TbtWroar7FRrc47jt5H8cFY4CDHaBLG0ne9Pxt7K3PGJSkXnTrqi
oD54UU8kqo/GT3JsvDT/rFc86JmhtE6uGgxiirZtsNJlbCzt4IdfpjwvoJbpV19Pk1PtHXy01JdF
aYy0J6fvio/EIA4d2PLqS5aDvojK9pIa0T86UqJypPyAygrMhD5vSSiV7RFx+lxYFd809RNylTMr
sJ8ca1h/3b3fdwcmyl8tQSf73FLqT7KKwx3nVgJMhfrBkfetcuL0NX//3+bHh0YOVtooDZMm6vmM
F7DNNra4q8vxqQ3q+86YxXHlcGJtH/1oeCCZlInwH+1gi0i7RNbxFyVIS6D3HXHlQ+Fr0CC4Nfpi
POiQWSv909dDearR+ZzxIWIrgT46akgHjSC/ihp9Z6PsIJ/mypV6aUJZaPL85esmj3+9X/08WHjw
hzV7RgOibPg+WUW/mJT+2k/JlX3dzpE9d54mvxqa+/6hb1XftkGYMk3q2D+PnPzSx0XaFZRMUuu6
N5x0RQLy1k58c6nmwQ+jE8/+xDnD9puNMnUX+jSsqGAGbTv697oVoQHR9rpKYPr6hx49ywFqwwcH
7BRIyM+/s0tMdJ4Dv9NAjIX8DkAZkHh2rZO2ivOO9Puc/tXSQVwoh8JEjsmcLrFZx2/twgrFiVrR
41/3VxMHm6LEMScMbL5uHtzbqf2i5KbrjOaJaXuqlfnPP3xazZa0cqjnVpRpFanWzon9ZYVW9Q++
DCXDGtWoOrLhgxnk8LI9OjpLMrTilkp5iZreeunn1lkk7BN7xNFZ8KGtg/CJRljLm5K2bKHe8TLD
RS+/lvTuVh7FH+19v9o6PKcNfWoYhUMNrB27ve6KTf8aXeUL5xyN3HSqyvP4OpwBkpTMw0M4FADB
qvCHppt7dk23zK1TgzpYJrGXSW76kD68PpnkyHs3e0jiBSCXQYDJ8/pTiJZjAR3qEwXTijlbChwE
9GQY41SpQ45O6jmccDcRuxhO2mTVi1pVTyyDI43h32xQLmmiM//NnjGfQo2SbUZY51kjHN6U4CIB
rFYLbzBPSWV+N3mw7E+NHayGwiJNMGg0Np6Vl2q/9NGfkn17S66Lu8YF4ITvyffy5bpaGW69LDaL
fifvGgsAyrLfn/o1P3FDB0EGhyoqnbHiRPF1aGNu1FSd+EPEPjYpXjOtLKG7Q3nt2E9hFrmKfhcN
O7lbVSiWh8JLED2aJwb/iOCeAQGG9NMNFIOxgy0m53pctwY/ARsud8I2RF7IC309rKaV42YLfVuv
dDfdtSvnYlrY7t370z2h1+VouzBOXDOPfxwMGWwezXhxMw8+TprrYWYKfotjSauaC1CMl7OQp0vL
5mmoCPFXLlu0naWbJSFcXuSBdQ+NL2QFKKQsop2VollXxvHeEsl9ood7gbtBCxy9iNILR4bIPukP
WhlsRlV/mOLq34fJ/3mYLsH6NEz37XsTHtJ0+Rf/Q9M1/4XwjOfR+VaiOaS12c3+g++2ZmQuPE8W
HqbfNpDZX/hu7V/4b6gaVatMQSp+CfU1Rebh//0/hvYvfIjwNDHm1zQqFZS/g9P9d8z6tNZsiqNw
RzTh6UL8PZS2jBng+TQdICCV9WAuQwRRVEfFUBVLybwTQYsWHLRNUbmi14JzpSsTwZN1js1FYSlT
5EGcRI8+JTogQz0GhQ18KEGcrvsN2nInzasKzIOmkh9J9bzBPcYkMGOQEN6ISL2cNFW0C7OZNEh1
YyVDOqMCJ1n5otNBhOEYms7BVZKJ7xQ8WlKjBUsOuRLht7EQOYTpUDSrWOVk1Tk2Zy1f5ChyJrx8
V02oSSsnHCLih53GO+B9bB1d2sJMMsvQp4BySnXMYNFhfxsxChhdwweT7XYicDyrEOPCVyTtGyJ3
Yu/Q9tO7ZPdy6MWNJZaDDDli3QLpqyBsS6Fw/SbDDa5PzElb2sbU71NuGVgV+3J3ocUwZuFEDLhJ
GEOOGBx+DGpkCEqrWO8vii6+GaQIp5+ktKobw7dsH5pTkS3B7Kv1EIWrsoTcEgchlQ85GqFkkYWV
4dWN4hduQ1VlSyCoykerDqTnubwTGk8np5CGbCM+Ewres26mjVrutUNd9ls5kYtoYbc8mZsFxfMM
TK29VW3nPJjDED/FicpTd63k2vfYGZR1OmnZQpKgIY1jbJyBOYKxMeiV6lVYV0ExVUb5mzXoWrLs
whmXlOhxt0ltjMqBJyTOv88g/9tRBUdQtpKTUWX//v49HT+FlX//m3+FFd7TAc3aGnEDRDUB5z9R
xf7XrH6iUGGWvKK2mp9b86L6T+jgH4VYOefNMUL5COlW/4WUjgqeWQ1i/sTq/x1TgJ8C4l9Rhfik
ILylLYfQMvsTHGxZsOiVwoq4bwrZBHpQ7Cucg8L4XJb9x1iTfgwDr5SRHr02s07W1Id7PTL3lim/
6kqwVS1p6VRDsk/zHuhsdg9HLtnJSgL9M5cWjj6DJtIJV68iuetHToT2eDZG8tVg+ZtUFa88bF+X
Tn47CuW7sCxIf1UJCKJea5zC8eiLXUupZS9RMjdUSGzYvOHW1XkAmhSKPYiM/GIscFKxlWuky7cw
Z6p11qXdesjr78L0C6+LwruulF6lsH3SMHRxMcmIXehs2zhun0Wjf8PNFzcRP9hGWbQaEOF6opB5
5pFmoJa+1MkWRSVlomW6SYfm0p943a0hh8dt/tDHYvSMYNoambQOM+02tqWzQpKgkehrEavQJs34
Nm7D8wR496Zvq7Nw7C6ttH2MS0C0mNA0KyuGc6BND6k2Sosmku+qOr+KZR+0vpx6klncBt2EfNjh
Am2h5Hdly67csevxEimlzuNU1K6gcCiuaoYRxEDrJuOJ6rZAouIV/RRt8XhQ3ZHKyu2YNM1lKnM2
aXp/b0pvTTM+9k7wrFZds6SA5nvgGO+jYWZ7NRdXaZ9fUJ9hXkJ8S9kjom4p5EZzo3h8NbphF8QU
cWhwGIoYKplWcxbNkXd2UTPdChloMu7dJGfZg5TY6hZCC5PzHh7LypdsID8qLEk9dFTXmR/Bky6u
v1d9Fy6QpgaL2Kiuhh5X2tjimiDgIPvljfD1CxFYidcM+k4KqzML2YPSFwZAJHC/Dnc2GfHIohP2
1s6MHSevHVZSoCwaf93ruoYtknGjSrC42iK885OpWHfY5SzMJMzuyylddobdL0sdkHpX1a9JYF5G
aDzdxOG9BdXFeUE9wHKS2ut+9FtPN2ooqUH3BsPFq1Jpl09g7Dpz3cn6JXWQVzweyl5ZVxs/qzpw
ddV117ckqWNhYBmPIUtJBZE7YD8isn7Z9yqHw9gC+dPlmzwASDNG6qabphfFGB7QBa4aRcq9Xg8B
jJPm9yRNKlf8+GDRa7gxCKU668rqTm1U9TaCVud1VRl/4297tJ1ob5QyvNm0lZZjlrzCM2ypc1U3
WWVizFj71moYAgtSRv1NMxJnERiAnCK6CM4QiJaSJ89p3F4lSQVvBdG6MnI+ULBXGh9tRO5ZToIu
yaxvaWO9VPRz1ekiB8rDOq4sGVRT7g6F/z0Zx8Ft62H0ADjXS60zzlObA0pWX2DY3aywbNq3Wpiz
7vJVrkV4FymhvkxVdbqpQ7Vyo2Dy+rE/z4IoQJgtzAX7HEhZQ14avmOs0lLPtn3aeXI+Jouqt5Hk
dnb2PuWCo3Nj8jPJP4M/qdtLKo4fFDNWFoZWVdtCz9d1nnTLWG2uh9yflsBs9Eu7Um9EO+z8tAwW
KrKLFYcm/YEd+dqkZr0zxGqCe+GxYlewEHe2nXuNrzADJHUdWm+tik8RFK6Ms0i3jZX6VlKzbFm2
MTzHmH1dIsIFTf+NWrUrNfLX1Os2rlHYFMpxBPAyHsDPxNRJ20qrt3jx3fahf4ULyFXDhdCH052Z
hCwTX3JLSK7Pa6evtcpFIPT3oeMulpjDUg4ye91IYbFrik668rMucPGyvJDa+KUpqOzX1GhldP6i
89GvxuEyUN58NQFNEm0aybrEV+lRh1eHo1DmsTWh6sayxI7GldHDJMfe4CmW1JXKoLvKYNz2ZeJC
GTuz5PxKE+mZlgbdpjDTl9DPzRWMTxAxfrhByIRBmYq3lnwpN/XCzsal2QyXg1yvUHkvg3iicKto
9wEA+mXYghX00+BbNJbqWvHbe8kZYIsQaoZk1YwgGhXlTYnyi6Ktl20qYWKVwDN3+h9lj2uVhhQY
UZvvTum01yjc4uWm3qPSilw7nWW3nfKk+OXGl+lI4KZFvNPz6Q2ZxTaTVPhhSvlsRvj79vjPufgz
PysiupwUynqaZHSJN/u6xmBtuGztZN824lHpAD6Lcno1zORyrCtoWHUEQ/KmMnixgreqJdGF1cuP
oZM+SIGDl1tp3M66G0+PWgrq+/hJysuzQWN5GMS2SlFfVANlcBqFYhlZ5WUZj922jKb+SUizMjCB
26MD9THN80C/UYH3RB08sLAqnvgnvweglNapHy7k3tK2OIEtw7CY3EoXz0IOsAVHmO9xn0jwpi2C
dWZWzTLVjNTthkkCvaWuO8VedaLmZDyy7Gz/wi7ztZNLj23Y5EspQGTT1sq5KJRdUuaXmjQQEacs
9wAPZa6qFRkLMMYYT1bw0ImvnWGqwJhRqCQUMkMlty0XYWfhlnp4xkH/xikt4WrQO/TBIQOoo0UZ
sueiR0SqpQBmMO+RF4Y644oGDah1H63CUbvt09p3rdG6cgSnD6tqVjqahbUP1gkiKnC9Ki6rXW0P
IeOI54AYxRsXmcGFyBDturRy48JZkBm2UKmP8dWUtWtJN3PPsvyLdoxx2QOytk5FP5yX5oiDasL6
MIsbWRHnka68lQk5t1q5s2aHHYqzYXxi47zguggEFJtypStu0uR7NiQ6bkX8KqEyrYhC+yLwc7ev
yc8TTFCNTCB9mLhL5J5vQZQuhSUJz0+Hx0kZdiEDHUnjXWXOH6XDUE4uHqRJf8bDSPKU0TiTjPIx
69vLYJg2g09GKHFUcJtkus1inxgpjGy73/QjxopBc6N38XVrw+eXobuWITYIjijcOq3u1WK6Y0fZ
tyGRIckgAMJT0jwbVtqqU0lttMq06bXyQiTmVo0EpBwTO3G1wZSRNQZ5H3xWM51zu7w2pGLwKhvD
3tk7wHTS0KvRaQuz8BeTX1+hcfNMgQWuD+lqYU1BdYfKam2H4jm3jHZjNCG+Hqw6lLg7ZeTWNCTi
Ioj9BwmoSUCKdTkfps8gqhLrkTIB+YvVdT8pT9z3dE6BEx545TpNrbtSn8plRK30Wm56zB7qeB3J
+U5TcAIMnTJZjEltuUGiPo9Nt1e77rEbEEJBS3WTUebjV0w05bbrbltNhk3nk8hxtPoMC6iR6NVc
tsO4rTHUNgKw8Jhoel32VqbNbmy4a0fx5EYhidEYvM/Pa8n/9O2LEj9wF9xFTt6/btMo+OSR9Ne/
+pdLksLNxnFI0IAzJ0/D3/qXLZuizdkUmZcYSD3kMH/dwPTZC4l/zbAQHMHD+JTXoYIEWhHMHZ4K
5svZ37iBKfLPssVPVzCVpA7SOn4i1CBa+/zAMUmp7sQpfltdYVA+HDRXcEt/FLLvTUG8lMPwmxq/
+0CmwVOG6zIxzvygvLcwhbgw5NT3wsl8xT5wa1REfMSOC5N62tRKcf/qGutGqos94OhtJHFs9TH3
hL0SOwooVACzkI1hO8vAlklVNBq70nw0p34idAYAY1p+XY4Fm5kfr/nhnjWMzYOOGrBMx7s45UbT
heV1EJC8waGm8JoxfRkShEWOoyxkUdUuybZviRA3aZGf8eC5SwZta1kFGL32rvdlV5Kjxz5vbU+K
64d6SAHIR+d5SgDLvDqPA0/GUJXnmL0aAIbG715POWrUk4M6MP5W5Tp2C0lvXgeJ9YSqxSXB8VT7
gblQ1bCaXSNvc6lahIb9nJj2zkmzy67PSAQP3bQs5IasbBKAZVWDN5xzb2RdbGN/WtdxfdbhkFdm
yrrIX0UKsFDivGMr1Yq/j32i58psGFxa+mRUXMlUGw5d7UUVx5x5ivGux2XI6Cn1tavLUeu4wemV
S9U2dOgailP+3c+NM0ud5hD7vc6111KSr5tG+S7hJxfDWPJt0Gn6WKzjbsA9s1lS9q97ZQpFX4lC
aV9ksuKlknGlWib3p2FaA8S+b+s3yVJuDFlchM6P2uAMraXO0sfbO7Xekd/fpQD7wVACRfWbwa2C
8k5Thn0CEnU99Tyxw39Vucs6U3nDXF1mDqw6v42JwaLFE6IqVrpVVxxNwdhmot4lejU91xnvl6nv
v1S99h4F47qxox+p2p9Nhnmra5QFd779LGMXRd/CrQ0FqOBEuBztaDuY9rK3SLJV3Cs5nf3Qmusp
HQ3uHdCxQ1WsQ7m9LJPgSsox9zbhz/rivEAPyKHmtWjqTeHD/J8UfzOlnNDDVxHn14EwFmHqg9Rl
BAcYhEPraTo7ahlXnCNIderMj3DMmwtbaA+M5ncbtEbCRXJK2/fYhj8pj5d1JPgnNfYA0ZlXETfJ
RWJ3IHJz3iAl/1lQNONx6QQYaRgUfSdQB5v+SZ64NXLGVBTtJnSqTYNF0yqr0u+lzg45iOIssNUM
NImursyp2KZCdtYAulO+reCwHnE9asBdWj348SKSnwtV4v4f7KKh2hl2e2X3DtdNubtVQ2uR++OL
GjvNfGOuXDWzeFNOVU8Jbbau3DIXQWNv6qlJVrLoX/B3gSZ063N+rCld9+pWnrxIqN2SOgX80wtp
4lCTtFf9KH7gGv4oLLFTk/HCh7CfyMFCLoJrXUnPs6mMtspUNFth4jGMrW7LVb3H2fEt1rRtiClM
V5oLWSYxHTg8fpThtJBz+6wam605artQLy9rhxzklK8qLdjocZWiZm/idS73l2POnjgmwasacqGL
Oi+YdJyV1ZUCNqfO7xy1W5G332a6f68YXLpLnHIKp4RkNRTXgZafgedf9ml5L+XdbSxTe2PIOip5
fGvkJnK8QlIRkBW7sNU5u+cj8U7OV2M/vORNli8ju3zVGwnynj0tnLhYIFUPWNPNq+6Q5oijaNcW
7R25PbppSS5l8KvWZJphabsYM5UbUndR2hb/g5ONG3EtNUVjum2kcd8v42WmTswqqESVBGBZFfo+
iDJPKrWdrENgtgMc3WSefOA57gfckWxlWKapetbI4YUca+sUCnGm5ktqB84wOzlvIsi02kCoGEVu
EEDCtwQ8J0hI8vC5Na3wdNg0sb8zON+0WbW0cgIHWAen5MyYt9sqG8hLk8syTXju5jOMcmNp4s3B
G27DI2Ma5wtN6W6rsIZRbV+AgN6XmnYmd9oO8NYPjA6u8yL5kbWxdB7XzXkVms92NF2SgLzLO1yN
qniH/mGboy2RyMmknTjrzPhtGrM7XDkXKAd3pSVTjCKfFSX/R+hb15n1HRgo73WKGqytYTAXWpZe
dUlyFfI7DN/cwA+4J/f9ZE88Y7TmJQOxEIX+1uTOjQT8klqQhdXiLUHGsDXStRL2Jo4JCfw/tSDt
FPIxND3YF2Fw7oAj8AI+3wK8BuT91GYAgwpAPwalHg+efCmpv411A8McOd1y8dsYLReQwSyfde6N
Thu9iSDct476FNsm52Exrbo8tVfTBHAm18Dt4r/jWj6nUWlCdM6lFPzrEhVL6eWawuOEDUfU9LN+
X8d6u6hlM1r6DtnDLjwvmZ+LUu3Ysst6p1bp/WTGPIYoxkIJ/E2udBc4Lz9OjWyfV+V736TbcqpJ
IpV70xikpRAmYU9onAWavLjNLBOJA8/Ddrkm67wcwCOPQBGzpNuQLnbBd3VeHMZnqvYK63U/DLbp
yni25p28kucTNQ81F2BwX2RWn56TO/IlsZL1UAXwlp37drNJZN6ESMt0i3YIOZMkd6Uz3lJA4JyH
lQMASOtIv/UNCCWuR2DMsVNJchgAtusnZJ+7Uf7ht8mVqKft0HdbvJM0d8yrnWAl601210fBox3J
32pDu0Mpt+oTp1vqvmwtWonHf00r16CZv8lkoNrYwvw447IjoU0mY0MSrhUrVYl+cAt/M23tThXy
slS4pw36FU6nm0ZQSESpUOGTPDBGd8J0kVBWrFpdXzS9eaka+PyF2o7I7clxArzXfGyI1UZjnQ0t
kmFNy576IbpCjX9lp+k91vBuPtpXKWxxNxhkLkUh/6RN5VmzwR6LlJ2xkvruZiQXTQHHpgj9c1vO
PQyhdqqJYsMyAqixFXlAYUicSm4zwePV8ENOR8izr6g7PV96ysmdQgrtKnk15k92bW1iU10mo3gG
D5xY9mYwKuoF8SZRpn1tOg+ithd2kd6J+gfPjdyPMhDrZntfOP4apf2mHsrztKFsMhQwvLNSij2y
wc2maux7inIbVyWa68kzPoEvQ5ESVJOl1Dsv8qRdNVhrUAzXr1Kq89txCJbghB8QEDHQJljb2OWN
6zzPodXb3XkkS26k1Z5sjpIXBCDWBXxbxI8UgW31tnxVrTPbllM3Fep2iqJ1INILa/SvhK13S1sB
QTlg+lX1KxNwbtXLkWuMwRos5aJsdWxn5B8xZPtcTpaZjcOGDN3clSzOg40k33Lml724Ss4dX2H+
4V6U+/yRNFILC0mfrOmdWbEEIbIVS17UAAD7wUtkdt2yGbK9EvS7sTdvEwWLQFK3VCZ0HKD4gm+y
rlXuZKvr0ZK2TaXdlT3PCbVlA15Xiuuqd67LcFgBWN4GHJZyH0vH14L6GaO+K6UfsWxdhi05Lkey
NLdLwutcDgSfNDS2WIrknpmNLzKZeCnixc/vk3Pfwu9DilLkvdm6zioviuozGTsn26pcSTH2QaHv
zEZ/S4da8ZJq2KoSM5BHQe6iFDxzoZDAcw/53TT9CAWkKawRQz4CWXLhmX2WY2Mek/6ZfRqrjTIO
56FR72qSbq7sd5iiaLFHEsEi5VEOi0nl3GRl27xpXkc1exVDsRFWw9UmNXC6E4UnWbW9/H/knVlz
20qShf/KRL9TgX2ZiJ4HLNxFUfvywpC1AASJhVgIgL9+PlCyLwnpCu12Pyhm+CA7QjYLlajKyso8
eQ4KFa7eyy5ylnW0qu4lMX/tBcLLeiO8pmkyFtV4M9D8wI10Ax57QRunUMdbmqzndl2qIzNZ3Ble
OvOiFIl51SEGI6ryq6sQFQETN0ij44+4F1N3hUrgPjHLEEiGHM3oS71aCy9ebc4rtThDEdni7/2A
uQaVMVH1+kKTCg2QmD7eQZrOi80tPdwOlaTImtz20BCJTszwvJf0JopO9JQWNgkBS9Xql8XCnNSy
MF70hFkaT8ViPTLS1fNCF8k5q9YGscMzmnNf12vSfkuZ3va4R7yoyYunHB5iP19msDnHj6vQmEn6
aS8KcUL3QsNjEj738FmQnZ/LZeggBHARaOXpVpXHGx3tzOWmehDKraNl636+LZ+rrTItIJKhonGR
BxOfNhJiKKAnFOMmaqJVVNq5ySQSjE+6QJQY7mR1KEnF0E8oKKsyYDI9dwrKUqaYTiLCMzVu7hMb
1Y6S2VoMpzs44vEiyNybwVMOi7Et5wBO4dG8rGpsul6XXKYU8qahNDfRNFmUuV3RWVWWu/O8hLh6
lZg1UQdMtgtvF1pFj6QgRAn93XqBXMyqPMuXQ22XDguUfXZDr/L7ZYYwWCg+9yT9flOcG0Y/S33q
UxsSLKiYOV56ut0NxXIYhSs3QIOyqHK4oOBmKWVeMrJAGk+SRR6qJJupur3awYqO8o3+7JmjREAx
6qyOLDFwNpDfUtQwErqnyiQccu1Hdym8kbKSyylkIWkDoCjg3NWXtasnG93KpJ1ox9vkqvKqm2LX
y23VDB2RIBTpeEdT67HMoZubxC8mWl8yCcI4QkBonS/6ppw/cm6vEjfscSg9oL0gDraEEMNoieuW
QVqEpXKp+6HiwNPMZUuH4FdwylwkSZzdZ7gkC10iWwQugjCyvSkl10gWkzLu/YiWRuZ6imcJPIeX
qgM1lGcRkhDk/2LaIMdFsJ4HmUmpZV3LY2NVPSyXHOuKVFhCXY3EAvjIMktfBXh1hkUZVNw1VyPZ
814oKs8ByFRTLSJS5/pV0Pgbbkkb08UALuJst4J0f+GLxP21GLtxtcWZydNaAgii6P5k01N0h7qP
PuilC2iH9PVMT1CE0hbiIPCFabSK8UjLqyRS9H5mPqioE1iaTg/lSgTwV3MDICOLcAgnnZBBogma
576MY+5qMvd6iRJM+Wzk1UBIo5kS9s2wvkr04HVlCmNV8Wfbnh7DsyRexhn17FAPJ8tgLUACnDyT
5/AHPRAq9PQSIosQuA9Wao7QggeIRVKcpSqdgcZwy1Cd1gFkrXrqOwWGtNI1Ngi4KA5igZS1KoaL
t6TfU/Xf3ks8f8seHcpik9Q6QP9S1gc2APYRYJ5I+52wVyo6AM0aZcRLRJweTcmXokBbIEYSNe2A
zB5DjN8HoQkIEDsEi29aOAeDhMtAiGLdiFhNIU0O+Sof5KUwPMjqfTKTVo/1+yhMB2ItZkLv73F6
bEPRkd1vRjbEtJfGLsK9esGIC+skiQEAbRaLQYV6Q89frqnkkr7YVfK83vnXS3RFNG15CjZmKNT4
gK8f7FMTHzwXyI5DXHIPkeIkJF3byOFYWSqSJ9C0Oy3SR1+PswerHuUHGQTomaTJsgglndzKD262
er5aBF7c9HDbOV2vnO6enYUK0V2AkNdSuzGj0jW3CKrtqvFaosLybzwCQvJSgyMWBaHNVCTTrV9n
3DXt5M57LRH/QQFhmEwU8EiipV0mHT1sn09ZU8gCmyYK9m0qiipHNTLKISWR9cqJUf+lARHtRysv
H7Te6aIYb8uJJqEu8/j1RD95pyA30V4FOgyNlt4ytQ4pHJQsrDUjf6yhFgeGob1BLP92Z36yaVCb
NgSQdHQAfGDZqNVCEXtewtSAEKBDfh7HG/vrWRwDkvc75nAItYV+jnOzzGQVJs26eJQodVMtpUpC
kI2yi7cYfD0YifC2p1HJcTTZcOCTtOQdbwNDqlepGDAfgGXTjT9eaypV/6vNpgPo22DiW7sA8KMs
wEapiU1K/nictNbU3W7NJdFM9WdkU6xdlurDRCDjtc3TnRN7KHfImXKuLbzr354idWZFggheg01C
anmgbY/sS6kbMYzsdAbI7sKfxfLLKuig+BWb1dWaIuWEv3ZZa/WtirgiI8Au09KLTBiUC5clmNr1
HD0R5OFIwQirfomwRweJzecu9uC0aLmyne6xt3ucFoW7c/znbBYPvEFwk97I43gE6MrW+dnFftbq
qfx5fNCWJ8BKBQ0w1ZdDB0p/XLlRMo6P0jYtaG3czWnQj0e9AbXNgdrhRZXm29rG1QHq/hytZVy5
jqgDeejLhpZuAf20/ZFpKXbgVMOgj36CUznycGVHQ9iv7a07p1HCAZfgbG3Rfrx+lq3CGk/Jp1rP
6lyeZ0NUFd7g4//XC3UwUuNgOgt1t4/5S/oap8+HWEk8+9t//wstCS80ZzzwBTjx9uTGv+CS4Kyp
4Rn4TgWcloyj+QmXlE6AZ8MmTyGPShp1+79A2OIJI8CPaup7jKWi/06x7tgHUesD2g803Ghwl1QM
20wDeboqdbismsN3UGpz3wRkqzgVQk+LpkxOZi4Jng5sNX9boIeB3L5j5q9124wJ1hPAL81ikP+D
/j7eJTX1MEEvVI8kTREM8Q6ibMcbhGddMfE3MXC70j/VI126TsNEr4kNthScwTDAH4Gs7gppmrqk
/FOvVeMUzEVFBovEgW5BaVaGfT9fi0Cckp5OvLpapq4SLMgnmplOfQ7xJtP2Kx+ZwSJfKvdZKRhw
TyVCncHSTCuVbW41Y1iTxXmgHIUoJcXabLwUl3plm1UCHULqZeK9HwnG0JAo5Oc57OKANTYZQ/ur
qO6HSAEj3wSnaTaqF4sV0STqvY1gd0RfWS3SzBEtUnHM5cFnqKUs0tThBemMqxrwyl4MqolbrFBt
rV2uGxBRrte9hyD1N+tTNjz5XcBx1H0EJfR21kop1VtjszLoFBENaj+ZkJk8dcHtqt4sN4pTJ2WE
Zle0O4+0xAAH7qHBYxm+tvXsqsh2l3oQXiQUU5zMFOgxXKNi+rJSUM+xoaWLY2qqS8RIfC0V0LOG
CriL3OeTRWiqKAyoIIAbHvCW21QlxHZLRLlsxAOch3liDQbu12uuaXU48JX7dX40RMtXFqTFdkHF
EJREhjeKLdmmqzierVkD33K6mLk/UgmY4tFwzeMc3COqqqr1tJkRAjI4Z9U6u5ivLde+taiWdIWy
x8HRx7m19tNG2shqb8dgD/2VFVqTjTUaTZ9u3fHtuGus5tg83rrH82qFRtrOhwixZqiNK9mx/QKw
y+oSOW2doh/n0wpOvHSjR3VjPJT7rP7py8V8cOtba7tjSXxooW+9o1aIUAeb2iSsbFadapnWxuq5
M1J/1mXHOE1s+pXNmtV/sBZQm39f3aV9Vlmj+XQwfu5iVpCad/zFIG0aOpqvtuGuWd/ozdkBrXTG
OLMrCwUCq7Yi3tH10j7z7cqe5e7SfhpDH9Nlz+Nw5MNra8fohaSLadk8gswuVgYgoJyttSX0uFxY
91/bVP50HapQpdIjjWT9frsf2FTbCnTFLBnr7owsqPU6HN5kVh/zXlmedXF6uuSPwe18Nry8vVxb
s9nl+fnavuQg/3Xoz9+se3iQfeq2Dh6ite/yBMXvTcpDgHe3kAGxniq7pg3v61FaMfS7XQ+Gae85
8lUIyTPM6oZ6irOwE8e3aUIdqaeZE48Ep2O8T9/jwXit7Qer6joGc+fZp3f90WjgupPZ+ddDdBmu
tfOomchBTebUvutfDAbTYdC1FD/dcgdTaG055EsKwQgZgCq4I9hXtyv2QWRddyyAj52ajQv5a5x9
7/DBMpR1v8r0FeMUY+9GPDMv2X0uAHaLQMXdWj+2lu5yFhNzK9aTZ/vWLbnVPkKn9rU5/Nqmnx4C
B4/SmOTgUbwADR7Q/Z59NroYX3a0XEsdBm03+ZehvF6VAd9Oqsp9iK2H/ujWmg7uX6cvg+nc6cr1
fX5+HsxGPp4NOAIR6k7G80fSAGxunxpVOtEvsn41nt3719FA6aCk6rJf68Suf61J1Xp4mk47Vso+
jv7gnw8m1PIVtapnSd5MqCYCufK5hxF1Oivr+Tl3znQ6d5tbGK6aarL1QDHWMl1+snQ2LJatPa9s
MBB9Mv54u4Xd8XQd+7GdWq0X6NSCOvJs1ZpcnL5E1qxr/XRZt+VTTK9WKL8xwp15ZloG7Eapk/dr
2xvH9g/Dya3KrackteeSo9qCde3cjDsb+Zs189UraHkdtQS4lzSvILTObvoXZ5OHs4vRxe1sOLTv
x+5lh49rLm9fDtfyQRVkT6r/ZtTciS3RurjiaPoRW3c/qLvyTm+x8/jZubQnl3fD8fjVns/A3nWc
Hh2vVm6RzWwCZRFvm6foX81dTsmvnU7X2dSm4DbVtARDwdff3F2dnV7cTu3ZsMOQXU5Wbs6rA88m
cntVwKMxxunD3RgXa3LY/hhdjFb27H56O0us6wm/eZ05HZPreIPtLLW2TWSYRhi4CeBV64bme15c
6ubW/ezJvS46Tq2OPSK3PJAu+MZW3DKcav040+1mr389oa610PJBYr7Rdrtsb0jV6r8QF3XMoMtt
7/fEwavKYq78i2YKzUuC0Qs/Rn7Wup3dXkfWbedFoWtCLa/SQ3BbXDcro7ZPf7yc4bheiADpTrCf
n88vL7suP52rveVBVrG3ojrKeJOHm4cRl1TXcl+/fkdS85a/8FLtpPA2y6P1rom+zpyz/t3ZHTHY
fOoOptOZa1/fnHds4A4LttM/2VJexmkTR4fWw93F4P6+Y/O2yh4fglcYA44279rMiyJoBtCts9Dq
Pw1ux12eds/38oXJ2umDKvY20qrZpzcPL7x9ZX9IdhyRn0+END35Kmqz5FyPJ5J4ohykBa1yyjgc
pBNtlAwLB9ztfTyRRx1r4NMI/GCsttGooIqw6Xi2MVAG3gys20Bzl7OlpV0Jc2Wk24lrjlR7M8zd
hbVxkMX9f9Devk+8NuJ0v65wzmP++F8v9D3l9ewxfPnnP+y4iPL6v25fqk+zts1//pW1FSG+MEy+
1FDh2FQ5G96ztvoJRdsmaQp1hSpLLIbDrK1uQppBC7yCupDR8PX/pM6QTgBM0Jqjwqej642u6m+0
WHzctnTkanojAkpXCSQdx4tR9k16ykoaAf0YDxtlVi6Xl0JgkMADSJFBWpO5K7nqKKp8PA+PR22d
HwARellPZVQ6el1t/bJKtGkvLWcrPR0cvJZPbtYfj0K6UWADUOhwh8uvaZs5PPIDYbPIpR1EcmF1
TcbTjqStVfm2Wl2peuD+/ljQmUDma8JLQV/M8ViG5uuKuaAFfbmth2bmxxiRCs56j76qehfhrsPF
i80xceyvEESm5IeiInApFGSOR6yMVbooVHlB5XL5pESVKyWVq8YiqErvUs0b2VTvhxqDChbyOx0u
Tr9nrk7zNZQhvbUH50ZpLVHlTKNXLe7S/tzzyLcejpI8JSU4YaCGkVtnapmZ5o4l1LOSqPlJFS1Q
bH1TlgILbYf4Uiaj0dYP8qxYWvT/eGtXAjTIvWWhK+c9UVsCxUnF6KZcosfsGAHYVGDKZsHLLGOZ
vytCdJuD3ecqrMrrcyFUoJ9O9dJeR2aBKHXlgVqSI3je7Uzxc3eVwACwqHwogwwhqG7TpFRMOzbM
TQHZnFDel1s60q3UDKrH9a6RUJKK+LrEgc5r5EC4g9OSuQO/tN4KjiF42sI28wSGugJ0td/nYrKb
1T7NUa6Q+z3D8de7/m6jlrNM6aUXWi8BiUAfQ3JayzHalDuoFRH0SxOI+Bbw0FtbsPOSrUPP0LMg
XQDUtc7MgQiRjOj0vNVuosoePT1KUi7ioevksZ+/SuDjY1oBlq+S6i3EhuVGTB0F3DaEStJSxu0H
4Jd98lzox/dqmhuBcQs0tOqpNAk2Wwn4Hb1Qw2IhVKeABIuaZjsFgplkDYmKXSpGMCm38JbZGZWA
2tlR+qG7RIJCzN75m6Tj9vzJkuZQ1Jodq8O5ILQcEqWBKAo1f2Gxanvmo6jP5ISmFbqn0KZ/57X7
FlXF94dojg53f3KcFy9pffGSFes8++mxm9/O42WUX8X/3j/6+ovez6wrGnP/+Y+n5sxqnsBbxtFh
oVHjHRwddfsn2j/uV1+wfuQ8LJ75ZhXeFU3FEYGs2n8IQ+hZo1N6/+uefsIRhyYrzCdvH8IQBjyw
0N/Z4OvpvRnz639zNIPH53AJQ1MGT8lTfmgC8AsN+8y/YoXWdxxYAU6rpmQLDOvXLA+tAIkW3Ay0
VDZEWs0HK30zK4hokP2pFRoOHuIc7EmHaPM5XgvGCa0ROuSuTQNp8+FE/n5WIGD5s7UgnhC1YQVO
hP2HgPBwLRhNBy2U2aby9uuGUfObWUGiiPqnVpBPpDfmt0Zfiw+zPLSCedLsFfif9HcrECJ8Lysg
oie0LwJ/4x3/3i8oJxrRjynLP5f8sRWME1EEhCoSgb99vqFfMMS3V/OG5Pt1an08I76yggBbF2BY
TvTDRaCdsAeovgEee/u82fsbHQ5c3TTZ+GMDSPh/EwAODTb7z4fNAFiYeIe74jddBns7NAHZn7lG
nAKYSBBJ704Bwx6vB+ROlOY++r4evl+wIIJQ/VMrSCeaJkoqN6T3131sBeMEOKcoYYfv6hqBATdZ
2T9dCwai9igScmduPq21YJ5AEUqezPy+gSNW+A8EjhwQAiSDxEKtrWAojccEVr7/fL+t8AkT5G+f
j/soAWrxnwdgaxHoJ7Q30Kyhv6+RZpF8rygBx/gJI8tv20EhWpLIFZLSefscr4YmZiSihBv//fMd
D0rybH8cLzW3ySYbKb37PuKhw11BvIRLoAHhp5nevND3Chg+Af7+9nqQIEElCYyDeXvhGPbQDvpJ
A+eFjF94Xy7fcV/A8vwfWA8AmvXmxvhmh9Z6IIDUgG5hqd+3w7+waMjVNP/qaf3ymP7P/wIAAP//
</cx:binary>
              </cx:geoCache>
            </cx:geography>
          </cx:layoutPr>
          <cx:valueColors>
            <cx:minColor>
              <a:schemeClr val="accent3">
                <a:lumMod val="40000"/>
                <a:lumOff val="60000"/>
              </a:schemeClr>
            </cx:minColor>
            <cx:maxColor>
              <a:schemeClr val="accent3">
                <a:lumMod val="50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microsoft.com/office/2014/relationships/chartEx" Target="../charts/chartEx1.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366346</xdr:colOff>
      <xdr:row>0</xdr:row>
      <xdr:rowOff>44448</xdr:rowOff>
    </xdr:from>
    <xdr:to>
      <xdr:col>30</xdr:col>
      <xdr:colOff>84667</xdr:colOff>
      <xdr:row>43</xdr:row>
      <xdr:rowOff>31231</xdr:rowOff>
    </xdr:to>
    <xdr:sp macro="" textlink="">
      <xdr:nvSpPr>
        <xdr:cNvPr id="2" name="Rectangle 1">
          <a:extLst>
            <a:ext uri="{FF2B5EF4-FFF2-40B4-BE49-F238E27FC236}">
              <a16:creationId xmlns:a16="http://schemas.microsoft.com/office/drawing/2014/main" id="{08478AD4-2BD5-0C1A-84F3-D42C4C15319D}"/>
            </a:ext>
          </a:extLst>
        </xdr:cNvPr>
        <xdr:cNvSpPr/>
      </xdr:nvSpPr>
      <xdr:spPr>
        <a:xfrm>
          <a:off x="366346" y="44448"/>
          <a:ext cx="18133321" cy="772320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363997</xdr:colOff>
      <xdr:row>0</xdr:row>
      <xdr:rowOff>74083</xdr:rowOff>
    </xdr:from>
    <xdr:to>
      <xdr:col>6</xdr:col>
      <xdr:colOff>98644</xdr:colOff>
      <xdr:row>43</xdr:row>
      <xdr:rowOff>10583</xdr:rowOff>
    </xdr:to>
    <xdr:sp macro="" textlink="">
      <xdr:nvSpPr>
        <xdr:cNvPr id="3" name="Rectangle 2">
          <a:extLst>
            <a:ext uri="{FF2B5EF4-FFF2-40B4-BE49-F238E27FC236}">
              <a16:creationId xmlns:a16="http://schemas.microsoft.com/office/drawing/2014/main" id="{9B19370E-E063-CC43-92D6-9989ACF5F79E}"/>
            </a:ext>
          </a:extLst>
        </xdr:cNvPr>
        <xdr:cNvSpPr/>
      </xdr:nvSpPr>
      <xdr:spPr>
        <a:xfrm>
          <a:off x="363997" y="74083"/>
          <a:ext cx="3417647" cy="7672917"/>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285707</xdr:colOff>
      <xdr:row>0</xdr:row>
      <xdr:rowOff>178408</xdr:rowOff>
    </xdr:from>
    <xdr:to>
      <xdr:col>9</xdr:col>
      <xdr:colOff>448630</xdr:colOff>
      <xdr:row>6</xdr:row>
      <xdr:rowOff>144946</xdr:rowOff>
    </xdr:to>
    <xdr:sp macro="" textlink="'Pivot Table'!A4">
      <xdr:nvSpPr>
        <xdr:cNvPr id="4" name="Rectangle 3">
          <a:extLst>
            <a:ext uri="{FF2B5EF4-FFF2-40B4-BE49-F238E27FC236}">
              <a16:creationId xmlns:a16="http://schemas.microsoft.com/office/drawing/2014/main" id="{0597FC82-4E50-A4C7-D2DE-007B106AEBE8}"/>
            </a:ext>
          </a:extLst>
        </xdr:cNvPr>
        <xdr:cNvSpPr/>
      </xdr:nvSpPr>
      <xdr:spPr>
        <a:xfrm>
          <a:off x="3968707" y="178408"/>
          <a:ext cx="2004423" cy="1046038"/>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E08A7-7E6B-4C02-8548-A9C55AA4183A}" type="TxLink">
            <a:rPr lang="en-US" sz="2400" b="1" i="0" u="none" strike="noStrike">
              <a:solidFill>
                <a:schemeClr val="accent6">
                  <a:lumMod val="40000"/>
                  <a:lumOff val="60000"/>
                </a:schemeClr>
              </a:solidFill>
              <a:latin typeface="Aptos Narrow"/>
            </a:rPr>
            <a:pPr algn="ctr"/>
            <a:t>250</a:t>
          </a:fld>
          <a:endParaRPr lang="en-GB" sz="2400" b="1">
            <a:solidFill>
              <a:schemeClr val="accent6">
                <a:lumMod val="40000"/>
                <a:lumOff val="60000"/>
              </a:schemeClr>
            </a:solidFill>
          </a:endParaRPr>
        </a:p>
      </xdr:txBody>
    </xdr:sp>
    <xdr:clientData/>
  </xdr:twoCellAnchor>
  <xdr:twoCellAnchor>
    <xdr:from>
      <xdr:col>10</xdr:col>
      <xdr:colOff>142629</xdr:colOff>
      <xdr:row>0</xdr:row>
      <xdr:rowOff>166557</xdr:rowOff>
    </xdr:from>
    <xdr:to>
      <xdr:col>13</xdr:col>
      <xdr:colOff>486834</xdr:colOff>
      <xdr:row>6</xdr:row>
      <xdr:rowOff>133095</xdr:rowOff>
    </xdr:to>
    <xdr:sp macro="" textlink="'Pivot Table'!B4">
      <xdr:nvSpPr>
        <xdr:cNvPr id="5" name="Rectangle 4">
          <a:extLst>
            <a:ext uri="{FF2B5EF4-FFF2-40B4-BE49-F238E27FC236}">
              <a16:creationId xmlns:a16="http://schemas.microsoft.com/office/drawing/2014/main" id="{098DE451-5D0E-9B94-863E-30C591D179CF}"/>
            </a:ext>
          </a:extLst>
        </xdr:cNvPr>
        <xdr:cNvSpPr/>
      </xdr:nvSpPr>
      <xdr:spPr>
        <a:xfrm>
          <a:off x="6280962" y="166557"/>
          <a:ext cx="2185705" cy="1046038"/>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5350FC-DA5C-490F-A8F6-7F3B6A76327B}" type="TxLink">
            <a:rPr lang="en-US" sz="2400" b="1" i="0" u="none" strike="noStrike">
              <a:solidFill>
                <a:schemeClr val="accent6">
                  <a:lumMod val="40000"/>
                  <a:lumOff val="60000"/>
                </a:schemeClr>
              </a:solidFill>
              <a:latin typeface="Aptos Narrow"/>
            </a:rPr>
            <a:pPr algn="ctr"/>
            <a:t>6954</a:t>
          </a:fld>
          <a:endParaRPr lang="en-GB" sz="2400" b="1">
            <a:solidFill>
              <a:schemeClr val="accent6">
                <a:lumMod val="40000"/>
                <a:lumOff val="60000"/>
              </a:schemeClr>
            </a:solidFill>
          </a:endParaRPr>
        </a:p>
      </xdr:txBody>
    </xdr:sp>
    <xdr:clientData/>
  </xdr:twoCellAnchor>
  <xdr:twoCellAnchor>
    <xdr:from>
      <xdr:col>14</xdr:col>
      <xdr:colOff>255953</xdr:colOff>
      <xdr:row>1</xdr:row>
      <xdr:rowOff>10410</xdr:rowOff>
    </xdr:from>
    <xdr:to>
      <xdr:col>17</xdr:col>
      <xdr:colOff>418876</xdr:colOff>
      <xdr:row>6</xdr:row>
      <xdr:rowOff>164325</xdr:rowOff>
    </xdr:to>
    <xdr:sp macro="" textlink="'Pivot Table'!C4">
      <xdr:nvSpPr>
        <xdr:cNvPr id="6" name="Rectangle 5">
          <a:extLst>
            <a:ext uri="{FF2B5EF4-FFF2-40B4-BE49-F238E27FC236}">
              <a16:creationId xmlns:a16="http://schemas.microsoft.com/office/drawing/2014/main" id="{6F006450-CBF5-00A5-9A2A-9BF7548CE358}"/>
            </a:ext>
          </a:extLst>
        </xdr:cNvPr>
        <xdr:cNvSpPr/>
      </xdr:nvSpPr>
      <xdr:spPr>
        <a:xfrm>
          <a:off x="8854478" y="197787"/>
          <a:ext cx="2005464" cy="1090800"/>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57B4DF-87CC-452B-B01D-1841705341A9}" type="TxLink">
            <a:rPr lang="en-US" sz="2400" b="1" i="0" u="none" strike="noStrike">
              <a:solidFill>
                <a:schemeClr val="accent6">
                  <a:lumMod val="40000"/>
                  <a:lumOff val="60000"/>
                </a:schemeClr>
              </a:solidFill>
              <a:latin typeface="Aptos Narrow"/>
            </a:rPr>
            <a:pPr algn="ctr"/>
            <a:t>12960.5</a:t>
          </a:fld>
          <a:endParaRPr lang="en-GB" sz="2400" b="1">
            <a:solidFill>
              <a:schemeClr val="accent6">
                <a:lumMod val="40000"/>
                <a:lumOff val="60000"/>
              </a:schemeClr>
            </a:solidFill>
          </a:endParaRPr>
        </a:p>
      </xdr:txBody>
    </xdr:sp>
    <xdr:clientData/>
  </xdr:twoCellAnchor>
  <xdr:twoCellAnchor>
    <xdr:from>
      <xdr:col>18</xdr:col>
      <xdr:colOff>249893</xdr:colOff>
      <xdr:row>1</xdr:row>
      <xdr:rowOff>7633</xdr:rowOff>
    </xdr:from>
    <xdr:to>
      <xdr:col>21</xdr:col>
      <xdr:colOff>412817</xdr:colOff>
      <xdr:row>6</xdr:row>
      <xdr:rowOff>154088</xdr:rowOff>
    </xdr:to>
    <xdr:sp macro="" textlink="'Pivot Table'!D5">
      <xdr:nvSpPr>
        <xdr:cNvPr id="7" name="Rectangle 6">
          <a:extLst>
            <a:ext uri="{FF2B5EF4-FFF2-40B4-BE49-F238E27FC236}">
              <a16:creationId xmlns:a16="http://schemas.microsoft.com/office/drawing/2014/main" id="{0D90C40E-A682-2D12-A23F-86F2E3408FFE}"/>
            </a:ext>
          </a:extLst>
        </xdr:cNvPr>
        <xdr:cNvSpPr/>
      </xdr:nvSpPr>
      <xdr:spPr>
        <a:xfrm>
          <a:off x="11298893" y="187550"/>
          <a:ext cx="2004424" cy="1046038"/>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4B98EA-8248-4866-A30B-2C4F049689BA}" type="TxLink">
            <a:rPr lang="en-US" sz="2400" b="1" i="0" u="none" strike="noStrike">
              <a:solidFill>
                <a:schemeClr val="accent6">
                  <a:lumMod val="40000"/>
                  <a:lumOff val="60000"/>
                </a:schemeClr>
              </a:solidFill>
              <a:latin typeface="Aptos Narrow"/>
            </a:rPr>
            <a:pPr algn="ctr"/>
            <a:t>7201.39</a:t>
          </a:fld>
          <a:endParaRPr lang="en-GB" sz="2400" b="1">
            <a:solidFill>
              <a:schemeClr val="accent6">
                <a:lumMod val="40000"/>
                <a:lumOff val="60000"/>
              </a:schemeClr>
            </a:solidFill>
          </a:endParaRPr>
        </a:p>
      </xdr:txBody>
    </xdr:sp>
    <xdr:clientData/>
  </xdr:twoCellAnchor>
  <xdr:twoCellAnchor>
    <xdr:from>
      <xdr:col>22</xdr:col>
      <xdr:colOff>288494</xdr:colOff>
      <xdr:row>0</xdr:row>
      <xdr:rowOff>176967</xdr:rowOff>
    </xdr:from>
    <xdr:to>
      <xdr:col>25</xdr:col>
      <xdr:colOff>451417</xdr:colOff>
      <xdr:row>6</xdr:row>
      <xdr:rowOff>143505</xdr:rowOff>
    </xdr:to>
    <xdr:sp macro="" textlink="'Pivot Table'!E4">
      <xdr:nvSpPr>
        <xdr:cNvPr id="8" name="Rectangle 7">
          <a:extLst>
            <a:ext uri="{FF2B5EF4-FFF2-40B4-BE49-F238E27FC236}">
              <a16:creationId xmlns:a16="http://schemas.microsoft.com/office/drawing/2014/main" id="{CB425FB6-0945-D2F9-5F2C-B8957EDBD9A9}"/>
            </a:ext>
          </a:extLst>
        </xdr:cNvPr>
        <xdr:cNvSpPr/>
      </xdr:nvSpPr>
      <xdr:spPr>
        <a:xfrm>
          <a:off x="13800461" y="176967"/>
          <a:ext cx="2005464" cy="1090800"/>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A28593-A261-4D3E-8FF0-E277307DD5E0}" type="TxLink">
            <a:rPr lang="en-US" sz="2400" b="1" i="0" u="none" strike="noStrike">
              <a:solidFill>
                <a:schemeClr val="accent6">
                  <a:lumMod val="40000"/>
                  <a:lumOff val="60000"/>
                </a:schemeClr>
              </a:solidFill>
              <a:latin typeface="Aptos Narrow"/>
            </a:rPr>
            <a:pPr algn="ctr"/>
            <a:t>5759.1</a:t>
          </a:fld>
          <a:endParaRPr lang="en-GB" sz="2400" b="1">
            <a:solidFill>
              <a:schemeClr val="accent6">
                <a:lumMod val="40000"/>
                <a:lumOff val="60000"/>
              </a:schemeClr>
            </a:solidFill>
          </a:endParaRPr>
        </a:p>
      </xdr:txBody>
    </xdr:sp>
    <xdr:clientData/>
  </xdr:twoCellAnchor>
  <xdr:twoCellAnchor>
    <xdr:from>
      <xdr:col>26</xdr:col>
      <xdr:colOff>299371</xdr:colOff>
      <xdr:row>0</xdr:row>
      <xdr:rowOff>156147</xdr:rowOff>
    </xdr:from>
    <xdr:to>
      <xdr:col>29</xdr:col>
      <xdr:colOff>462294</xdr:colOff>
      <xdr:row>6</xdr:row>
      <xdr:rowOff>122430</xdr:rowOff>
    </xdr:to>
    <xdr:sp macro="" textlink="'Pivot Table'!H4">
      <xdr:nvSpPr>
        <xdr:cNvPr id="9" name="Rectangle 8">
          <a:extLst>
            <a:ext uri="{FF2B5EF4-FFF2-40B4-BE49-F238E27FC236}">
              <a16:creationId xmlns:a16="http://schemas.microsoft.com/office/drawing/2014/main" id="{C43C1DD1-B2D6-D364-1D42-23B69BCAE36E}"/>
            </a:ext>
          </a:extLst>
        </xdr:cNvPr>
        <xdr:cNvSpPr/>
      </xdr:nvSpPr>
      <xdr:spPr>
        <a:xfrm>
          <a:off x="16268060" y="156147"/>
          <a:ext cx="2005464" cy="1090545"/>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89353B-D0DA-4CF8-A8A7-31A5DD2389E4}" type="TxLink">
            <a:rPr lang="en-US" sz="2400" b="1" i="0" u="none" strike="noStrike">
              <a:solidFill>
                <a:schemeClr val="accent6">
                  <a:lumMod val="40000"/>
                  <a:lumOff val="60000"/>
                </a:schemeClr>
              </a:solidFill>
              <a:latin typeface="Aptos Narrow"/>
            </a:rPr>
            <a:pPr algn="ctr"/>
            <a:t>44%</a:t>
          </a:fld>
          <a:endParaRPr lang="en-GB" sz="2400" b="1">
            <a:solidFill>
              <a:schemeClr val="accent6">
                <a:lumMod val="40000"/>
                <a:lumOff val="60000"/>
              </a:schemeClr>
            </a:solidFill>
          </a:endParaRPr>
        </a:p>
      </xdr:txBody>
    </xdr:sp>
    <xdr:clientData/>
  </xdr:twoCellAnchor>
  <xdr:twoCellAnchor>
    <xdr:from>
      <xdr:col>14</xdr:col>
      <xdr:colOff>196053</xdr:colOff>
      <xdr:row>7</xdr:row>
      <xdr:rowOff>176967</xdr:rowOff>
    </xdr:from>
    <xdr:to>
      <xdr:col>21</xdr:col>
      <xdr:colOff>449007</xdr:colOff>
      <xdr:row>24</xdr:row>
      <xdr:rowOff>116357</xdr:rowOff>
    </xdr:to>
    <xdr:sp macro="" textlink="">
      <xdr:nvSpPr>
        <xdr:cNvPr id="20" name="Rectangle 19">
          <a:extLst>
            <a:ext uri="{FF2B5EF4-FFF2-40B4-BE49-F238E27FC236}">
              <a16:creationId xmlns:a16="http://schemas.microsoft.com/office/drawing/2014/main" id="{17F39C71-F911-5D08-E4F5-241BD7B64544}"/>
            </a:ext>
          </a:extLst>
        </xdr:cNvPr>
        <xdr:cNvSpPr/>
      </xdr:nvSpPr>
      <xdr:spPr>
        <a:xfrm>
          <a:off x="8794578" y="1488606"/>
          <a:ext cx="4552216" cy="3124800"/>
        </a:xfrm>
        <a:prstGeom prst="rect">
          <a:avLst/>
        </a:prstGeom>
        <a:solidFill>
          <a:schemeClr val="tx1">
            <a:lumMod val="95000"/>
            <a:lumOff val="5000"/>
          </a:schemeClr>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297154</xdr:colOff>
      <xdr:row>8</xdr:row>
      <xdr:rowOff>1</xdr:rowOff>
    </xdr:from>
    <xdr:to>
      <xdr:col>29</xdr:col>
      <xdr:colOff>550108</xdr:colOff>
      <xdr:row>24</xdr:row>
      <xdr:rowOff>127674</xdr:rowOff>
    </xdr:to>
    <xdr:sp macro="" textlink="">
      <xdr:nvSpPr>
        <xdr:cNvPr id="21" name="Rectangle 20">
          <a:extLst>
            <a:ext uri="{FF2B5EF4-FFF2-40B4-BE49-F238E27FC236}">
              <a16:creationId xmlns:a16="http://schemas.microsoft.com/office/drawing/2014/main" id="{AA014166-B608-F98A-B0C8-2D8CC4BC419B}"/>
            </a:ext>
          </a:extLst>
        </xdr:cNvPr>
        <xdr:cNvSpPr/>
      </xdr:nvSpPr>
      <xdr:spPr>
        <a:xfrm>
          <a:off x="13809121" y="1499017"/>
          <a:ext cx="4552217" cy="3125706"/>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228468</xdr:colOff>
      <xdr:row>8</xdr:row>
      <xdr:rowOff>31231</xdr:rowOff>
    </xdr:from>
    <xdr:to>
      <xdr:col>13</xdr:col>
      <xdr:colOff>500035</xdr:colOff>
      <xdr:row>24</xdr:row>
      <xdr:rowOff>154964</xdr:rowOff>
    </xdr:to>
    <xdr:sp macro="" textlink="">
      <xdr:nvSpPr>
        <xdr:cNvPr id="22" name="Rectangle 21">
          <a:extLst>
            <a:ext uri="{FF2B5EF4-FFF2-40B4-BE49-F238E27FC236}">
              <a16:creationId xmlns:a16="http://schemas.microsoft.com/office/drawing/2014/main" id="{191CA833-1EBC-2EAF-AEE0-B164843753C7}"/>
            </a:ext>
          </a:extLst>
        </xdr:cNvPr>
        <xdr:cNvSpPr/>
      </xdr:nvSpPr>
      <xdr:spPr>
        <a:xfrm>
          <a:off x="3911468" y="1470564"/>
          <a:ext cx="4568400" cy="3002400"/>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mn-lt"/>
          </a:endParaRPr>
        </a:p>
      </xdr:txBody>
    </xdr:sp>
    <xdr:clientData/>
  </xdr:twoCellAnchor>
  <xdr:twoCellAnchor>
    <xdr:from>
      <xdr:col>22</xdr:col>
      <xdr:colOff>283270</xdr:colOff>
      <xdr:row>25</xdr:row>
      <xdr:rowOff>135328</xdr:rowOff>
    </xdr:from>
    <xdr:to>
      <xdr:col>29</xdr:col>
      <xdr:colOff>536224</xdr:colOff>
      <xdr:row>42</xdr:row>
      <xdr:rowOff>74718</xdr:rowOff>
    </xdr:to>
    <xdr:sp macro="" textlink="">
      <xdr:nvSpPr>
        <xdr:cNvPr id="29" name="Rectangle 28">
          <a:extLst>
            <a:ext uri="{FF2B5EF4-FFF2-40B4-BE49-F238E27FC236}">
              <a16:creationId xmlns:a16="http://schemas.microsoft.com/office/drawing/2014/main" id="{F1982A29-9631-88AB-7E3B-9E5C1A3579F8}"/>
            </a:ext>
          </a:extLst>
        </xdr:cNvPr>
        <xdr:cNvSpPr/>
      </xdr:nvSpPr>
      <xdr:spPr>
        <a:xfrm>
          <a:off x="13795237" y="4819754"/>
          <a:ext cx="4552217" cy="3124800"/>
        </a:xfrm>
        <a:prstGeom prst="rect">
          <a:avLst/>
        </a:prstGeom>
        <a:solidFill>
          <a:schemeClr val="tx1">
            <a:lumMod val="95000"/>
            <a:lumOff val="5000"/>
          </a:schemeClr>
        </a:solidFill>
        <a:ln w="76200">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225906</xdr:colOff>
      <xdr:row>25</xdr:row>
      <xdr:rowOff>114509</xdr:rowOff>
    </xdr:from>
    <xdr:to>
      <xdr:col>13</xdr:col>
      <xdr:colOff>478860</xdr:colOff>
      <xdr:row>42</xdr:row>
      <xdr:rowOff>53899</xdr:rowOff>
    </xdr:to>
    <xdr:sp macro="" textlink="">
      <xdr:nvSpPr>
        <xdr:cNvPr id="30" name="Rectangle 29">
          <a:extLst>
            <a:ext uri="{FF2B5EF4-FFF2-40B4-BE49-F238E27FC236}">
              <a16:creationId xmlns:a16="http://schemas.microsoft.com/office/drawing/2014/main" id="{103DBB93-599A-34E8-4329-11348BDD0CCC}"/>
            </a:ext>
          </a:extLst>
        </xdr:cNvPr>
        <xdr:cNvSpPr/>
      </xdr:nvSpPr>
      <xdr:spPr>
        <a:xfrm>
          <a:off x="3908906" y="4612426"/>
          <a:ext cx="4549787" cy="2997973"/>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205180</xdr:colOff>
      <xdr:row>25</xdr:row>
      <xdr:rowOff>187376</xdr:rowOff>
    </xdr:from>
    <xdr:to>
      <xdr:col>21</xdr:col>
      <xdr:colOff>458134</xdr:colOff>
      <xdr:row>42</xdr:row>
      <xdr:rowOff>126766</xdr:rowOff>
    </xdr:to>
    <xdr:sp macro="" textlink="">
      <xdr:nvSpPr>
        <xdr:cNvPr id="31" name="Rectangle 30">
          <a:extLst>
            <a:ext uri="{FF2B5EF4-FFF2-40B4-BE49-F238E27FC236}">
              <a16:creationId xmlns:a16="http://schemas.microsoft.com/office/drawing/2014/main" id="{9DAE6D40-EB60-3909-04E5-030D8A4356D6}"/>
            </a:ext>
          </a:extLst>
        </xdr:cNvPr>
        <xdr:cNvSpPr/>
      </xdr:nvSpPr>
      <xdr:spPr>
        <a:xfrm>
          <a:off x="8803705" y="4871802"/>
          <a:ext cx="4552216" cy="3124800"/>
        </a:xfrm>
        <a:prstGeom prst="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6</xdr:col>
      <xdr:colOff>161535</xdr:colOff>
      <xdr:row>2</xdr:row>
      <xdr:rowOff>38991</xdr:rowOff>
    </xdr:from>
    <xdr:ext cx="184731" cy="264560"/>
    <xdr:sp macro="" textlink="">
      <xdr:nvSpPr>
        <xdr:cNvPr id="32" name="TextBox 31">
          <a:extLst>
            <a:ext uri="{FF2B5EF4-FFF2-40B4-BE49-F238E27FC236}">
              <a16:creationId xmlns:a16="http://schemas.microsoft.com/office/drawing/2014/main" id="{F29EB399-5F0C-88BB-D0C5-F9339AA7599F}"/>
            </a:ext>
          </a:extLst>
        </xdr:cNvPr>
        <xdr:cNvSpPr txBox="1"/>
      </xdr:nvSpPr>
      <xdr:spPr>
        <a:xfrm>
          <a:off x="3804430" y="4066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6</xdr:col>
      <xdr:colOff>530727</xdr:colOff>
      <xdr:row>0</xdr:row>
      <xdr:rowOff>156842</xdr:rowOff>
    </xdr:from>
    <xdr:ext cx="1707214" cy="593362"/>
    <xdr:sp macro="" textlink="">
      <xdr:nvSpPr>
        <xdr:cNvPr id="33" name="TextBox 32">
          <a:extLst>
            <a:ext uri="{FF2B5EF4-FFF2-40B4-BE49-F238E27FC236}">
              <a16:creationId xmlns:a16="http://schemas.microsoft.com/office/drawing/2014/main" id="{72395A3F-A0FF-CE86-8A8C-3D8F4E6C758C}"/>
            </a:ext>
          </a:extLst>
        </xdr:cNvPr>
        <xdr:cNvSpPr txBox="1"/>
      </xdr:nvSpPr>
      <xdr:spPr>
        <a:xfrm>
          <a:off x="4213727" y="156842"/>
          <a:ext cx="1707214" cy="593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accent6">
                  <a:lumMod val="20000"/>
                  <a:lumOff val="80000"/>
                </a:schemeClr>
              </a:solidFill>
            </a:rPr>
            <a:t>TOTAL</a:t>
          </a:r>
          <a:r>
            <a:rPr lang="en-GB" sz="1800" b="1" baseline="0">
              <a:solidFill>
                <a:schemeClr val="accent6">
                  <a:lumMod val="20000"/>
                  <a:lumOff val="80000"/>
                </a:schemeClr>
              </a:solidFill>
            </a:rPr>
            <a:t> ORDERS</a:t>
          </a:r>
          <a:endParaRPr lang="en-GB" sz="1800" b="1">
            <a:solidFill>
              <a:schemeClr val="accent6">
                <a:lumMod val="20000"/>
                <a:lumOff val="80000"/>
              </a:schemeClr>
            </a:solidFill>
          </a:endParaRPr>
        </a:p>
      </xdr:txBody>
    </xdr:sp>
    <xdr:clientData/>
  </xdr:oneCellAnchor>
  <xdr:oneCellAnchor>
    <xdr:from>
      <xdr:col>10</xdr:col>
      <xdr:colOff>397484</xdr:colOff>
      <xdr:row>0</xdr:row>
      <xdr:rowOff>134982</xdr:rowOff>
    </xdr:from>
    <xdr:ext cx="1936228" cy="582949"/>
    <xdr:sp macro="" textlink="">
      <xdr:nvSpPr>
        <xdr:cNvPr id="35" name="TextBox 34">
          <a:extLst>
            <a:ext uri="{FF2B5EF4-FFF2-40B4-BE49-F238E27FC236}">
              <a16:creationId xmlns:a16="http://schemas.microsoft.com/office/drawing/2014/main" id="{E8139C9D-D1CB-8921-B4D1-BE3BD7CBC50F}"/>
            </a:ext>
          </a:extLst>
        </xdr:cNvPr>
        <xdr:cNvSpPr txBox="1"/>
      </xdr:nvSpPr>
      <xdr:spPr>
        <a:xfrm>
          <a:off x="6535817" y="134982"/>
          <a:ext cx="1936228" cy="582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accent6">
                  <a:lumMod val="20000"/>
                  <a:lumOff val="80000"/>
                </a:schemeClr>
              </a:solidFill>
            </a:rPr>
            <a:t>TOTAL</a:t>
          </a:r>
          <a:r>
            <a:rPr lang="en-GB" sz="1800" b="1" baseline="0">
              <a:solidFill>
                <a:schemeClr val="accent6">
                  <a:lumMod val="20000"/>
                  <a:lumOff val="80000"/>
                </a:schemeClr>
              </a:solidFill>
            </a:rPr>
            <a:t> QUANTITY</a:t>
          </a:r>
          <a:endParaRPr lang="en-GB" sz="1800" b="1">
            <a:solidFill>
              <a:schemeClr val="accent6">
                <a:lumMod val="20000"/>
                <a:lumOff val="80000"/>
              </a:schemeClr>
            </a:solidFill>
          </a:endParaRPr>
        </a:p>
      </xdr:txBody>
    </xdr:sp>
    <xdr:clientData/>
  </xdr:oneCellAnchor>
  <xdr:oneCellAnchor>
    <xdr:from>
      <xdr:col>14</xdr:col>
      <xdr:colOff>541311</xdr:colOff>
      <xdr:row>0</xdr:row>
      <xdr:rowOff>166556</xdr:rowOff>
    </xdr:from>
    <xdr:ext cx="1786744" cy="385165"/>
    <xdr:sp macro="" textlink="">
      <xdr:nvSpPr>
        <xdr:cNvPr id="36" name="TextBox 35">
          <a:extLst>
            <a:ext uri="{FF2B5EF4-FFF2-40B4-BE49-F238E27FC236}">
              <a16:creationId xmlns:a16="http://schemas.microsoft.com/office/drawing/2014/main" id="{F40A234F-248F-C2C4-DCB3-1BB7FBEE8FC4}"/>
            </a:ext>
          </a:extLst>
        </xdr:cNvPr>
        <xdr:cNvSpPr txBox="1"/>
      </xdr:nvSpPr>
      <xdr:spPr>
        <a:xfrm>
          <a:off x="9139836" y="166556"/>
          <a:ext cx="1786744" cy="385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accent6">
                  <a:lumMod val="20000"/>
                  <a:lumOff val="80000"/>
                </a:schemeClr>
              </a:solidFill>
            </a:rPr>
            <a:t>GROSS</a:t>
          </a:r>
          <a:r>
            <a:rPr lang="en-GB" sz="1800" b="1" baseline="0">
              <a:solidFill>
                <a:schemeClr val="accent6">
                  <a:lumMod val="20000"/>
                  <a:lumOff val="80000"/>
                </a:schemeClr>
              </a:solidFill>
            </a:rPr>
            <a:t> SALES</a:t>
          </a:r>
          <a:endParaRPr lang="en-GB" sz="1800" b="1">
            <a:solidFill>
              <a:schemeClr val="accent6">
                <a:lumMod val="20000"/>
                <a:lumOff val="80000"/>
              </a:schemeClr>
            </a:solidFill>
          </a:endParaRPr>
        </a:p>
      </xdr:txBody>
    </xdr:sp>
    <xdr:clientData/>
  </xdr:oneCellAnchor>
  <xdr:oneCellAnchor>
    <xdr:from>
      <xdr:col>19</xdr:col>
      <xdr:colOff>37892</xdr:colOff>
      <xdr:row>0</xdr:row>
      <xdr:rowOff>187376</xdr:rowOff>
    </xdr:from>
    <xdr:ext cx="1786744" cy="371007"/>
    <xdr:sp macro="" textlink="">
      <xdr:nvSpPr>
        <xdr:cNvPr id="37" name="TextBox 36">
          <a:extLst>
            <a:ext uri="{FF2B5EF4-FFF2-40B4-BE49-F238E27FC236}">
              <a16:creationId xmlns:a16="http://schemas.microsoft.com/office/drawing/2014/main" id="{94441E24-27BD-4E8F-EECA-EB59D1944058}"/>
            </a:ext>
          </a:extLst>
        </xdr:cNvPr>
        <xdr:cNvSpPr txBox="1"/>
      </xdr:nvSpPr>
      <xdr:spPr>
        <a:xfrm>
          <a:off x="11707318" y="187376"/>
          <a:ext cx="1786744" cy="3710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accent6">
                  <a:lumMod val="20000"/>
                  <a:lumOff val="80000"/>
                </a:schemeClr>
              </a:solidFill>
            </a:rPr>
            <a:t>TOTAL</a:t>
          </a:r>
          <a:r>
            <a:rPr lang="en-GB" sz="1800" b="1" baseline="0">
              <a:solidFill>
                <a:schemeClr val="accent6">
                  <a:lumMod val="20000"/>
                  <a:lumOff val="80000"/>
                </a:schemeClr>
              </a:solidFill>
            </a:rPr>
            <a:t> COST</a:t>
          </a:r>
          <a:endParaRPr lang="en-GB" sz="1800" b="1">
            <a:solidFill>
              <a:schemeClr val="accent6">
                <a:lumMod val="20000"/>
                <a:lumOff val="80000"/>
              </a:schemeClr>
            </a:solidFill>
          </a:endParaRPr>
        </a:p>
      </xdr:txBody>
    </xdr:sp>
    <xdr:clientData/>
  </xdr:oneCellAnchor>
  <xdr:oneCellAnchor>
    <xdr:from>
      <xdr:col>23</xdr:col>
      <xdr:colOff>96429</xdr:colOff>
      <xdr:row>0</xdr:row>
      <xdr:rowOff>146085</xdr:rowOff>
    </xdr:from>
    <xdr:ext cx="1786744" cy="429718"/>
    <xdr:sp macro="" textlink="">
      <xdr:nvSpPr>
        <xdr:cNvPr id="38" name="TextBox 37">
          <a:extLst>
            <a:ext uri="{FF2B5EF4-FFF2-40B4-BE49-F238E27FC236}">
              <a16:creationId xmlns:a16="http://schemas.microsoft.com/office/drawing/2014/main" id="{014377AD-B2D7-6850-6E4C-492D044FF335}"/>
            </a:ext>
          </a:extLst>
        </xdr:cNvPr>
        <xdr:cNvSpPr txBox="1"/>
      </xdr:nvSpPr>
      <xdr:spPr>
        <a:xfrm>
          <a:off x="14214596" y="146085"/>
          <a:ext cx="1786744" cy="429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800" b="1">
              <a:solidFill>
                <a:schemeClr val="accent6">
                  <a:lumMod val="20000"/>
                  <a:lumOff val="80000"/>
                </a:schemeClr>
              </a:solidFill>
            </a:rPr>
            <a:t>NET</a:t>
          </a:r>
          <a:r>
            <a:rPr lang="en-GB" sz="1800" b="1" baseline="0">
              <a:solidFill>
                <a:schemeClr val="accent6">
                  <a:lumMod val="20000"/>
                  <a:lumOff val="80000"/>
                </a:schemeClr>
              </a:solidFill>
            </a:rPr>
            <a:t> SALES</a:t>
          </a:r>
          <a:endParaRPr lang="en-GB" sz="1800" b="1">
            <a:solidFill>
              <a:schemeClr val="accent6">
                <a:lumMod val="20000"/>
                <a:lumOff val="80000"/>
              </a:schemeClr>
            </a:solidFill>
          </a:endParaRPr>
        </a:p>
      </xdr:txBody>
    </xdr:sp>
    <xdr:clientData/>
  </xdr:oneCellAnchor>
  <xdr:oneCellAnchor>
    <xdr:from>
      <xdr:col>26</xdr:col>
      <xdr:colOff>488428</xdr:colOff>
      <xdr:row>0</xdr:row>
      <xdr:rowOff>145737</xdr:rowOff>
    </xdr:from>
    <xdr:ext cx="1786744" cy="395573"/>
    <xdr:sp macro="" textlink="">
      <xdr:nvSpPr>
        <xdr:cNvPr id="39" name="TextBox 38">
          <a:extLst>
            <a:ext uri="{FF2B5EF4-FFF2-40B4-BE49-F238E27FC236}">
              <a16:creationId xmlns:a16="http://schemas.microsoft.com/office/drawing/2014/main" id="{A5EB3CC2-BD01-32A3-FDC3-F2E9C8EE4212}"/>
            </a:ext>
          </a:extLst>
        </xdr:cNvPr>
        <xdr:cNvSpPr txBox="1"/>
      </xdr:nvSpPr>
      <xdr:spPr>
        <a:xfrm>
          <a:off x="16457117" y="145737"/>
          <a:ext cx="1786744" cy="395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accent6">
                  <a:lumMod val="20000"/>
                  <a:lumOff val="80000"/>
                </a:schemeClr>
              </a:solidFill>
            </a:rPr>
            <a:t>PROFIT MARGIN</a:t>
          </a:r>
        </a:p>
      </xdr:txBody>
    </xdr:sp>
    <xdr:clientData/>
  </xdr:oneCellAnchor>
  <xdr:twoCellAnchor>
    <xdr:from>
      <xdr:col>6</xdr:col>
      <xdr:colOff>270657</xdr:colOff>
      <xdr:row>7</xdr:row>
      <xdr:rowOff>124918</xdr:rowOff>
    </xdr:from>
    <xdr:to>
      <xdr:col>13</xdr:col>
      <xdr:colOff>447623</xdr:colOff>
      <xdr:row>24</xdr:row>
      <xdr:rowOff>72867</xdr:rowOff>
    </xdr:to>
    <xdr:graphicFrame macro="">
      <xdr:nvGraphicFramePr>
        <xdr:cNvPr id="10" name="Chart 9">
          <a:extLst>
            <a:ext uri="{FF2B5EF4-FFF2-40B4-BE49-F238E27FC236}">
              <a16:creationId xmlns:a16="http://schemas.microsoft.com/office/drawing/2014/main" id="{60B297F1-18C7-4C90-9896-8338659CA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196053</xdr:colOff>
      <xdr:row>7</xdr:row>
      <xdr:rowOff>176968</xdr:rowOff>
    </xdr:from>
    <xdr:to>
      <xdr:col>21</xdr:col>
      <xdr:colOff>437213</xdr:colOff>
      <xdr:row>24</xdr:row>
      <xdr:rowOff>135328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4BAE65A7-39E5-416D-8EFC-592DC16F84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730453" y="1466018"/>
              <a:ext cx="4508360" cy="308891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201084</xdr:colOff>
      <xdr:row>8</xdr:row>
      <xdr:rowOff>31231</xdr:rowOff>
    </xdr:from>
    <xdr:to>
      <xdr:col>29</xdr:col>
      <xdr:colOff>569891</xdr:colOff>
      <xdr:row>24</xdr:row>
      <xdr:rowOff>156148</xdr:rowOff>
    </xdr:to>
    <xdr:graphicFrame macro="">
      <xdr:nvGraphicFramePr>
        <xdr:cNvPr id="13" name="Chart 12">
          <a:extLst>
            <a:ext uri="{FF2B5EF4-FFF2-40B4-BE49-F238E27FC236}">
              <a16:creationId xmlns:a16="http://schemas.microsoft.com/office/drawing/2014/main" id="{32C867DD-D437-426F-8C9C-4BD1A2EA7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194676</xdr:colOff>
      <xdr:row>25</xdr:row>
      <xdr:rowOff>114509</xdr:rowOff>
    </xdr:from>
    <xdr:to>
      <xdr:col>13</xdr:col>
      <xdr:colOff>416394</xdr:colOff>
      <xdr:row>42</xdr:row>
      <xdr:rowOff>41639</xdr:rowOff>
    </xdr:to>
    <xdr:graphicFrame macro="">
      <xdr:nvGraphicFramePr>
        <xdr:cNvPr id="14" name="Chart 13">
          <a:extLst>
            <a:ext uri="{FF2B5EF4-FFF2-40B4-BE49-F238E27FC236}">
              <a16:creationId xmlns:a16="http://schemas.microsoft.com/office/drawing/2014/main" id="{3F6C27CD-4114-4BF3-A84F-ED32F075D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205180</xdr:colOff>
      <xdr:row>25</xdr:row>
      <xdr:rowOff>181026</xdr:rowOff>
    </xdr:from>
    <xdr:to>
      <xdr:col>21</xdr:col>
      <xdr:colOff>477918</xdr:colOff>
      <xdr:row>42</xdr:row>
      <xdr:rowOff>104098</xdr:rowOff>
    </xdr:to>
    <xdr:graphicFrame macro="">
      <xdr:nvGraphicFramePr>
        <xdr:cNvPr id="15" name="Chart 14">
          <a:extLst>
            <a:ext uri="{FF2B5EF4-FFF2-40B4-BE49-F238E27FC236}">
              <a16:creationId xmlns:a16="http://schemas.microsoft.com/office/drawing/2014/main" id="{377A0D23-D52A-4F7F-8F1E-7618A3032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283270</xdr:colOff>
      <xdr:row>25</xdr:row>
      <xdr:rowOff>135327</xdr:rowOff>
    </xdr:from>
    <xdr:to>
      <xdr:col>29</xdr:col>
      <xdr:colOff>556007</xdr:colOff>
      <xdr:row>42</xdr:row>
      <xdr:rowOff>72868</xdr:rowOff>
    </xdr:to>
    <xdr:graphicFrame macro="">
      <xdr:nvGraphicFramePr>
        <xdr:cNvPr id="16" name="Chart 15">
          <a:extLst>
            <a:ext uri="{FF2B5EF4-FFF2-40B4-BE49-F238E27FC236}">
              <a16:creationId xmlns:a16="http://schemas.microsoft.com/office/drawing/2014/main" id="{7D864884-AE59-448F-B6E7-A7D9B1F99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270655</xdr:colOff>
      <xdr:row>4</xdr:row>
      <xdr:rowOff>135327</xdr:rowOff>
    </xdr:from>
    <xdr:to>
      <xdr:col>7</xdr:col>
      <xdr:colOff>16475</xdr:colOff>
      <xdr:row>6</xdr:row>
      <xdr:rowOff>120573</xdr:rowOff>
    </xdr:to>
    <xdr:pic>
      <xdr:nvPicPr>
        <xdr:cNvPr id="26" name="Graphic 25" descr="CheckList with solid fill">
          <a:extLst>
            <a:ext uri="{FF2B5EF4-FFF2-40B4-BE49-F238E27FC236}">
              <a16:creationId xmlns:a16="http://schemas.microsoft.com/office/drawing/2014/main" id="{55CB63DA-A685-863C-4AB1-CA3EB29070A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55737" y="884835"/>
          <a:ext cx="360000" cy="360000"/>
        </a:xfrm>
        <a:prstGeom prst="rect">
          <a:avLst/>
        </a:prstGeom>
      </xdr:spPr>
    </xdr:pic>
    <xdr:clientData/>
  </xdr:twoCellAnchor>
  <xdr:twoCellAnchor editAs="oneCell">
    <xdr:from>
      <xdr:col>14</xdr:col>
      <xdr:colOff>229015</xdr:colOff>
      <xdr:row>4</xdr:row>
      <xdr:rowOff>176967</xdr:rowOff>
    </xdr:from>
    <xdr:to>
      <xdr:col>14</xdr:col>
      <xdr:colOff>589015</xdr:colOff>
      <xdr:row>6</xdr:row>
      <xdr:rowOff>162213</xdr:rowOff>
    </xdr:to>
    <xdr:pic>
      <xdr:nvPicPr>
        <xdr:cNvPr id="40" name="Graphic 39" descr="Euro with solid fill">
          <a:extLst>
            <a:ext uri="{FF2B5EF4-FFF2-40B4-BE49-F238E27FC236}">
              <a16:creationId xmlns:a16="http://schemas.microsoft.com/office/drawing/2014/main" id="{E5D46C7F-7DB2-FAEC-6ECA-7D3A86E787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827540" y="926475"/>
          <a:ext cx="360000" cy="360000"/>
        </a:xfrm>
        <a:prstGeom prst="rect">
          <a:avLst/>
        </a:prstGeom>
      </xdr:spPr>
    </xdr:pic>
    <xdr:clientData/>
  </xdr:twoCellAnchor>
  <xdr:twoCellAnchor editAs="oneCell">
    <xdr:from>
      <xdr:col>22</xdr:col>
      <xdr:colOff>312297</xdr:colOff>
      <xdr:row>4</xdr:row>
      <xdr:rowOff>166560</xdr:rowOff>
    </xdr:from>
    <xdr:to>
      <xdr:col>23</xdr:col>
      <xdr:colOff>58116</xdr:colOff>
      <xdr:row>6</xdr:row>
      <xdr:rowOff>151806</xdr:rowOff>
    </xdr:to>
    <xdr:pic>
      <xdr:nvPicPr>
        <xdr:cNvPr id="42" name="Graphic 41" descr="Money with solid fill">
          <a:extLst>
            <a:ext uri="{FF2B5EF4-FFF2-40B4-BE49-F238E27FC236}">
              <a16:creationId xmlns:a16="http://schemas.microsoft.com/office/drawing/2014/main" id="{A544F3E9-E00A-9EC5-202F-C0AFBDE3322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824264" y="916068"/>
          <a:ext cx="360000" cy="360000"/>
        </a:xfrm>
        <a:prstGeom prst="rect">
          <a:avLst/>
        </a:prstGeom>
      </xdr:spPr>
    </xdr:pic>
    <xdr:clientData/>
  </xdr:twoCellAnchor>
  <xdr:twoCellAnchor editAs="oneCell">
    <xdr:from>
      <xdr:col>18</xdr:col>
      <xdr:colOff>318959</xdr:colOff>
      <xdr:row>4</xdr:row>
      <xdr:rowOff>183631</xdr:rowOff>
    </xdr:from>
    <xdr:to>
      <xdr:col>19</xdr:col>
      <xdr:colOff>64779</xdr:colOff>
      <xdr:row>6</xdr:row>
      <xdr:rowOff>168877</xdr:rowOff>
    </xdr:to>
    <xdr:pic>
      <xdr:nvPicPr>
        <xdr:cNvPr id="43" name="Graphic 42" descr="Money with solid fill">
          <a:extLst>
            <a:ext uri="{FF2B5EF4-FFF2-40B4-BE49-F238E27FC236}">
              <a16:creationId xmlns:a16="http://schemas.microsoft.com/office/drawing/2014/main" id="{95CEA133-6D48-A7D5-10F4-8C2F6C1CA9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374205" y="933139"/>
          <a:ext cx="360000" cy="360000"/>
        </a:xfrm>
        <a:prstGeom prst="rect">
          <a:avLst/>
        </a:prstGeom>
      </xdr:spPr>
    </xdr:pic>
    <xdr:clientData/>
  </xdr:twoCellAnchor>
  <xdr:twoCellAnchor editAs="oneCell">
    <xdr:from>
      <xdr:col>26</xdr:col>
      <xdr:colOff>312295</xdr:colOff>
      <xdr:row>4</xdr:row>
      <xdr:rowOff>124918</xdr:rowOff>
    </xdr:from>
    <xdr:to>
      <xdr:col>27</xdr:col>
      <xdr:colOff>58115</xdr:colOff>
      <xdr:row>6</xdr:row>
      <xdr:rowOff>110164</xdr:rowOff>
    </xdr:to>
    <xdr:pic>
      <xdr:nvPicPr>
        <xdr:cNvPr id="45" name="Graphic 44" descr="Scales of justice with solid fill">
          <a:extLst>
            <a:ext uri="{FF2B5EF4-FFF2-40B4-BE49-F238E27FC236}">
              <a16:creationId xmlns:a16="http://schemas.microsoft.com/office/drawing/2014/main" id="{6E969886-FE3F-58FD-0553-A235CD575F5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280984" y="874426"/>
          <a:ext cx="360000" cy="360000"/>
        </a:xfrm>
        <a:prstGeom prst="rect">
          <a:avLst/>
        </a:prstGeom>
      </xdr:spPr>
    </xdr:pic>
    <xdr:clientData/>
  </xdr:twoCellAnchor>
  <xdr:twoCellAnchor editAs="oneCell">
    <xdr:from>
      <xdr:col>10</xdr:col>
      <xdr:colOff>145738</xdr:colOff>
      <xdr:row>4</xdr:row>
      <xdr:rowOff>135328</xdr:rowOff>
    </xdr:from>
    <xdr:to>
      <xdr:col>10</xdr:col>
      <xdr:colOff>505738</xdr:colOff>
      <xdr:row>6</xdr:row>
      <xdr:rowOff>120574</xdr:rowOff>
    </xdr:to>
    <xdr:pic>
      <xdr:nvPicPr>
        <xdr:cNvPr id="47" name="Graphic 46" descr="Shopping cart with solid fill">
          <a:extLst>
            <a:ext uri="{FF2B5EF4-FFF2-40B4-BE49-F238E27FC236}">
              <a16:creationId xmlns:a16="http://schemas.microsoft.com/office/drawing/2014/main" id="{C61895DE-06E1-4CC7-E7B3-8FDEB01C4C0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287541" y="884836"/>
          <a:ext cx="360000" cy="360000"/>
        </a:xfrm>
        <a:prstGeom prst="rect">
          <a:avLst/>
        </a:prstGeom>
      </xdr:spPr>
    </xdr:pic>
    <xdr:clientData/>
  </xdr:twoCellAnchor>
  <xdr:twoCellAnchor editAs="oneCell">
    <xdr:from>
      <xdr:col>0</xdr:col>
      <xdr:colOff>381002</xdr:colOff>
      <xdr:row>11</xdr:row>
      <xdr:rowOff>59665</xdr:rowOff>
    </xdr:from>
    <xdr:to>
      <xdr:col>6</xdr:col>
      <xdr:colOff>160736</xdr:colOff>
      <xdr:row>15</xdr:row>
      <xdr:rowOff>74084</xdr:rowOff>
    </xdr:to>
    <mc:AlternateContent xmlns:mc="http://schemas.openxmlformats.org/markup-compatibility/2006" xmlns:a14="http://schemas.microsoft.com/office/drawing/2010/main">
      <mc:Choice Requires="a14">
        <xdr:graphicFrame macro="">
          <xdr:nvGraphicFramePr>
            <xdr:cNvPr id="48" name="Date Number">
              <a:extLst>
                <a:ext uri="{FF2B5EF4-FFF2-40B4-BE49-F238E27FC236}">
                  <a16:creationId xmlns:a16="http://schemas.microsoft.com/office/drawing/2014/main" id="{42D5F140-DACC-2E48-3697-DC11C44BF410}"/>
                </a:ext>
              </a:extLst>
            </xdr:cNvPr>
            <xdr:cNvGraphicFramePr/>
          </xdr:nvGraphicFramePr>
          <xdr:xfrm>
            <a:off x="0" y="0"/>
            <a:ext cx="0" cy="0"/>
          </xdr:xfrm>
          <a:graphic>
            <a:graphicData uri="http://schemas.microsoft.com/office/drawing/2010/slicer">
              <sle:slicer xmlns:sle="http://schemas.microsoft.com/office/drawing/2010/slicer" name="Date Number"/>
            </a:graphicData>
          </a:graphic>
        </xdr:graphicFrame>
      </mc:Choice>
      <mc:Fallback xmlns="">
        <xdr:sp macro="" textlink="">
          <xdr:nvSpPr>
            <xdr:cNvPr id="0" name=""/>
            <xdr:cNvSpPr>
              <a:spLocks noTextEdit="1"/>
            </xdr:cNvSpPr>
          </xdr:nvSpPr>
          <xdr:spPr>
            <a:xfrm>
              <a:off x="381002" y="2055379"/>
              <a:ext cx="3426448" cy="7401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15</xdr:row>
      <xdr:rowOff>93133</xdr:rowOff>
    </xdr:from>
    <xdr:to>
      <xdr:col>6</xdr:col>
      <xdr:colOff>190500</xdr:colOff>
      <xdr:row>19</xdr:row>
      <xdr:rowOff>84666</xdr:rowOff>
    </xdr:to>
    <mc:AlternateContent xmlns:mc="http://schemas.openxmlformats.org/markup-compatibility/2006" xmlns:a14="http://schemas.microsoft.com/office/drawing/2010/main">
      <mc:Choice Requires="a14">
        <xdr:graphicFrame macro="">
          <xdr:nvGraphicFramePr>
            <xdr:cNvPr id="49" name="County">
              <a:extLst>
                <a:ext uri="{FF2B5EF4-FFF2-40B4-BE49-F238E27FC236}">
                  <a16:creationId xmlns:a16="http://schemas.microsoft.com/office/drawing/2014/main" id="{E72E5576-D336-3C41-BB33-E9A5D8DE4FEB}"/>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381000" y="2814562"/>
              <a:ext cx="3456214" cy="7172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389467</xdr:colOff>
      <xdr:row>19</xdr:row>
      <xdr:rowOff>93133</xdr:rowOff>
    </xdr:from>
    <xdr:to>
      <xdr:col>6</xdr:col>
      <xdr:colOff>116417</xdr:colOff>
      <xdr:row>23</xdr:row>
      <xdr:rowOff>86267</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A3A75DFE-D2ED-F7B4-ACDB-DC6860604C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9467" y="3540276"/>
              <a:ext cx="3373664" cy="7188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368299</xdr:colOff>
      <xdr:row>23</xdr:row>
      <xdr:rowOff>50801</xdr:rowOff>
    </xdr:from>
    <xdr:to>
      <xdr:col>6</xdr:col>
      <xdr:colOff>127000</xdr:colOff>
      <xdr:row>27</xdr:row>
      <xdr:rowOff>95249</xdr:rowOff>
    </xdr:to>
    <mc:AlternateContent xmlns:mc="http://schemas.openxmlformats.org/markup-compatibility/2006" xmlns:a14="http://schemas.microsoft.com/office/drawing/2010/main">
      <mc:Choice Requires="a14">
        <xdr:graphicFrame macro="">
          <xdr:nvGraphicFramePr>
            <xdr:cNvPr id="51" name="Customer_Type">
              <a:extLst>
                <a:ext uri="{FF2B5EF4-FFF2-40B4-BE49-F238E27FC236}">
                  <a16:creationId xmlns:a16="http://schemas.microsoft.com/office/drawing/2014/main" id="{481590F1-9CCF-2855-3133-83005C0EFAF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68299" y="4223658"/>
              <a:ext cx="3405415" cy="7701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423334</xdr:colOff>
      <xdr:row>27</xdr:row>
      <xdr:rowOff>52917</xdr:rowOff>
    </xdr:from>
    <xdr:to>
      <xdr:col>6</xdr:col>
      <xdr:colOff>84668</xdr:colOff>
      <xdr:row>42</xdr:row>
      <xdr:rowOff>137583</xdr:rowOff>
    </xdr:to>
    <xdr:sp macro="" textlink="">
      <xdr:nvSpPr>
        <xdr:cNvPr id="54" name="Rectangle 53">
          <a:extLst>
            <a:ext uri="{FF2B5EF4-FFF2-40B4-BE49-F238E27FC236}">
              <a16:creationId xmlns:a16="http://schemas.microsoft.com/office/drawing/2014/main" id="{FD2AEB64-97B0-0168-B6A2-44F03F5806E5}"/>
            </a:ext>
          </a:extLst>
        </xdr:cNvPr>
        <xdr:cNvSpPr/>
      </xdr:nvSpPr>
      <xdr:spPr>
        <a:xfrm>
          <a:off x="423334" y="4910667"/>
          <a:ext cx="3344334" cy="27834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10583</xdr:colOff>
      <xdr:row>27</xdr:row>
      <xdr:rowOff>31750</xdr:rowOff>
    </xdr:from>
    <xdr:to>
      <xdr:col>5</xdr:col>
      <xdr:colOff>455082</xdr:colOff>
      <xdr:row>42</xdr:row>
      <xdr:rowOff>74083</xdr:rowOff>
    </xdr:to>
    <xdr:pic>
      <xdr:nvPicPr>
        <xdr:cNvPr id="53" name="Picture 52">
          <a:extLst>
            <a:ext uri="{FF2B5EF4-FFF2-40B4-BE49-F238E27FC236}">
              <a16:creationId xmlns:a16="http://schemas.microsoft.com/office/drawing/2014/main" id="{E84FD8DD-B153-DF8E-C9C2-C9F3ED96C52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24416" y="4889500"/>
          <a:ext cx="2899833" cy="2741083"/>
        </a:xfrm>
        <a:prstGeom prst="rect">
          <a:avLst/>
        </a:prstGeom>
      </xdr:spPr>
    </xdr:pic>
    <xdr:clientData/>
  </xdr:twoCellAnchor>
  <xdr:twoCellAnchor>
    <xdr:from>
      <xdr:col>0</xdr:col>
      <xdr:colOff>423333</xdr:colOff>
      <xdr:row>0</xdr:row>
      <xdr:rowOff>84667</xdr:rowOff>
    </xdr:from>
    <xdr:to>
      <xdr:col>6</xdr:col>
      <xdr:colOff>52917</xdr:colOff>
      <xdr:row>10</xdr:row>
      <xdr:rowOff>169334</xdr:rowOff>
    </xdr:to>
    <xdr:sp macro="" textlink="">
      <xdr:nvSpPr>
        <xdr:cNvPr id="55" name="Rectangle: Rounded Corners 54">
          <a:extLst>
            <a:ext uri="{FF2B5EF4-FFF2-40B4-BE49-F238E27FC236}">
              <a16:creationId xmlns:a16="http://schemas.microsoft.com/office/drawing/2014/main" id="{FBD151AA-D073-686A-FE6F-9721379CB34D}"/>
            </a:ext>
          </a:extLst>
        </xdr:cNvPr>
        <xdr:cNvSpPr/>
      </xdr:nvSpPr>
      <xdr:spPr>
        <a:xfrm>
          <a:off x="423333" y="84667"/>
          <a:ext cx="3312584" cy="1883834"/>
        </a:xfrm>
        <a:prstGeom prst="roundRect">
          <a:avLst/>
        </a:prstGeom>
        <a:solidFill>
          <a:schemeClr val="tx1">
            <a:lumMod val="95000"/>
            <a:lumOff val="5000"/>
          </a:schemeClr>
        </a:solidFill>
        <a:ln>
          <a:solidFill>
            <a:schemeClr val="accent3">
              <a:lumMod val="50000"/>
            </a:schemeClr>
          </a:solid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2400" b="1" i="0" u="none" strike="noStrike">
            <a:solidFill>
              <a:schemeClr val="accent6">
                <a:lumMod val="40000"/>
                <a:lumOff val="60000"/>
              </a:schemeClr>
            </a:solidFill>
            <a:latin typeface="Aptos Narrow"/>
            <a:ea typeface="+mn-ea"/>
            <a:cs typeface="+mn-cs"/>
          </a:endParaRPr>
        </a:p>
      </xdr:txBody>
    </xdr:sp>
    <xdr:clientData/>
  </xdr:twoCellAnchor>
  <xdr:twoCellAnchor>
    <xdr:from>
      <xdr:col>0</xdr:col>
      <xdr:colOff>465667</xdr:colOff>
      <xdr:row>1</xdr:row>
      <xdr:rowOff>31750</xdr:rowOff>
    </xdr:from>
    <xdr:to>
      <xdr:col>6</xdr:col>
      <xdr:colOff>95250</xdr:colOff>
      <xdr:row>10</xdr:row>
      <xdr:rowOff>169334</xdr:rowOff>
    </xdr:to>
    <xdr:sp macro="" textlink="">
      <xdr:nvSpPr>
        <xdr:cNvPr id="56" name="TextBox 55">
          <a:extLst>
            <a:ext uri="{FF2B5EF4-FFF2-40B4-BE49-F238E27FC236}">
              <a16:creationId xmlns:a16="http://schemas.microsoft.com/office/drawing/2014/main" id="{0387B17D-1157-5E92-5656-DB98C1887504}"/>
            </a:ext>
          </a:extLst>
        </xdr:cNvPr>
        <xdr:cNvSpPr txBox="1"/>
      </xdr:nvSpPr>
      <xdr:spPr>
        <a:xfrm>
          <a:off x="465667" y="211667"/>
          <a:ext cx="3312583" cy="175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ln>
                <a:noFill/>
              </a:ln>
              <a:solidFill>
                <a:schemeClr val="accent3">
                  <a:lumMod val="20000"/>
                  <a:lumOff val="80000"/>
                </a:schemeClr>
              </a:solidFill>
              <a:latin typeface="Papyrus" panose="03070502060502030205" pitchFamily="66" charset="0"/>
            </a:rPr>
            <a:t>EMERALD</a:t>
          </a:r>
          <a:r>
            <a:rPr lang="en-GB" sz="2000" b="1" baseline="0">
              <a:ln>
                <a:noFill/>
              </a:ln>
              <a:solidFill>
                <a:schemeClr val="accent3">
                  <a:lumMod val="20000"/>
                  <a:lumOff val="80000"/>
                </a:schemeClr>
              </a:solidFill>
              <a:latin typeface="Papyrus" panose="03070502060502030205" pitchFamily="66" charset="0"/>
            </a:rPr>
            <a:t> </a:t>
          </a:r>
        </a:p>
        <a:p>
          <a:pPr algn="ctr"/>
          <a:r>
            <a:rPr lang="en-GB" sz="2000" b="1" baseline="0">
              <a:ln>
                <a:noFill/>
              </a:ln>
              <a:solidFill>
                <a:schemeClr val="accent3">
                  <a:lumMod val="20000"/>
                  <a:lumOff val="80000"/>
                </a:schemeClr>
              </a:solidFill>
              <a:latin typeface="Papyrus" panose="03070502060502030205" pitchFamily="66" charset="0"/>
            </a:rPr>
            <a:t>SPRINGS </a:t>
          </a:r>
        </a:p>
        <a:p>
          <a:pPr algn="ctr"/>
          <a:r>
            <a:rPr lang="en-GB" sz="2000" b="1" baseline="0">
              <a:ln>
                <a:noFill/>
              </a:ln>
              <a:solidFill>
                <a:schemeClr val="accent3">
                  <a:lumMod val="20000"/>
                  <a:lumOff val="80000"/>
                </a:schemeClr>
              </a:solidFill>
              <a:latin typeface="Papyrus" panose="03070502060502030205" pitchFamily="66" charset="0"/>
            </a:rPr>
            <a:t>BOTTLING  </a:t>
          </a:r>
        </a:p>
        <a:p>
          <a:pPr algn="ctr"/>
          <a:r>
            <a:rPr lang="en-GB" sz="2000" b="1" baseline="0">
              <a:ln>
                <a:noFill/>
              </a:ln>
              <a:solidFill>
                <a:schemeClr val="accent3">
                  <a:lumMod val="20000"/>
                  <a:lumOff val="80000"/>
                </a:schemeClr>
              </a:solidFill>
              <a:latin typeface="Papyrus" panose="03070502060502030205" pitchFamily="66" charset="0"/>
            </a:rPr>
            <a:t>LTD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gochukwu Umeilechukwu" refreshedDate="46249.875052430558" createdVersion="8" refreshedVersion="8" minRefreshableVersion="3" recordCount="250" xr:uid="{5DA8739B-94FB-4A59-964C-48B527056227}">
  <cacheSource type="worksheet">
    <worksheetSource name="Orders"/>
  </cacheSource>
  <cacheFields count="21">
    <cacheField name="Order_ID" numFmtId="0">
      <sharedItems/>
    </cacheField>
    <cacheField name="Date Number" numFmtId="0">
      <sharedItems containsSemiMixedTypes="0" containsString="0" containsNumber="1" containsInteger="1" minValue="1" maxValue="30" count="30">
        <n v="8"/>
        <n v="23"/>
        <n v="13"/>
        <n v="17"/>
        <n v="9"/>
        <n v="7"/>
        <n v="2"/>
        <n v="27"/>
        <n v="3"/>
        <n v="5"/>
        <n v="1"/>
        <n v="11"/>
        <n v="20"/>
        <n v="22"/>
        <n v="10"/>
        <n v="16"/>
        <n v="12"/>
        <n v="4"/>
        <n v="14"/>
        <n v="25"/>
        <n v="19"/>
        <n v="15"/>
        <n v="29"/>
        <n v="18"/>
        <n v="21"/>
        <n v="24"/>
        <n v="30"/>
        <n v="28"/>
        <n v="6"/>
        <n v="26"/>
      </sharedItems>
    </cacheField>
    <cacheField name="Order_Date" numFmtId="14">
      <sharedItems containsSemiMixedTypes="0" containsNonDate="0" containsDate="1" containsString="0" minDate="2026-06-01T00:00:00" maxDate="2026-07-01T00:00:00" count="30">
        <d v="2026-06-08T00:00:00"/>
        <d v="2026-06-23T00:00:00"/>
        <d v="2026-06-13T00:00:00"/>
        <d v="2026-06-17T00:00:00"/>
        <d v="2026-06-09T00:00:00"/>
        <d v="2026-06-07T00:00:00"/>
        <d v="2026-06-02T00:00:00"/>
        <d v="2026-06-27T00:00:00"/>
        <d v="2026-06-03T00:00:00"/>
        <d v="2026-06-05T00:00:00"/>
        <d v="2026-06-01T00:00:00"/>
        <d v="2026-06-11T00:00:00"/>
        <d v="2026-06-20T00:00:00"/>
        <d v="2026-06-22T00:00:00"/>
        <d v="2026-06-10T00:00:00"/>
        <d v="2026-06-16T00:00:00"/>
        <d v="2026-06-12T00:00:00"/>
        <d v="2026-06-04T00:00:00"/>
        <d v="2026-06-14T00:00:00"/>
        <d v="2026-06-25T00:00:00"/>
        <d v="2026-06-19T00:00:00"/>
        <d v="2026-06-15T00:00:00"/>
        <d v="2026-06-29T00:00:00"/>
        <d v="2026-06-18T00:00:00"/>
        <d v="2026-06-21T00:00:00"/>
        <d v="2026-06-24T00:00:00"/>
        <d v="2026-06-30T00:00:00"/>
        <d v="2026-06-28T00:00:00"/>
        <d v="2026-06-06T00:00:00"/>
        <d v="2026-06-26T00:00:00"/>
      </sharedItems>
    </cacheField>
    <cacheField name="Customer_ID" numFmtId="0">
      <sharedItems/>
    </cacheField>
    <cacheField name="Product_ID" numFmtId="0">
      <sharedItems/>
    </cacheField>
    <cacheField name="Quantity" numFmtId="0">
      <sharedItems containsSemiMixedTypes="0" containsString="0" containsNumber="1" containsInteger="1" minValue="5" maxValue="50"/>
    </cacheField>
    <cacheField name="Discount" numFmtId="2">
      <sharedItems containsSemiMixedTypes="0" containsString="0" containsNumber="1" minValue="0" maxValue="0.1"/>
    </cacheField>
    <cacheField name="Order_Status" numFmtId="2">
      <sharedItems/>
    </cacheField>
    <cacheField name="Unit_Price" numFmtId="0">
      <sharedItems containsSemiMixedTypes="0" containsString="0" containsNumber="1" minValue="1.2" maxValue="2.5"/>
    </cacheField>
    <cacheField name="Gross_Sales" numFmtId="0">
      <sharedItems containsSemiMixedTypes="0" containsString="0" containsNumber="1" minValue="7.5" maxValue="120"/>
    </cacheField>
    <cacheField name="Cost_Price" numFmtId="0">
      <sharedItems containsSemiMixedTypes="0" containsString="0" containsNumber="1" minValue="0.6" maxValue="1.4"/>
    </cacheField>
    <cacheField name="Total_Cost" numFmtId="0">
      <sharedItems containsSemiMixedTypes="0" containsString="0" containsNumber="1" minValue="4" maxValue="67.199999999999989"/>
    </cacheField>
    <cacheField name="Total_Discount" numFmtId="0">
      <sharedItems containsSemiMixedTypes="0" containsString="0" containsNumber="1" minValue="0" maxValue="9.0000000000000018"/>
    </cacheField>
    <cacheField name="Profit" numFmtId="2">
      <sharedItems containsSemiMixedTypes="0" containsString="0" containsNumber="1" minValue="3.5" maxValue="52.800000000000011"/>
    </cacheField>
    <cacheField name="Overal Cost" numFmtId="2">
      <sharedItems containsSemiMixedTypes="0" containsString="0" containsNumber="1" minValue="4" maxValue="71.674999999999997"/>
    </cacheField>
    <cacheField name="Product_Name" numFmtId="0">
      <sharedItems containsMixedTypes="1" containsNumber="1" containsInteger="1" minValue="0" maxValue="0" count="21">
        <s v="Peach Tea"/>
        <s v="Mineral Water_x000a_"/>
        <s v="Still Water"/>
        <s v="Vitamin Water"/>
        <s v="Apple Juice"/>
        <s v="Orange Soda"/>
        <s v="Sparkling Water"/>
        <s v="Berry Splash"/>
        <s v="Lemon Lime"/>
        <s v="Sparkling Citrus"/>
        <s v="Kids Juice"/>
        <s v="Tonic Water"/>
        <s v="Energy Boost"/>
        <s v="Iced Tea"/>
        <s v="Cola"/>
        <s v="Mango Juice"/>
        <s v="Zero Cola"/>
        <s v="Spring Water"/>
        <s v="Grape Soda"/>
        <s v="Pineapple Juice"/>
        <n v="0" u="1"/>
      </sharedItems>
    </cacheField>
    <cacheField name="Category" numFmtId="0">
      <sharedItems containsMixedTypes="1" containsNumber="1" containsInteger="1" minValue="0" maxValue="0" count="6">
        <s v="Tea"/>
        <s v="Water"/>
        <s v="Juice"/>
        <s v="Soft Drink"/>
        <s v="Energy Drink"/>
        <n v="0" u="1"/>
      </sharedItems>
    </cacheField>
    <cacheField name="County" numFmtId="0">
      <sharedItems containsMixedTypes="1" containsNumber="1" containsInteger="1" minValue="0" maxValue="0" count="17">
        <s v="Kerry"/>
        <s v="Tipperary"/>
        <s v="Waterford"/>
        <s v="Offaly"/>
        <s v="Meath"/>
        <s v="Wexford"/>
        <s v="Galway"/>
        <s v="Limerick"/>
        <s v="Louth"/>
        <s v="Clare"/>
        <s v="Sligo"/>
        <s v="Mayo"/>
        <s v="Kildare"/>
        <s v="Donegal"/>
        <s v="Dublin"/>
        <s v="Cork"/>
        <n v="0" u="1"/>
      </sharedItems>
    </cacheField>
    <cacheField name="Customer_Type" numFmtId="0">
      <sharedItems containsMixedTypes="1" containsNumber="1" containsInteger="1" minValue="0" maxValue="0" count="7">
        <s v="Restaurant"/>
        <s v="Retailer"/>
        <s v="Hotel"/>
        <s v="Wholesaler"/>
        <s v="Café"/>
        <s v="Supermarket"/>
        <n v="0" u="1"/>
      </sharedItems>
    </cacheField>
    <cacheField name="Preferred_Channel" numFmtId="0">
      <sharedItems containsMixedTypes="1" containsNumber="1" containsInteger="1" minValue="0" maxValue="0" count="6">
        <s v="Distributor"/>
        <s v="Online"/>
        <s v="Phone"/>
        <s v="Sales Rep"/>
        <s v="Email"/>
        <n v="0" u="1"/>
      </sharedItems>
    </cacheField>
    <cacheField name="Bottle_Size" numFmtId="0">
      <sharedItems/>
    </cacheField>
  </cacheFields>
  <extLst>
    <ext xmlns:x14="http://schemas.microsoft.com/office/spreadsheetml/2009/9/main" uri="{725AE2AE-9491-48be-B2B4-4EB974FC3084}">
      <x14:pivotCacheDefinition pivotCacheId="189189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x v="0"/>
    <x v="0"/>
    <s v="CUST061"/>
    <s v="PROD017"/>
    <n v="31"/>
    <n v="0.05"/>
    <s v="Pending"/>
    <n v="2.2000000000000002"/>
    <n v="68.2"/>
    <n v="1.2"/>
    <n v="37.199999999999996"/>
    <n v="3.4100000000000006"/>
    <n v="27.590000000000007"/>
    <n v="40.61"/>
    <x v="0"/>
    <x v="0"/>
    <x v="0"/>
    <x v="0"/>
    <x v="0"/>
    <s v="500ml"/>
  </r>
  <r>
    <s v="ORD0002"/>
    <x v="1"/>
    <x v="1"/>
    <s v="CUST060"/>
    <s v="PROD012"/>
    <n v="23"/>
    <n v="0"/>
    <s v="Completed"/>
    <n v="2"/>
    <n v="46"/>
    <n v="1"/>
    <n v="23"/>
    <n v="0"/>
    <n v="23"/>
    <n v="23"/>
    <x v="1"/>
    <x v="1"/>
    <x v="1"/>
    <x v="1"/>
    <x v="1"/>
    <s v="1.5L"/>
  </r>
  <r>
    <s v="ORD0003"/>
    <x v="2"/>
    <x v="2"/>
    <s v="CUST051"/>
    <s v="PROD001"/>
    <n v="41"/>
    <n v="0"/>
    <s v="Completed"/>
    <n v="1.2"/>
    <n v="49.199999999999996"/>
    <n v="0.6"/>
    <n v="24.599999999999998"/>
    <n v="0"/>
    <n v="24.599999999999998"/>
    <n v="24.599999999999998"/>
    <x v="2"/>
    <x v="1"/>
    <x v="2"/>
    <x v="0"/>
    <x v="2"/>
    <s v="500ml"/>
  </r>
  <r>
    <s v="ORD0004"/>
    <x v="2"/>
    <x v="2"/>
    <s v="CUST038"/>
    <s v="PROD016"/>
    <n v="18"/>
    <n v="0"/>
    <s v="Pending"/>
    <n v="1.9"/>
    <n v="34.199999999999996"/>
    <n v="0.95"/>
    <n v="17.099999999999998"/>
    <n v="0"/>
    <n v="17.099999999999998"/>
    <n v="17.099999999999998"/>
    <x v="3"/>
    <x v="1"/>
    <x v="3"/>
    <x v="2"/>
    <x v="2"/>
    <s v="500ml"/>
  </r>
  <r>
    <s v="ORD0005"/>
    <x v="3"/>
    <x v="3"/>
    <s v="CUST034"/>
    <s v="PROD005"/>
    <n v="40"/>
    <n v="0"/>
    <s v="Completed"/>
    <n v="2"/>
    <n v="80"/>
    <n v="1.1000000000000001"/>
    <n v="44"/>
    <n v="0"/>
    <n v="36"/>
    <n v="44"/>
    <x v="4"/>
    <x v="2"/>
    <x v="4"/>
    <x v="3"/>
    <x v="2"/>
    <s v="1L"/>
  </r>
  <r>
    <s v="ORD0006"/>
    <x v="4"/>
    <x v="4"/>
    <s v="CUST100"/>
    <s v="PROD004"/>
    <n v="8"/>
    <n v="0.05"/>
    <s v="Completed"/>
    <n v="1.6"/>
    <n v="12.8"/>
    <n v="0.85"/>
    <n v="6.8"/>
    <n v="0.64000000000000012"/>
    <n v="5.3600000000000012"/>
    <n v="7.4399999999999995"/>
    <x v="5"/>
    <x v="3"/>
    <x v="4"/>
    <x v="0"/>
    <x v="1"/>
    <s v="500ml"/>
  </r>
  <r>
    <s v="ORD0007"/>
    <x v="4"/>
    <x v="4"/>
    <s v="CUST017"/>
    <s v="PROD002"/>
    <n v="11"/>
    <n v="0.05"/>
    <s v="Completed"/>
    <n v="1.8"/>
    <n v="19.8"/>
    <n v="0.9"/>
    <n v="9.9"/>
    <n v="0.9900000000000001"/>
    <n v="8.91"/>
    <n v="10.89"/>
    <x v="6"/>
    <x v="1"/>
    <x v="1"/>
    <x v="2"/>
    <x v="3"/>
    <s v="1L"/>
  </r>
  <r>
    <s v="ORD0008"/>
    <x v="5"/>
    <x v="5"/>
    <s v="CUST094"/>
    <s v="PROD008"/>
    <n v="6"/>
    <n v="0"/>
    <s v="Pending"/>
    <n v="2.1"/>
    <n v="12.600000000000001"/>
    <n v="1.2"/>
    <n v="7.1999999999999993"/>
    <n v="0"/>
    <n v="5.4000000000000021"/>
    <n v="7.1999999999999993"/>
    <x v="7"/>
    <x v="2"/>
    <x v="0"/>
    <x v="1"/>
    <x v="1"/>
    <s v="500ml"/>
  </r>
  <r>
    <s v="ORD0009"/>
    <x v="6"/>
    <x v="6"/>
    <s v="CUST083"/>
    <s v="PROD006"/>
    <n v="44"/>
    <n v="0"/>
    <s v="Completed"/>
    <n v="1.7"/>
    <n v="74.8"/>
    <n v="0.9"/>
    <n v="39.6"/>
    <n v="0"/>
    <n v="35.199999999999996"/>
    <n v="39.6"/>
    <x v="8"/>
    <x v="3"/>
    <x v="0"/>
    <x v="1"/>
    <x v="3"/>
    <s v="500ml"/>
  </r>
  <r>
    <s v="ORD0010"/>
    <x v="0"/>
    <x v="0"/>
    <s v="CUST050"/>
    <s v="PROD013"/>
    <n v="10"/>
    <n v="0"/>
    <s v="Completed"/>
    <n v="1.8"/>
    <n v="18"/>
    <n v="0.95"/>
    <n v="9.5"/>
    <n v="0"/>
    <n v="8.5"/>
    <n v="9.5"/>
    <x v="9"/>
    <x v="1"/>
    <x v="4"/>
    <x v="0"/>
    <x v="2"/>
    <s v="330ml"/>
  </r>
  <r>
    <s v="ORD0011"/>
    <x v="7"/>
    <x v="7"/>
    <s v="CUST024"/>
    <s v="PROD013"/>
    <n v="45"/>
    <n v="0.05"/>
    <s v="Completed"/>
    <n v="1.8"/>
    <n v="81"/>
    <n v="0.95"/>
    <n v="42.75"/>
    <n v="4.0500000000000007"/>
    <n v="34.200000000000003"/>
    <n v="46.8"/>
    <x v="9"/>
    <x v="1"/>
    <x v="5"/>
    <x v="3"/>
    <x v="1"/>
    <s v="330ml"/>
  </r>
  <r>
    <s v="ORD0012"/>
    <x v="5"/>
    <x v="5"/>
    <s v="CUST003"/>
    <s v="PROD019"/>
    <n v="46"/>
    <n v="0.05"/>
    <s v="Completed"/>
    <n v="1.5"/>
    <n v="69"/>
    <n v="0.8"/>
    <n v="36.800000000000004"/>
    <n v="3.4500000000000006"/>
    <n v="28.749999999999996"/>
    <n v="40.250000000000007"/>
    <x v="10"/>
    <x v="2"/>
    <x v="0"/>
    <x v="3"/>
    <x v="1"/>
    <s v="250ml"/>
  </r>
  <r>
    <s v="ORD0013"/>
    <x v="8"/>
    <x v="8"/>
    <s v="CUST043"/>
    <s v="PROD009"/>
    <n v="15"/>
    <n v="0.05"/>
    <s v="Completed"/>
    <n v="1.9"/>
    <n v="28.5"/>
    <n v="1"/>
    <n v="15"/>
    <n v="1.425"/>
    <n v="12.074999999999999"/>
    <n v="16.425000000000001"/>
    <x v="11"/>
    <x v="1"/>
    <x v="3"/>
    <x v="2"/>
    <x v="4"/>
    <s v="1L"/>
  </r>
  <r>
    <s v="ORD0014"/>
    <x v="9"/>
    <x v="9"/>
    <s v="CUST026"/>
    <s v="PROD016"/>
    <n v="10"/>
    <n v="0.05"/>
    <s v="Completed"/>
    <n v="1.9"/>
    <n v="19"/>
    <n v="0.95"/>
    <n v="9.5"/>
    <n v="0.95"/>
    <n v="8.5500000000000007"/>
    <n v="10.45"/>
    <x v="3"/>
    <x v="1"/>
    <x v="0"/>
    <x v="0"/>
    <x v="3"/>
    <s v="500ml"/>
  </r>
  <r>
    <s v="ORD0015"/>
    <x v="2"/>
    <x v="2"/>
    <s v="CUST082"/>
    <s v="PROD017"/>
    <n v="8"/>
    <n v="0.05"/>
    <s v="Cancelled"/>
    <n v="2.2000000000000002"/>
    <n v="17.600000000000001"/>
    <n v="1.2"/>
    <n v="9.6"/>
    <n v="0.88000000000000012"/>
    <n v="7.1200000000000019"/>
    <n v="10.48"/>
    <x v="0"/>
    <x v="0"/>
    <x v="5"/>
    <x v="1"/>
    <x v="2"/>
    <s v="500ml"/>
  </r>
  <r>
    <s v="ORD0016"/>
    <x v="10"/>
    <x v="10"/>
    <s v="CUST054"/>
    <s v="PROD013"/>
    <n v="29"/>
    <n v="0"/>
    <s v="Completed"/>
    <n v="1.8"/>
    <n v="52.2"/>
    <n v="0.95"/>
    <n v="27.549999999999997"/>
    <n v="0"/>
    <n v="24.650000000000006"/>
    <n v="27.549999999999997"/>
    <x v="9"/>
    <x v="1"/>
    <x v="6"/>
    <x v="3"/>
    <x v="2"/>
    <s v="330ml"/>
  </r>
  <r>
    <s v="ORD0017"/>
    <x v="11"/>
    <x v="11"/>
    <s v="CUST023"/>
    <s v="PROD008"/>
    <n v="12"/>
    <n v="0"/>
    <s v="Completed"/>
    <n v="2.1"/>
    <n v="25.200000000000003"/>
    <n v="1.2"/>
    <n v="14.399999999999999"/>
    <n v="0"/>
    <n v="10.800000000000004"/>
    <n v="14.399999999999999"/>
    <x v="7"/>
    <x v="2"/>
    <x v="7"/>
    <x v="4"/>
    <x v="2"/>
    <s v="500ml"/>
  </r>
  <r>
    <s v="ORD0018"/>
    <x v="12"/>
    <x v="12"/>
    <s v="CUST062"/>
    <s v="PROD017"/>
    <n v="16"/>
    <n v="0.05"/>
    <s v="Completed"/>
    <n v="2.2000000000000002"/>
    <n v="35.200000000000003"/>
    <n v="1.2"/>
    <n v="19.2"/>
    <n v="1.7600000000000002"/>
    <n v="14.240000000000004"/>
    <n v="20.96"/>
    <x v="0"/>
    <x v="0"/>
    <x v="0"/>
    <x v="0"/>
    <x v="3"/>
    <s v="500ml"/>
  </r>
  <r>
    <s v="ORD0019"/>
    <x v="13"/>
    <x v="13"/>
    <s v="CUST013"/>
    <s v="PROD001"/>
    <n v="12"/>
    <n v="0.05"/>
    <s v="Completed"/>
    <n v="1.2"/>
    <n v="14.399999999999999"/>
    <n v="0.6"/>
    <n v="7.1999999999999993"/>
    <n v="0.72"/>
    <n v="6.4799999999999995"/>
    <n v="7.919999999999999"/>
    <x v="2"/>
    <x v="1"/>
    <x v="2"/>
    <x v="5"/>
    <x v="4"/>
    <s v="500ml"/>
  </r>
  <r>
    <s v="ORD0020"/>
    <x v="14"/>
    <x v="14"/>
    <s v="CUST033"/>
    <s v="PROD004"/>
    <n v="5"/>
    <n v="0"/>
    <s v="Pending"/>
    <n v="1.6"/>
    <n v="8"/>
    <n v="0.85"/>
    <n v="4.25"/>
    <n v="0"/>
    <n v="3.75"/>
    <n v="4.25"/>
    <x v="5"/>
    <x v="3"/>
    <x v="6"/>
    <x v="0"/>
    <x v="1"/>
    <s v="500ml"/>
  </r>
  <r>
    <s v="ORD0021"/>
    <x v="15"/>
    <x v="15"/>
    <s v="CUST030"/>
    <s v="PROD004"/>
    <n v="16"/>
    <n v="0"/>
    <s v="Completed"/>
    <n v="1.6"/>
    <n v="25.6"/>
    <n v="0.85"/>
    <n v="13.6"/>
    <n v="0"/>
    <n v="12.000000000000002"/>
    <n v="13.6"/>
    <x v="5"/>
    <x v="3"/>
    <x v="3"/>
    <x v="4"/>
    <x v="0"/>
    <s v="500ml"/>
  </r>
  <r>
    <s v="ORD0022"/>
    <x v="12"/>
    <x v="12"/>
    <s v="CUST039"/>
    <s v="PROD007"/>
    <n v="24"/>
    <n v="0"/>
    <s v="Completed"/>
    <n v="2.5"/>
    <n v="60"/>
    <n v="1.4"/>
    <n v="33.599999999999994"/>
    <n v="0"/>
    <n v="26.400000000000006"/>
    <n v="33.599999999999994"/>
    <x v="12"/>
    <x v="4"/>
    <x v="8"/>
    <x v="2"/>
    <x v="2"/>
    <s v="250ml"/>
  </r>
  <r>
    <s v="ORD0023"/>
    <x v="16"/>
    <x v="16"/>
    <s v="CUST045"/>
    <s v="PROD010"/>
    <n v="12"/>
    <n v="0"/>
    <s v="Pending"/>
    <n v="2.2000000000000002"/>
    <n v="26.400000000000002"/>
    <n v="1.3"/>
    <n v="15.600000000000001"/>
    <n v="0"/>
    <n v="10.8"/>
    <n v="15.600000000000001"/>
    <x v="13"/>
    <x v="0"/>
    <x v="2"/>
    <x v="2"/>
    <x v="0"/>
    <s v="500ml"/>
  </r>
  <r>
    <s v="ORD0024"/>
    <x v="17"/>
    <x v="17"/>
    <s v="CUST011"/>
    <s v="PROD019"/>
    <n v="41"/>
    <n v="0"/>
    <s v="Completed"/>
    <n v="1.5"/>
    <n v="61.5"/>
    <n v="0.8"/>
    <n v="32.800000000000004"/>
    <n v="0"/>
    <n v="28.699999999999996"/>
    <n v="32.800000000000004"/>
    <x v="10"/>
    <x v="2"/>
    <x v="9"/>
    <x v="4"/>
    <x v="2"/>
    <s v="250ml"/>
  </r>
  <r>
    <s v="ORD0025"/>
    <x v="14"/>
    <x v="14"/>
    <s v="CUST097"/>
    <s v="PROD016"/>
    <n v="22"/>
    <n v="0.1"/>
    <s v="Completed"/>
    <n v="1.9"/>
    <n v="41.8"/>
    <n v="0.95"/>
    <n v="20.9"/>
    <n v="4.18"/>
    <n v="16.72"/>
    <n v="25.08"/>
    <x v="3"/>
    <x v="1"/>
    <x v="1"/>
    <x v="0"/>
    <x v="0"/>
    <s v="500ml"/>
  </r>
  <r>
    <s v="ORD0026"/>
    <x v="18"/>
    <x v="18"/>
    <s v="CUST079"/>
    <s v="PROD013"/>
    <n v="9"/>
    <n v="0.05"/>
    <s v="Completed"/>
    <n v="1.8"/>
    <n v="16.2"/>
    <n v="0.95"/>
    <n v="8.5499999999999989"/>
    <n v="0.81"/>
    <n v="6.84"/>
    <n v="9.36"/>
    <x v="9"/>
    <x v="1"/>
    <x v="10"/>
    <x v="0"/>
    <x v="2"/>
    <s v="330ml"/>
  </r>
  <r>
    <s v="ORD0027"/>
    <x v="19"/>
    <x v="19"/>
    <s v="CUST072"/>
    <s v="PROD017"/>
    <n v="5"/>
    <n v="0.05"/>
    <s v="Completed"/>
    <n v="2.2000000000000002"/>
    <n v="11"/>
    <n v="1.2"/>
    <n v="6"/>
    <n v="0.55000000000000004"/>
    <n v="4.45"/>
    <n v="6.55"/>
    <x v="0"/>
    <x v="0"/>
    <x v="11"/>
    <x v="3"/>
    <x v="1"/>
    <s v="500ml"/>
  </r>
  <r>
    <s v="ORD0028"/>
    <x v="20"/>
    <x v="20"/>
    <s v="CUST085"/>
    <s v="PROD007"/>
    <n v="22"/>
    <n v="0"/>
    <s v="Pending"/>
    <n v="2.5"/>
    <n v="55"/>
    <n v="1.4"/>
    <n v="30.799999999999997"/>
    <n v="0"/>
    <n v="24.200000000000003"/>
    <n v="30.799999999999997"/>
    <x v="12"/>
    <x v="4"/>
    <x v="8"/>
    <x v="4"/>
    <x v="2"/>
    <s v="250ml"/>
  </r>
  <r>
    <s v="ORD0029"/>
    <x v="21"/>
    <x v="21"/>
    <s v="CUST093"/>
    <s v="PROD003"/>
    <n v="38"/>
    <n v="0.05"/>
    <s v="Pending"/>
    <n v="1.5"/>
    <n v="57"/>
    <n v="0.8"/>
    <n v="30.400000000000002"/>
    <n v="2.8500000000000005"/>
    <n v="23.749999999999996"/>
    <n v="33.25"/>
    <x v="14"/>
    <x v="3"/>
    <x v="9"/>
    <x v="2"/>
    <x v="2"/>
    <s v="330ml"/>
  </r>
  <r>
    <s v="ORD0030"/>
    <x v="22"/>
    <x v="22"/>
    <s v="CUST049"/>
    <s v="PROD005"/>
    <n v="33"/>
    <n v="0"/>
    <s v="Pending"/>
    <n v="2"/>
    <n v="66"/>
    <n v="1.1000000000000001"/>
    <n v="36.300000000000004"/>
    <n v="0"/>
    <n v="29.699999999999996"/>
    <n v="36.300000000000004"/>
    <x v="4"/>
    <x v="2"/>
    <x v="8"/>
    <x v="3"/>
    <x v="2"/>
    <s v="1L"/>
  </r>
  <r>
    <s v="ORD0031"/>
    <x v="21"/>
    <x v="21"/>
    <s v="CUST054"/>
    <s v="PROD013"/>
    <n v="38"/>
    <n v="0"/>
    <s v="Completed"/>
    <n v="1.8"/>
    <n v="68.400000000000006"/>
    <n v="0.95"/>
    <n v="36.1"/>
    <n v="0"/>
    <n v="32.300000000000004"/>
    <n v="36.1"/>
    <x v="9"/>
    <x v="1"/>
    <x v="6"/>
    <x v="3"/>
    <x v="2"/>
    <s v="330ml"/>
  </r>
  <r>
    <s v="ORD0032"/>
    <x v="16"/>
    <x v="16"/>
    <s v="CUST066"/>
    <s v="PROD011"/>
    <n v="29"/>
    <n v="0"/>
    <s v="Pending"/>
    <n v="2.2999999999999998"/>
    <n v="66.699999999999989"/>
    <n v="1.25"/>
    <n v="36.25"/>
    <n v="0"/>
    <n v="30.449999999999989"/>
    <n v="36.25"/>
    <x v="15"/>
    <x v="2"/>
    <x v="1"/>
    <x v="0"/>
    <x v="2"/>
    <s v="1L"/>
  </r>
  <r>
    <s v="ORD0033"/>
    <x v="23"/>
    <x v="23"/>
    <s v="CUST061"/>
    <s v="PROD010"/>
    <n v="43"/>
    <n v="0"/>
    <s v="Completed"/>
    <n v="2.2000000000000002"/>
    <n v="94.600000000000009"/>
    <n v="1.3"/>
    <n v="55.9"/>
    <n v="0"/>
    <n v="38.70000000000001"/>
    <n v="55.9"/>
    <x v="13"/>
    <x v="0"/>
    <x v="0"/>
    <x v="0"/>
    <x v="0"/>
    <s v="500ml"/>
  </r>
  <r>
    <s v="ORD0034"/>
    <x v="12"/>
    <x v="12"/>
    <s v="CUST091"/>
    <s v="PROD008"/>
    <n v="11"/>
    <n v="0"/>
    <s v="Completed"/>
    <n v="2.1"/>
    <n v="23.1"/>
    <n v="1.2"/>
    <n v="13.2"/>
    <n v="0"/>
    <n v="9.9000000000000021"/>
    <n v="13.2"/>
    <x v="7"/>
    <x v="2"/>
    <x v="4"/>
    <x v="0"/>
    <x v="2"/>
    <s v="500ml"/>
  </r>
  <r>
    <s v="ORD0035"/>
    <x v="15"/>
    <x v="15"/>
    <s v="CUST060"/>
    <s v="PROD018"/>
    <n v="12"/>
    <n v="0"/>
    <s v="Completed"/>
    <n v="1.7"/>
    <n v="20.399999999999999"/>
    <n v="0.9"/>
    <n v="10.8"/>
    <n v="0"/>
    <n v="9.5999999999999979"/>
    <n v="10.8"/>
    <x v="16"/>
    <x v="3"/>
    <x v="1"/>
    <x v="1"/>
    <x v="1"/>
    <s v="330ml"/>
  </r>
  <r>
    <s v="ORD0036"/>
    <x v="24"/>
    <x v="24"/>
    <s v="CUST099"/>
    <s v="PROD020"/>
    <n v="35"/>
    <n v="0"/>
    <s v="Completed"/>
    <n v="1.4"/>
    <n v="49"/>
    <n v="0.7"/>
    <n v="24.5"/>
    <n v="0"/>
    <n v="24.5"/>
    <n v="24.5"/>
    <x v="17"/>
    <x v="1"/>
    <x v="10"/>
    <x v="0"/>
    <x v="0"/>
    <s v="500ml"/>
  </r>
  <r>
    <s v="ORD0037"/>
    <x v="25"/>
    <x v="25"/>
    <s v="CUST021"/>
    <s v="PROD012"/>
    <n v="27"/>
    <n v="0"/>
    <s v="Completed"/>
    <n v="2"/>
    <n v="54"/>
    <n v="1"/>
    <n v="27"/>
    <n v="0"/>
    <n v="27"/>
    <n v="27"/>
    <x v="1"/>
    <x v="1"/>
    <x v="12"/>
    <x v="5"/>
    <x v="4"/>
    <s v="1.5L"/>
  </r>
  <r>
    <s v="ORD0038"/>
    <x v="0"/>
    <x v="0"/>
    <s v="CUST052"/>
    <s v="PROD008"/>
    <n v="13"/>
    <n v="0"/>
    <s v="Completed"/>
    <n v="2.1"/>
    <n v="27.3"/>
    <n v="1.2"/>
    <n v="15.6"/>
    <n v="0"/>
    <n v="11.700000000000001"/>
    <n v="15.6"/>
    <x v="7"/>
    <x v="2"/>
    <x v="2"/>
    <x v="4"/>
    <x v="2"/>
    <s v="500ml"/>
  </r>
  <r>
    <s v="ORD0039"/>
    <x v="19"/>
    <x v="19"/>
    <s v="CUST039"/>
    <s v="PROD001"/>
    <n v="41"/>
    <n v="0.1"/>
    <s v="Completed"/>
    <n v="1.2"/>
    <n v="49.199999999999996"/>
    <n v="0.6"/>
    <n v="24.599999999999998"/>
    <n v="4.92"/>
    <n v="19.68"/>
    <n v="29.519999999999996"/>
    <x v="2"/>
    <x v="1"/>
    <x v="8"/>
    <x v="2"/>
    <x v="2"/>
    <s v="500ml"/>
  </r>
  <r>
    <s v="ORD0040"/>
    <x v="26"/>
    <x v="26"/>
    <s v="CUST077"/>
    <s v="PROD007"/>
    <n v="48"/>
    <n v="0"/>
    <s v="Completed"/>
    <n v="2.5"/>
    <n v="120"/>
    <n v="1.4"/>
    <n v="67.199999999999989"/>
    <n v="0"/>
    <n v="52.800000000000011"/>
    <n v="67.199999999999989"/>
    <x v="12"/>
    <x v="4"/>
    <x v="10"/>
    <x v="3"/>
    <x v="0"/>
    <s v="250ml"/>
  </r>
  <r>
    <s v="ORD0041"/>
    <x v="16"/>
    <x v="16"/>
    <s v="CUST099"/>
    <s v="PROD014"/>
    <n v="40"/>
    <n v="0.05"/>
    <s v="Completed"/>
    <n v="1.6"/>
    <n v="64"/>
    <n v="0.85"/>
    <n v="34"/>
    <n v="3.2000000000000006"/>
    <n v="26.8"/>
    <n v="37.200000000000003"/>
    <x v="18"/>
    <x v="3"/>
    <x v="10"/>
    <x v="0"/>
    <x v="0"/>
    <s v="330ml"/>
  </r>
  <r>
    <s v="ORD0042"/>
    <x v="19"/>
    <x v="19"/>
    <s v="CUST041"/>
    <s v="PROD017"/>
    <n v="32"/>
    <n v="0.05"/>
    <s v="Pending"/>
    <n v="2.2000000000000002"/>
    <n v="70.400000000000006"/>
    <n v="1.2"/>
    <n v="38.4"/>
    <n v="3.5200000000000005"/>
    <n v="28.480000000000008"/>
    <n v="41.92"/>
    <x v="0"/>
    <x v="0"/>
    <x v="5"/>
    <x v="4"/>
    <x v="2"/>
    <s v="500ml"/>
  </r>
  <r>
    <s v="ORD0043"/>
    <x v="19"/>
    <x v="19"/>
    <s v="CUST050"/>
    <s v="PROD016"/>
    <n v="8"/>
    <n v="0"/>
    <s v="Completed"/>
    <n v="1.9"/>
    <n v="15.2"/>
    <n v="0.95"/>
    <n v="7.6"/>
    <n v="0"/>
    <n v="7.6"/>
    <n v="7.6"/>
    <x v="3"/>
    <x v="1"/>
    <x v="4"/>
    <x v="0"/>
    <x v="2"/>
    <s v="500ml"/>
  </r>
  <r>
    <s v="ORD0044"/>
    <x v="5"/>
    <x v="5"/>
    <s v="CUST087"/>
    <s v="PROD013"/>
    <n v="48"/>
    <n v="0"/>
    <s v="Cancelled"/>
    <n v="1.8"/>
    <n v="86.4"/>
    <n v="0.95"/>
    <n v="45.599999999999994"/>
    <n v="0"/>
    <n v="40.800000000000011"/>
    <n v="45.599999999999994"/>
    <x v="9"/>
    <x v="1"/>
    <x v="2"/>
    <x v="2"/>
    <x v="4"/>
    <s v="330ml"/>
  </r>
  <r>
    <s v="ORD0045"/>
    <x v="3"/>
    <x v="3"/>
    <s v="CUST095"/>
    <s v="PROD002"/>
    <n v="24"/>
    <n v="0.05"/>
    <s v="Completed"/>
    <n v="1.8"/>
    <n v="43.2"/>
    <n v="0.9"/>
    <n v="21.6"/>
    <n v="2.16"/>
    <n v="19.440000000000001"/>
    <n v="23.76"/>
    <x v="6"/>
    <x v="1"/>
    <x v="2"/>
    <x v="1"/>
    <x v="1"/>
    <s v="1L"/>
  </r>
  <r>
    <s v="ORD0046"/>
    <x v="22"/>
    <x v="22"/>
    <s v="CUST022"/>
    <s v="PROD014"/>
    <n v="42"/>
    <n v="0"/>
    <s v="Pending"/>
    <n v="1.6"/>
    <n v="67.2"/>
    <n v="0.85"/>
    <n v="35.699999999999996"/>
    <n v="0"/>
    <n v="31.500000000000007"/>
    <n v="35.699999999999996"/>
    <x v="18"/>
    <x v="3"/>
    <x v="2"/>
    <x v="4"/>
    <x v="2"/>
    <s v="330ml"/>
  </r>
  <r>
    <s v="ORD0047"/>
    <x v="22"/>
    <x v="22"/>
    <s v="CUST078"/>
    <s v="PROD011"/>
    <n v="32"/>
    <n v="0"/>
    <s v="Completed"/>
    <n v="2.2999999999999998"/>
    <n v="73.599999999999994"/>
    <n v="1.25"/>
    <n v="40"/>
    <n v="0"/>
    <n v="33.599999999999994"/>
    <n v="40"/>
    <x v="15"/>
    <x v="2"/>
    <x v="11"/>
    <x v="0"/>
    <x v="4"/>
    <s v="1L"/>
  </r>
  <r>
    <s v="ORD0048"/>
    <x v="6"/>
    <x v="6"/>
    <s v="CUST030"/>
    <s v="PROD016"/>
    <n v="6"/>
    <n v="0"/>
    <s v="Pending"/>
    <n v="1.9"/>
    <n v="11.399999999999999"/>
    <n v="0.95"/>
    <n v="5.6999999999999993"/>
    <n v="0"/>
    <n v="5.6999999999999993"/>
    <n v="5.6999999999999993"/>
    <x v="3"/>
    <x v="1"/>
    <x v="3"/>
    <x v="4"/>
    <x v="0"/>
    <s v="500ml"/>
  </r>
  <r>
    <s v="ORD0049"/>
    <x v="23"/>
    <x v="23"/>
    <s v="CUST074"/>
    <s v="PROD001"/>
    <n v="45"/>
    <n v="0"/>
    <s v="Completed"/>
    <n v="1.2"/>
    <n v="54"/>
    <n v="0.6"/>
    <n v="27"/>
    <n v="0"/>
    <n v="27"/>
    <n v="27"/>
    <x v="2"/>
    <x v="1"/>
    <x v="8"/>
    <x v="5"/>
    <x v="3"/>
    <s v="500ml"/>
  </r>
  <r>
    <s v="ORD0050"/>
    <x v="22"/>
    <x v="22"/>
    <s v="CUST033"/>
    <s v="PROD019"/>
    <n v="33"/>
    <n v="0"/>
    <s v="Completed"/>
    <n v="1.5"/>
    <n v="49.5"/>
    <n v="0.8"/>
    <n v="26.400000000000002"/>
    <n v="0"/>
    <n v="23.099999999999998"/>
    <n v="26.400000000000002"/>
    <x v="10"/>
    <x v="2"/>
    <x v="6"/>
    <x v="0"/>
    <x v="1"/>
    <s v="250ml"/>
  </r>
  <r>
    <s v="ORD0051"/>
    <x v="21"/>
    <x v="21"/>
    <s v="CUST021"/>
    <s v="PROD010"/>
    <n v="30"/>
    <n v="0"/>
    <s v="Completed"/>
    <n v="2.2000000000000002"/>
    <n v="66"/>
    <n v="1.3"/>
    <n v="39"/>
    <n v="0"/>
    <n v="27"/>
    <n v="39"/>
    <x v="13"/>
    <x v="0"/>
    <x v="12"/>
    <x v="5"/>
    <x v="4"/>
    <s v="500ml"/>
  </r>
  <r>
    <s v="ORD0052"/>
    <x v="11"/>
    <x v="11"/>
    <s v="CUST079"/>
    <s v="PROD018"/>
    <n v="18"/>
    <n v="0"/>
    <s v="Pending"/>
    <n v="1.7"/>
    <n v="30.599999999999998"/>
    <n v="0.9"/>
    <n v="16.2"/>
    <n v="0"/>
    <n v="14.399999999999999"/>
    <n v="16.2"/>
    <x v="16"/>
    <x v="3"/>
    <x v="10"/>
    <x v="0"/>
    <x v="2"/>
    <s v="330ml"/>
  </r>
  <r>
    <s v="ORD0053"/>
    <x v="22"/>
    <x v="22"/>
    <s v="CUST014"/>
    <s v="PROD003"/>
    <n v="39"/>
    <n v="0.05"/>
    <s v="Completed"/>
    <n v="1.5"/>
    <n v="58.5"/>
    <n v="0.8"/>
    <n v="31.200000000000003"/>
    <n v="2.9250000000000003"/>
    <n v="24.374999999999996"/>
    <n v="34.125"/>
    <x v="14"/>
    <x v="3"/>
    <x v="6"/>
    <x v="2"/>
    <x v="3"/>
    <s v="330ml"/>
  </r>
  <r>
    <s v="ORD0054"/>
    <x v="1"/>
    <x v="1"/>
    <s v="CUST065"/>
    <s v="PROD020"/>
    <n v="8"/>
    <n v="0"/>
    <s v="Completed"/>
    <n v="1.4"/>
    <n v="11.2"/>
    <n v="0.7"/>
    <n v="5.6"/>
    <n v="0"/>
    <n v="5.6"/>
    <n v="5.6"/>
    <x v="17"/>
    <x v="1"/>
    <x v="13"/>
    <x v="1"/>
    <x v="1"/>
    <s v="500ml"/>
  </r>
  <r>
    <s v="ORD0055"/>
    <x v="24"/>
    <x v="24"/>
    <s v="CUST039"/>
    <s v="PROD013"/>
    <n v="40"/>
    <n v="0.05"/>
    <s v="Pending"/>
    <n v="1.8"/>
    <n v="72"/>
    <n v="0.95"/>
    <n v="38"/>
    <n v="3.6000000000000005"/>
    <n v="30.4"/>
    <n v="41.6"/>
    <x v="9"/>
    <x v="1"/>
    <x v="8"/>
    <x v="2"/>
    <x v="2"/>
    <s v="330ml"/>
  </r>
  <r>
    <s v="ORD0056"/>
    <x v="5"/>
    <x v="5"/>
    <s v="CUST059"/>
    <s v="PROD001"/>
    <n v="13"/>
    <n v="0"/>
    <s v="Completed"/>
    <n v="1.2"/>
    <n v="15.6"/>
    <n v="0.6"/>
    <n v="7.8"/>
    <n v="0"/>
    <n v="7.8"/>
    <n v="7.8"/>
    <x v="2"/>
    <x v="1"/>
    <x v="3"/>
    <x v="0"/>
    <x v="3"/>
    <s v="500ml"/>
  </r>
  <r>
    <s v="ORD0057"/>
    <x v="14"/>
    <x v="14"/>
    <s v="CUST098"/>
    <s v="PROD003"/>
    <n v="26"/>
    <n v="0"/>
    <s v="Completed"/>
    <n v="1.5"/>
    <n v="39"/>
    <n v="0.8"/>
    <n v="20.8"/>
    <n v="0"/>
    <n v="18.2"/>
    <n v="20.8"/>
    <x v="14"/>
    <x v="3"/>
    <x v="6"/>
    <x v="0"/>
    <x v="4"/>
    <s v="330ml"/>
  </r>
  <r>
    <s v="ORD0058"/>
    <x v="6"/>
    <x v="6"/>
    <s v="CUST024"/>
    <s v="PROD006"/>
    <n v="20"/>
    <n v="0.05"/>
    <s v="Pending"/>
    <n v="1.7"/>
    <n v="34"/>
    <n v="0.9"/>
    <n v="18"/>
    <n v="1.7000000000000002"/>
    <n v="14.3"/>
    <n v="19.7"/>
    <x v="8"/>
    <x v="3"/>
    <x v="5"/>
    <x v="3"/>
    <x v="1"/>
    <s v="500ml"/>
  </r>
  <r>
    <s v="ORD0059"/>
    <x v="1"/>
    <x v="1"/>
    <s v="CUST056"/>
    <s v="PROD018"/>
    <n v="32"/>
    <n v="0"/>
    <s v="Completed"/>
    <n v="1.7"/>
    <n v="54.4"/>
    <n v="0.9"/>
    <n v="28.8"/>
    <n v="0"/>
    <n v="25.599999999999998"/>
    <n v="28.8"/>
    <x v="16"/>
    <x v="3"/>
    <x v="13"/>
    <x v="1"/>
    <x v="2"/>
    <s v="330ml"/>
  </r>
  <r>
    <s v="ORD0060"/>
    <x v="0"/>
    <x v="0"/>
    <s v="CUST027"/>
    <s v="PROD016"/>
    <n v="6"/>
    <n v="0"/>
    <s v="Completed"/>
    <n v="1.9"/>
    <n v="11.399999999999999"/>
    <n v="0.95"/>
    <n v="5.6999999999999993"/>
    <n v="0"/>
    <n v="5.6999999999999993"/>
    <n v="5.6999999999999993"/>
    <x v="3"/>
    <x v="1"/>
    <x v="9"/>
    <x v="3"/>
    <x v="4"/>
    <s v="500ml"/>
  </r>
  <r>
    <s v="ORD0061"/>
    <x v="26"/>
    <x v="26"/>
    <s v="CUST095"/>
    <s v="PROD006"/>
    <n v="24"/>
    <n v="0"/>
    <s v="Completed"/>
    <n v="1.7"/>
    <n v="40.799999999999997"/>
    <n v="0.9"/>
    <n v="21.6"/>
    <n v="0"/>
    <n v="19.199999999999996"/>
    <n v="21.6"/>
    <x v="8"/>
    <x v="3"/>
    <x v="2"/>
    <x v="1"/>
    <x v="1"/>
    <s v="500ml"/>
  </r>
  <r>
    <s v="ORD0062"/>
    <x v="5"/>
    <x v="5"/>
    <s v="CUST068"/>
    <s v="PROD007"/>
    <n v="40"/>
    <n v="0"/>
    <s v="Completed"/>
    <n v="2.5"/>
    <n v="100"/>
    <n v="1.4"/>
    <n v="56"/>
    <n v="0"/>
    <n v="44"/>
    <n v="56"/>
    <x v="12"/>
    <x v="4"/>
    <x v="5"/>
    <x v="3"/>
    <x v="4"/>
    <s v="250ml"/>
  </r>
  <r>
    <s v="ORD0063"/>
    <x v="18"/>
    <x v="18"/>
    <s v="CUST023"/>
    <s v="PROD011"/>
    <n v="5"/>
    <n v="0"/>
    <s v="Pending"/>
    <n v="2.2999999999999998"/>
    <n v="11.5"/>
    <n v="1.25"/>
    <n v="6.25"/>
    <n v="0"/>
    <n v="5.25"/>
    <n v="6.25"/>
    <x v="15"/>
    <x v="2"/>
    <x v="7"/>
    <x v="4"/>
    <x v="2"/>
    <s v="1L"/>
  </r>
  <r>
    <s v="ORD0064"/>
    <x v="3"/>
    <x v="3"/>
    <s v="CUST057"/>
    <s v="PROD020"/>
    <n v="7"/>
    <n v="0"/>
    <s v="Completed"/>
    <n v="1.4"/>
    <n v="9.7999999999999989"/>
    <n v="0.7"/>
    <n v="4.8999999999999995"/>
    <n v="0"/>
    <n v="4.8999999999999995"/>
    <n v="4.8999999999999995"/>
    <x v="17"/>
    <x v="1"/>
    <x v="5"/>
    <x v="2"/>
    <x v="1"/>
    <s v="500ml"/>
  </r>
  <r>
    <s v="ORD0065"/>
    <x v="27"/>
    <x v="27"/>
    <s v="CUST046"/>
    <s v="PROD001"/>
    <n v="40"/>
    <n v="0"/>
    <s v="Completed"/>
    <n v="1.2"/>
    <n v="48"/>
    <n v="0.6"/>
    <n v="24"/>
    <n v="0"/>
    <n v="24"/>
    <n v="24"/>
    <x v="2"/>
    <x v="1"/>
    <x v="14"/>
    <x v="4"/>
    <x v="1"/>
    <s v="500ml"/>
  </r>
  <r>
    <s v="ORD0066"/>
    <x v="18"/>
    <x v="18"/>
    <s v="CUST064"/>
    <s v="PROD016"/>
    <n v="19"/>
    <n v="0"/>
    <s v="Completed"/>
    <n v="1.9"/>
    <n v="36.1"/>
    <n v="0.95"/>
    <n v="18.05"/>
    <n v="0"/>
    <n v="18.05"/>
    <n v="18.05"/>
    <x v="3"/>
    <x v="1"/>
    <x v="15"/>
    <x v="1"/>
    <x v="1"/>
    <s v="500ml"/>
  </r>
  <r>
    <s v="ORD0067"/>
    <x v="1"/>
    <x v="1"/>
    <s v="CUST089"/>
    <s v="PROD006"/>
    <n v="15"/>
    <n v="0"/>
    <s v="Pending"/>
    <n v="1.7"/>
    <n v="25.5"/>
    <n v="0.9"/>
    <n v="13.5"/>
    <n v="0"/>
    <n v="12"/>
    <n v="13.5"/>
    <x v="8"/>
    <x v="3"/>
    <x v="9"/>
    <x v="3"/>
    <x v="0"/>
    <s v="500ml"/>
  </r>
  <r>
    <s v="ORD0068"/>
    <x v="12"/>
    <x v="12"/>
    <s v="CUST071"/>
    <s v="PROD016"/>
    <n v="22"/>
    <n v="0"/>
    <s v="Completed"/>
    <n v="1.9"/>
    <n v="41.8"/>
    <n v="0.95"/>
    <n v="20.9"/>
    <n v="0"/>
    <n v="20.9"/>
    <n v="20.9"/>
    <x v="3"/>
    <x v="1"/>
    <x v="3"/>
    <x v="4"/>
    <x v="0"/>
    <s v="500ml"/>
  </r>
  <r>
    <s v="ORD0069"/>
    <x v="2"/>
    <x v="2"/>
    <s v="CUST020"/>
    <s v="PROD016"/>
    <n v="6"/>
    <n v="0.05"/>
    <s v="Completed"/>
    <n v="1.9"/>
    <n v="11.399999999999999"/>
    <n v="0.95"/>
    <n v="5.6999999999999993"/>
    <n v="0.57000000000000006"/>
    <n v="5.129999999999999"/>
    <n v="6.27"/>
    <x v="3"/>
    <x v="1"/>
    <x v="0"/>
    <x v="2"/>
    <x v="1"/>
    <s v="500ml"/>
  </r>
  <r>
    <s v="ORD0070"/>
    <x v="19"/>
    <x v="19"/>
    <s v="CUST011"/>
    <s v="PROD005"/>
    <n v="31"/>
    <n v="0"/>
    <s v="Completed"/>
    <n v="2"/>
    <n v="62"/>
    <n v="1.1000000000000001"/>
    <n v="34.1"/>
    <n v="0"/>
    <n v="27.9"/>
    <n v="34.1"/>
    <x v="4"/>
    <x v="2"/>
    <x v="9"/>
    <x v="4"/>
    <x v="2"/>
    <s v="1L"/>
  </r>
  <r>
    <s v="ORD0071"/>
    <x v="9"/>
    <x v="9"/>
    <s v="CUST039"/>
    <s v="PROD006"/>
    <n v="38"/>
    <n v="0.05"/>
    <s v="Completed"/>
    <n v="1.7"/>
    <n v="64.599999999999994"/>
    <n v="0.9"/>
    <n v="34.200000000000003"/>
    <n v="3.2300000000000004"/>
    <n v="27.169999999999991"/>
    <n v="37.430000000000007"/>
    <x v="8"/>
    <x v="3"/>
    <x v="8"/>
    <x v="2"/>
    <x v="2"/>
    <s v="500ml"/>
  </r>
  <r>
    <s v="ORD0072"/>
    <x v="22"/>
    <x v="22"/>
    <s v="CUST052"/>
    <s v="PROD005"/>
    <n v="49"/>
    <n v="0"/>
    <s v="Completed"/>
    <n v="2"/>
    <n v="98"/>
    <n v="1.1000000000000001"/>
    <n v="53.900000000000006"/>
    <n v="0"/>
    <n v="44.099999999999994"/>
    <n v="53.900000000000006"/>
    <x v="4"/>
    <x v="2"/>
    <x v="2"/>
    <x v="4"/>
    <x v="2"/>
    <s v="1L"/>
  </r>
  <r>
    <s v="ORD0073"/>
    <x v="10"/>
    <x v="10"/>
    <s v="CUST048"/>
    <s v="PROD018"/>
    <n v="40"/>
    <n v="0.05"/>
    <s v="Completed"/>
    <n v="1.7"/>
    <n v="68"/>
    <n v="0.9"/>
    <n v="36"/>
    <n v="3.4000000000000004"/>
    <n v="28.6"/>
    <n v="39.4"/>
    <x v="16"/>
    <x v="3"/>
    <x v="1"/>
    <x v="1"/>
    <x v="2"/>
    <s v="330ml"/>
  </r>
  <r>
    <s v="ORD0074"/>
    <x v="0"/>
    <x v="0"/>
    <s v="CUST004"/>
    <s v="PROD007"/>
    <n v="38"/>
    <n v="0"/>
    <s v="Completed"/>
    <n v="2.5"/>
    <n v="95"/>
    <n v="1.4"/>
    <n v="53.199999999999996"/>
    <n v="0"/>
    <n v="41.800000000000004"/>
    <n v="53.199999999999996"/>
    <x v="12"/>
    <x v="4"/>
    <x v="12"/>
    <x v="1"/>
    <x v="3"/>
    <s v="250ml"/>
  </r>
  <r>
    <s v="ORD0075"/>
    <x v="11"/>
    <x v="11"/>
    <s v="CUST087"/>
    <s v="PROD008"/>
    <n v="47"/>
    <n v="0"/>
    <s v="Completed"/>
    <n v="2.1"/>
    <n v="98.7"/>
    <n v="1.2"/>
    <n v="56.4"/>
    <n v="0"/>
    <n v="42.300000000000004"/>
    <n v="56.4"/>
    <x v="7"/>
    <x v="2"/>
    <x v="2"/>
    <x v="2"/>
    <x v="4"/>
    <s v="500ml"/>
  </r>
  <r>
    <s v="ORD0076"/>
    <x v="2"/>
    <x v="2"/>
    <s v="CUST054"/>
    <s v="PROD001"/>
    <n v="32"/>
    <n v="0.05"/>
    <s v="Cancelled"/>
    <n v="1.2"/>
    <n v="38.4"/>
    <n v="0.6"/>
    <n v="19.2"/>
    <n v="1.92"/>
    <n v="17.28"/>
    <n v="21.119999999999997"/>
    <x v="2"/>
    <x v="1"/>
    <x v="6"/>
    <x v="3"/>
    <x v="2"/>
    <s v="500ml"/>
  </r>
  <r>
    <s v="ORD0077"/>
    <x v="9"/>
    <x v="9"/>
    <s v="CUST041"/>
    <s v="PROD004"/>
    <n v="30"/>
    <n v="0.05"/>
    <s v="Completed"/>
    <n v="1.6"/>
    <n v="48"/>
    <n v="0.85"/>
    <n v="25.5"/>
    <n v="2.4000000000000004"/>
    <n v="20.100000000000001"/>
    <n v="27.9"/>
    <x v="5"/>
    <x v="3"/>
    <x v="5"/>
    <x v="4"/>
    <x v="2"/>
    <s v="500ml"/>
  </r>
  <r>
    <s v="ORD0078"/>
    <x v="9"/>
    <x v="9"/>
    <s v="CUST058"/>
    <s v="PROD011"/>
    <n v="50"/>
    <n v="0"/>
    <s v="Completed"/>
    <n v="2.2999999999999998"/>
    <n v="114.99999999999999"/>
    <n v="1.25"/>
    <n v="62.5"/>
    <n v="0"/>
    <n v="52.499999999999986"/>
    <n v="62.5"/>
    <x v="15"/>
    <x v="2"/>
    <x v="9"/>
    <x v="0"/>
    <x v="2"/>
    <s v="1L"/>
  </r>
  <r>
    <s v="ORD0079"/>
    <x v="14"/>
    <x v="14"/>
    <s v="CUST058"/>
    <s v="PROD006"/>
    <n v="46"/>
    <n v="0.05"/>
    <s v="Completed"/>
    <n v="1.7"/>
    <n v="78.2"/>
    <n v="0.9"/>
    <n v="41.4"/>
    <n v="3.91"/>
    <n v="32.89"/>
    <n v="45.31"/>
    <x v="8"/>
    <x v="3"/>
    <x v="9"/>
    <x v="0"/>
    <x v="2"/>
    <s v="500ml"/>
  </r>
  <r>
    <s v="ORD0080"/>
    <x v="4"/>
    <x v="4"/>
    <s v="CUST028"/>
    <s v="PROD007"/>
    <n v="40"/>
    <n v="0"/>
    <s v="Pending"/>
    <n v="2.5"/>
    <n v="100"/>
    <n v="1.4"/>
    <n v="56"/>
    <n v="0"/>
    <n v="44"/>
    <n v="56"/>
    <x v="12"/>
    <x v="4"/>
    <x v="14"/>
    <x v="1"/>
    <x v="2"/>
    <s v="250ml"/>
  </r>
  <r>
    <s v="ORD0081"/>
    <x v="1"/>
    <x v="1"/>
    <s v="CUST052"/>
    <s v="PROD020"/>
    <n v="8"/>
    <n v="0.05"/>
    <s v="Completed"/>
    <n v="1.4"/>
    <n v="11.2"/>
    <n v="0.7"/>
    <n v="5.6"/>
    <n v="0.55999999999999994"/>
    <n v="5.04"/>
    <n v="6.1599999999999993"/>
    <x v="17"/>
    <x v="1"/>
    <x v="2"/>
    <x v="4"/>
    <x v="2"/>
    <s v="500ml"/>
  </r>
  <r>
    <s v="ORD0082"/>
    <x v="9"/>
    <x v="9"/>
    <s v="CUST100"/>
    <s v="PROD020"/>
    <n v="13"/>
    <n v="0"/>
    <s v="Completed"/>
    <n v="1.4"/>
    <n v="18.2"/>
    <n v="0.7"/>
    <n v="9.1"/>
    <n v="0"/>
    <n v="9.1"/>
    <n v="9.1"/>
    <x v="17"/>
    <x v="1"/>
    <x v="4"/>
    <x v="0"/>
    <x v="1"/>
    <s v="500ml"/>
  </r>
  <r>
    <s v="ORD0083"/>
    <x v="27"/>
    <x v="27"/>
    <s v="CUST049"/>
    <s v="PROD020"/>
    <n v="29"/>
    <n v="0"/>
    <s v="Completed"/>
    <n v="1.4"/>
    <n v="40.599999999999994"/>
    <n v="0.7"/>
    <n v="20.299999999999997"/>
    <n v="0"/>
    <n v="20.299999999999997"/>
    <n v="20.299999999999997"/>
    <x v="17"/>
    <x v="1"/>
    <x v="8"/>
    <x v="3"/>
    <x v="2"/>
    <s v="500ml"/>
  </r>
  <r>
    <s v="ORD0084"/>
    <x v="20"/>
    <x v="20"/>
    <s v="CUST037"/>
    <s v="PROD004"/>
    <n v="23"/>
    <n v="0.1"/>
    <s v="Completed"/>
    <n v="1.6"/>
    <n v="36.800000000000004"/>
    <n v="0.85"/>
    <n v="19.55"/>
    <n v="3.6800000000000006"/>
    <n v="13.570000000000004"/>
    <n v="23.23"/>
    <x v="5"/>
    <x v="3"/>
    <x v="5"/>
    <x v="1"/>
    <x v="2"/>
    <s v="500ml"/>
  </r>
  <r>
    <s v="ORD0085"/>
    <x v="27"/>
    <x v="27"/>
    <s v="CUST012"/>
    <s v="PROD018"/>
    <n v="47"/>
    <n v="0.05"/>
    <s v="Completed"/>
    <n v="1.7"/>
    <n v="79.899999999999991"/>
    <n v="0.9"/>
    <n v="42.300000000000004"/>
    <n v="3.9950000000000001"/>
    <n v="33.60499999999999"/>
    <n v="46.295000000000002"/>
    <x v="16"/>
    <x v="3"/>
    <x v="13"/>
    <x v="3"/>
    <x v="3"/>
    <s v="330ml"/>
  </r>
  <r>
    <s v="ORD0086"/>
    <x v="11"/>
    <x v="11"/>
    <s v="CUST042"/>
    <s v="PROD007"/>
    <n v="5"/>
    <n v="0.05"/>
    <s v="Pending"/>
    <n v="2.5"/>
    <n v="12.5"/>
    <n v="1.4"/>
    <n v="7"/>
    <n v="0.625"/>
    <n v="4.875"/>
    <n v="7.625"/>
    <x v="12"/>
    <x v="4"/>
    <x v="10"/>
    <x v="2"/>
    <x v="0"/>
    <s v="250ml"/>
  </r>
  <r>
    <s v="ORD0087"/>
    <x v="16"/>
    <x v="16"/>
    <s v="CUST038"/>
    <s v="PROD015"/>
    <n v="48"/>
    <n v="0"/>
    <s v="Completed"/>
    <n v="2.4"/>
    <n v="115.19999999999999"/>
    <n v="1.35"/>
    <n v="64.800000000000011"/>
    <n v="0"/>
    <n v="50.399999999999977"/>
    <n v="64.800000000000011"/>
    <x v="19"/>
    <x v="2"/>
    <x v="3"/>
    <x v="2"/>
    <x v="2"/>
    <s v="1L"/>
  </r>
  <r>
    <s v="ORD0088"/>
    <x v="22"/>
    <x v="22"/>
    <s v="CUST021"/>
    <s v="PROD008"/>
    <n v="28"/>
    <n v="0"/>
    <s v="Completed"/>
    <n v="2.1"/>
    <n v="58.800000000000004"/>
    <n v="1.2"/>
    <n v="33.6"/>
    <n v="0"/>
    <n v="25.200000000000003"/>
    <n v="33.6"/>
    <x v="7"/>
    <x v="2"/>
    <x v="12"/>
    <x v="5"/>
    <x v="4"/>
    <s v="500ml"/>
  </r>
  <r>
    <s v="ORD0089"/>
    <x v="26"/>
    <x v="26"/>
    <s v="CUST049"/>
    <s v="PROD013"/>
    <n v="13"/>
    <n v="0"/>
    <s v="Completed"/>
    <n v="1.8"/>
    <n v="23.400000000000002"/>
    <n v="0.95"/>
    <n v="12.35"/>
    <n v="0"/>
    <n v="11.050000000000002"/>
    <n v="12.35"/>
    <x v="9"/>
    <x v="1"/>
    <x v="8"/>
    <x v="3"/>
    <x v="2"/>
    <s v="330ml"/>
  </r>
  <r>
    <s v="ORD0090"/>
    <x v="28"/>
    <x v="28"/>
    <s v="CUST014"/>
    <s v="PROD006"/>
    <n v="22"/>
    <n v="0"/>
    <s v="Completed"/>
    <n v="1.7"/>
    <n v="37.4"/>
    <n v="0.9"/>
    <n v="19.8"/>
    <n v="0"/>
    <n v="17.599999999999998"/>
    <n v="19.8"/>
    <x v="8"/>
    <x v="3"/>
    <x v="6"/>
    <x v="2"/>
    <x v="3"/>
    <s v="500ml"/>
  </r>
  <r>
    <s v="ORD0091"/>
    <x v="18"/>
    <x v="18"/>
    <s v="CUST024"/>
    <s v="PROD017"/>
    <n v="50"/>
    <n v="0"/>
    <s v="Completed"/>
    <n v="2.2000000000000002"/>
    <n v="110.00000000000001"/>
    <n v="1.2"/>
    <n v="60"/>
    <n v="0"/>
    <n v="50.000000000000014"/>
    <n v="60"/>
    <x v="0"/>
    <x v="0"/>
    <x v="5"/>
    <x v="3"/>
    <x v="1"/>
    <s v="500ml"/>
  </r>
  <r>
    <s v="ORD0092"/>
    <x v="16"/>
    <x v="16"/>
    <s v="CUST025"/>
    <s v="PROD012"/>
    <n v="21"/>
    <n v="0.05"/>
    <s v="Completed"/>
    <n v="2"/>
    <n v="42"/>
    <n v="1"/>
    <n v="21"/>
    <n v="2.1"/>
    <n v="18.899999999999999"/>
    <n v="23.1"/>
    <x v="1"/>
    <x v="1"/>
    <x v="3"/>
    <x v="3"/>
    <x v="1"/>
    <s v="1.5L"/>
  </r>
  <r>
    <s v="ORD0093"/>
    <x v="12"/>
    <x v="12"/>
    <s v="CUST018"/>
    <s v="PROD013"/>
    <n v="15"/>
    <n v="0"/>
    <s v="Completed"/>
    <n v="1.8"/>
    <n v="27"/>
    <n v="0.95"/>
    <n v="14.25"/>
    <n v="0"/>
    <n v="12.75"/>
    <n v="14.25"/>
    <x v="9"/>
    <x v="1"/>
    <x v="13"/>
    <x v="2"/>
    <x v="4"/>
    <s v="330ml"/>
  </r>
  <r>
    <s v="ORD0094"/>
    <x v="11"/>
    <x v="11"/>
    <s v="CUST042"/>
    <s v="PROD007"/>
    <n v="18"/>
    <n v="0.1"/>
    <s v="Completed"/>
    <n v="2.5"/>
    <n v="45"/>
    <n v="1.4"/>
    <n v="25.2"/>
    <n v="4.5"/>
    <n v="15.3"/>
    <n v="29.7"/>
    <x v="12"/>
    <x v="4"/>
    <x v="10"/>
    <x v="2"/>
    <x v="0"/>
    <s v="250ml"/>
  </r>
  <r>
    <s v="ORD0095"/>
    <x v="20"/>
    <x v="20"/>
    <s v="CUST072"/>
    <s v="PROD001"/>
    <n v="34"/>
    <n v="0"/>
    <s v="Pending"/>
    <n v="1.2"/>
    <n v="40.799999999999997"/>
    <n v="0.6"/>
    <n v="20.399999999999999"/>
    <n v="0"/>
    <n v="20.399999999999999"/>
    <n v="20.399999999999999"/>
    <x v="2"/>
    <x v="1"/>
    <x v="11"/>
    <x v="3"/>
    <x v="1"/>
    <s v="500ml"/>
  </r>
  <r>
    <s v="ORD0096"/>
    <x v="21"/>
    <x v="21"/>
    <s v="CUST094"/>
    <s v="PROD016"/>
    <n v="38"/>
    <n v="0"/>
    <s v="Completed"/>
    <n v="1.9"/>
    <n v="72.2"/>
    <n v="0.95"/>
    <n v="36.1"/>
    <n v="0"/>
    <n v="36.1"/>
    <n v="36.1"/>
    <x v="3"/>
    <x v="1"/>
    <x v="0"/>
    <x v="1"/>
    <x v="1"/>
    <s v="500ml"/>
  </r>
  <r>
    <s v="ORD0097"/>
    <x v="24"/>
    <x v="24"/>
    <s v="CUST100"/>
    <s v="PROD019"/>
    <n v="36"/>
    <n v="0"/>
    <s v="Completed"/>
    <n v="1.5"/>
    <n v="54"/>
    <n v="0.8"/>
    <n v="28.8"/>
    <n v="0"/>
    <n v="25.2"/>
    <n v="28.8"/>
    <x v="10"/>
    <x v="2"/>
    <x v="4"/>
    <x v="0"/>
    <x v="1"/>
    <s v="250ml"/>
  </r>
  <r>
    <s v="ORD0098"/>
    <x v="5"/>
    <x v="5"/>
    <s v="CUST069"/>
    <s v="PROD006"/>
    <n v="30"/>
    <n v="0"/>
    <s v="Completed"/>
    <n v="1.7"/>
    <n v="51"/>
    <n v="0.9"/>
    <n v="27"/>
    <n v="0"/>
    <n v="24"/>
    <n v="27"/>
    <x v="8"/>
    <x v="3"/>
    <x v="10"/>
    <x v="2"/>
    <x v="0"/>
    <s v="500ml"/>
  </r>
  <r>
    <s v="ORD0099"/>
    <x v="19"/>
    <x v="19"/>
    <s v="CUST019"/>
    <s v="PROD004"/>
    <n v="9"/>
    <n v="0"/>
    <s v="Completed"/>
    <n v="1.6"/>
    <n v="14.4"/>
    <n v="0.85"/>
    <n v="7.6499999999999995"/>
    <n v="0"/>
    <n v="6.7500000000000009"/>
    <n v="7.6499999999999995"/>
    <x v="5"/>
    <x v="3"/>
    <x v="9"/>
    <x v="0"/>
    <x v="3"/>
    <s v="500ml"/>
  </r>
  <r>
    <s v="ORD0100"/>
    <x v="12"/>
    <x v="12"/>
    <s v="CUST037"/>
    <s v="PROD017"/>
    <n v="13"/>
    <n v="0.05"/>
    <s v="Completed"/>
    <n v="2.2000000000000002"/>
    <n v="28.6"/>
    <n v="1.2"/>
    <n v="15.6"/>
    <n v="1.4300000000000002"/>
    <n v="11.570000000000002"/>
    <n v="17.03"/>
    <x v="0"/>
    <x v="0"/>
    <x v="5"/>
    <x v="1"/>
    <x v="2"/>
    <s v="500ml"/>
  </r>
  <r>
    <s v="ORD0101"/>
    <x v="28"/>
    <x v="28"/>
    <s v="CUST054"/>
    <s v="PROD009"/>
    <n v="35"/>
    <n v="0.05"/>
    <s v="Completed"/>
    <n v="1.9"/>
    <n v="66.5"/>
    <n v="1"/>
    <n v="35"/>
    <n v="3.3250000000000002"/>
    <n v="28.175000000000001"/>
    <n v="38.325000000000003"/>
    <x v="11"/>
    <x v="1"/>
    <x v="6"/>
    <x v="3"/>
    <x v="2"/>
    <s v="1L"/>
  </r>
  <r>
    <s v="ORD0102"/>
    <x v="15"/>
    <x v="15"/>
    <s v="CUST005"/>
    <s v="PROD017"/>
    <n v="32"/>
    <n v="0"/>
    <s v="Completed"/>
    <n v="2.2000000000000002"/>
    <n v="70.400000000000006"/>
    <n v="1.2"/>
    <n v="38.4"/>
    <n v="0"/>
    <n v="32.000000000000007"/>
    <n v="38.4"/>
    <x v="0"/>
    <x v="0"/>
    <x v="3"/>
    <x v="4"/>
    <x v="3"/>
    <s v="500ml"/>
  </r>
  <r>
    <s v="ORD0103"/>
    <x v="25"/>
    <x v="25"/>
    <s v="CUST036"/>
    <s v="PROD016"/>
    <n v="39"/>
    <n v="0"/>
    <s v="Completed"/>
    <n v="1.9"/>
    <n v="74.099999999999994"/>
    <n v="0.95"/>
    <n v="37.049999999999997"/>
    <n v="0"/>
    <n v="37.049999999999997"/>
    <n v="37.049999999999997"/>
    <x v="3"/>
    <x v="1"/>
    <x v="12"/>
    <x v="1"/>
    <x v="1"/>
    <s v="500ml"/>
  </r>
  <r>
    <s v="ORD0104"/>
    <x v="21"/>
    <x v="21"/>
    <s v="CUST028"/>
    <s v="PROD008"/>
    <n v="15"/>
    <n v="0.05"/>
    <s v="Completed"/>
    <n v="2.1"/>
    <n v="31.5"/>
    <n v="1.2"/>
    <n v="18"/>
    <n v="1.5750000000000002"/>
    <n v="11.925000000000001"/>
    <n v="19.574999999999999"/>
    <x v="7"/>
    <x v="2"/>
    <x v="14"/>
    <x v="1"/>
    <x v="2"/>
    <s v="500ml"/>
  </r>
  <r>
    <s v="ORD0105"/>
    <x v="12"/>
    <x v="12"/>
    <s v="CUST029"/>
    <s v="PROD011"/>
    <n v="19"/>
    <n v="0"/>
    <s v="Completed"/>
    <n v="2.2999999999999998"/>
    <n v="43.699999999999996"/>
    <n v="1.25"/>
    <n v="23.75"/>
    <n v="0"/>
    <n v="19.949999999999996"/>
    <n v="23.75"/>
    <x v="15"/>
    <x v="2"/>
    <x v="2"/>
    <x v="2"/>
    <x v="0"/>
    <s v="1L"/>
  </r>
  <r>
    <s v="ORD0106"/>
    <x v="7"/>
    <x v="7"/>
    <s v="CUST041"/>
    <s v="PROD019"/>
    <n v="38"/>
    <n v="0.1"/>
    <s v="Completed"/>
    <n v="1.5"/>
    <n v="57"/>
    <n v="0.8"/>
    <n v="30.400000000000002"/>
    <n v="5.7000000000000011"/>
    <n v="20.9"/>
    <n v="36.1"/>
    <x v="10"/>
    <x v="2"/>
    <x v="5"/>
    <x v="4"/>
    <x v="2"/>
    <s v="250ml"/>
  </r>
  <r>
    <s v="ORD0107"/>
    <x v="1"/>
    <x v="1"/>
    <s v="CUST015"/>
    <s v="PROD019"/>
    <n v="19"/>
    <n v="0"/>
    <s v="Completed"/>
    <n v="1.5"/>
    <n v="28.5"/>
    <n v="0.8"/>
    <n v="15.200000000000001"/>
    <n v="0"/>
    <n v="13.299999999999999"/>
    <n v="15.200000000000001"/>
    <x v="10"/>
    <x v="2"/>
    <x v="5"/>
    <x v="0"/>
    <x v="0"/>
    <s v="250ml"/>
  </r>
  <r>
    <s v="ORD0108"/>
    <x v="5"/>
    <x v="5"/>
    <s v="CUST033"/>
    <s v="PROD012"/>
    <n v="13"/>
    <n v="0"/>
    <s v="Completed"/>
    <n v="2"/>
    <n v="26"/>
    <n v="1"/>
    <n v="13"/>
    <n v="0"/>
    <n v="13"/>
    <n v="13"/>
    <x v="1"/>
    <x v="1"/>
    <x v="6"/>
    <x v="0"/>
    <x v="1"/>
    <s v="1.5L"/>
  </r>
  <r>
    <s v="ORD0109"/>
    <x v="10"/>
    <x v="10"/>
    <s v="CUST059"/>
    <s v="PROD003"/>
    <n v="43"/>
    <n v="0"/>
    <s v="Completed"/>
    <n v="1.5"/>
    <n v="64.5"/>
    <n v="0.8"/>
    <n v="34.4"/>
    <n v="0"/>
    <n v="30.1"/>
    <n v="34.4"/>
    <x v="14"/>
    <x v="3"/>
    <x v="3"/>
    <x v="0"/>
    <x v="3"/>
    <s v="330ml"/>
  </r>
  <r>
    <s v="ORD0110"/>
    <x v="2"/>
    <x v="2"/>
    <s v="CUST059"/>
    <s v="PROD015"/>
    <n v="28"/>
    <n v="0.05"/>
    <s v="Pending"/>
    <n v="2.4"/>
    <n v="67.2"/>
    <n v="1.35"/>
    <n v="37.800000000000004"/>
    <n v="3.36"/>
    <n v="26.04"/>
    <n v="41.160000000000004"/>
    <x v="19"/>
    <x v="2"/>
    <x v="3"/>
    <x v="0"/>
    <x v="3"/>
    <s v="1L"/>
  </r>
  <r>
    <s v="ORD0111"/>
    <x v="4"/>
    <x v="4"/>
    <s v="CUST016"/>
    <s v="PROD020"/>
    <n v="28"/>
    <n v="0.05"/>
    <s v="Completed"/>
    <n v="1.4"/>
    <n v="39.199999999999996"/>
    <n v="0.7"/>
    <n v="19.599999999999998"/>
    <n v="1.9599999999999997"/>
    <n v="17.639999999999997"/>
    <n v="21.56"/>
    <x v="17"/>
    <x v="1"/>
    <x v="1"/>
    <x v="3"/>
    <x v="4"/>
    <s v="500ml"/>
  </r>
  <r>
    <s v="ORD0112"/>
    <x v="17"/>
    <x v="17"/>
    <s v="CUST092"/>
    <s v="PROD011"/>
    <n v="14"/>
    <n v="0"/>
    <s v="Completed"/>
    <n v="2.2999999999999998"/>
    <n v="32.199999999999996"/>
    <n v="1.25"/>
    <n v="17.5"/>
    <n v="0"/>
    <n v="14.699999999999996"/>
    <n v="17.5"/>
    <x v="15"/>
    <x v="2"/>
    <x v="15"/>
    <x v="2"/>
    <x v="4"/>
    <s v="1L"/>
  </r>
  <r>
    <s v="ORD0113"/>
    <x v="10"/>
    <x v="10"/>
    <s v="CUST024"/>
    <s v="PROD007"/>
    <n v="26"/>
    <n v="0"/>
    <s v="Completed"/>
    <n v="2.5"/>
    <n v="65"/>
    <n v="1.4"/>
    <n v="36.4"/>
    <n v="0"/>
    <n v="28.6"/>
    <n v="36.4"/>
    <x v="12"/>
    <x v="4"/>
    <x v="5"/>
    <x v="3"/>
    <x v="1"/>
    <s v="250ml"/>
  </r>
  <r>
    <s v="ORD0114"/>
    <x v="15"/>
    <x v="15"/>
    <s v="CUST077"/>
    <s v="PROD002"/>
    <n v="5"/>
    <n v="0"/>
    <s v="Completed"/>
    <n v="1.8"/>
    <n v="9"/>
    <n v="0.9"/>
    <n v="4.5"/>
    <n v="0"/>
    <n v="4.5"/>
    <n v="4.5"/>
    <x v="6"/>
    <x v="1"/>
    <x v="10"/>
    <x v="3"/>
    <x v="0"/>
    <s v="1L"/>
  </r>
  <r>
    <s v="ORD0115"/>
    <x v="29"/>
    <x v="29"/>
    <s v="CUST072"/>
    <s v="PROD014"/>
    <n v="39"/>
    <n v="0.05"/>
    <s v="Completed"/>
    <n v="1.6"/>
    <n v="62.400000000000006"/>
    <n v="0.85"/>
    <n v="33.15"/>
    <n v="3.1200000000000006"/>
    <n v="26.130000000000006"/>
    <n v="36.269999999999996"/>
    <x v="18"/>
    <x v="3"/>
    <x v="11"/>
    <x v="3"/>
    <x v="1"/>
    <s v="330ml"/>
  </r>
  <r>
    <s v="ORD0116"/>
    <x v="25"/>
    <x v="25"/>
    <s v="CUST070"/>
    <s v="PROD010"/>
    <n v="38"/>
    <n v="0"/>
    <s v="Completed"/>
    <n v="2.2000000000000002"/>
    <n v="83.600000000000009"/>
    <n v="1.3"/>
    <n v="49.4"/>
    <n v="0"/>
    <n v="34.20000000000001"/>
    <n v="49.4"/>
    <x v="13"/>
    <x v="0"/>
    <x v="13"/>
    <x v="4"/>
    <x v="2"/>
    <s v="500ml"/>
  </r>
  <r>
    <s v="ORD0117"/>
    <x v="26"/>
    <x v="26"/>
    <s v="CUST007"/>
    <s v="PROD013"/>
    <n v="43"/>
    <n v="0.05"/>
    <s v="Completed"/>
    <n v="1.8"/>
    <n v="77.400000000000006"/>
    <n v="0.95"/>
    <n v="40.85"/>
    <n v="3.8700000000000006"/>
    <n v="32.680000000000007"/>
    <n v="44.72"/>
    <x v="9"/>
    <x v="1"/>
    <x v="0"/>
    <x v="0"/>
    <x v="0"/>
    <s v="330ml"/>
  </r>
  <r>
    <s v="ORD0118"/>
    <x v="15"/>
    <x v="15"/>
    <s v="CUST050"/>
    <s v="PROD017"/>
    <n v="17"/>
    <n v="0"/>
    <s v="Pending"/>
    <n v="2.2000000000000002"/>
    <n v="37.400000000000006"/>
    <n v="1.2"/>
    <n v="20.399999999999999"/>
    <n v="0"/>
    <n v="17.000000000000007"/>
    <n v="20.399999999999999"/>
    <x v="0"/>
    <x v="0"/>
    <x v="4"/>
    <x v="0"/>
    <x v="2"/>
    <s v="500ml"/>
  </r>
  <r>
    <s v="ORD0119"/>
    <x v="21"/>
    <x v="21"/>
    <s v="CUST008"/>
    <s v="PROD015"/>
    <n v="41"/>
    <n v="0"/>
    <s v="Completed"/>
    <n v="2.4"/>
    <n v="98.399999999999991"/>
    <n v="1.35"/>
    <n v="55.35"/>
    <n v="0"/>
    <n v="43.04999999999999"/>
    <n v="55.35"/>
    <x v="19"/>
    <x v="2"/>
    <x v="3"/>
    <x v="0"/>
    <x v="2"/>
    <s v="1L"/>
  </r>
  <r>
    <s v="ORD0120"/>
    <x v="4"/>
    <x v="4"/>
    <s v="CUST022"/>
    <s v="PROD008"/>
    <n v="20"/>
    <n v="0.05"/>
    <s v="Completed"/>
    <n v="2.1"/>
    <n v="42"/>
    <n v="1.2"/>
    <n v="24"/>
    <n v="2.1"/>
    <n v="15.9"/>
    <n v="26.1"/>
    <x v="7"/>
    <x v="2"/>
    <x v="2"/>
    <x v="4"/>
    <x v="2"/>
    <s v="500ml"/>
  </r>
  <r>
    <s v="ORD0121"/>
    <x v="4"/>
    <x v="4"/>
    <s v="CUST019"/>
    <s v="PROD009"/>
    <n v="25"/>
    <n v="0"/>
    <s v="Completed"/>
    <n v="1.9"/>
    <n v="47.5"/>
    <n v="1"/>
    <n v="25"/>
    <n v="0"/>
    <n v="22.5"/>
    <n v="25"/>
    <x v="11"/>
    <x v="1"/>
    <x v="9"/>
    <x v="0"/>
    <x v="3"/>
    <s v="1L"/>
  </r>
  <r>
    <s v="ORD0122"/>
    <x v="5"/>
    <x v="5"/>
    <s v="CUST082"/>
    <s v="PROD020"/>
    <n v="26"/>
    <n v="0.05"/>
    <s v="Completed"/>
    <n v="1.4"/>
    <n v="36.4"/>
    <n v="0.7"/>
    <n v="18.2"/>
    <n v="1.8199999999999998"/>
    <n v="16.38"/>
    <n v="20.02"/>
    <x v="17"/>
    <x v="1"/>
    <x v="5"/>
    <x v="1"/>
    <x v="2"/>
    <s v="500ml"/>
  </r>
  <r>
    <s v="ORD0123"/>
    <x v="20"/>
    <x v="20"/>
    <s v="CUST018"/>
    <s v="PROD020"/>
    <n v="19"/>
    <n v="0"/>
    <s v="Completed"/>
    <n v="1.4"/>
    <n v="26.599999999999998"/>
    <n v="0.7"/>
    <n v="13.299999999999999"/>
    <n v="0"/>
    <n v="13.299999999999999"/>
    <n v="13.299999999999999"/>
    <x v="17"/>
    <x v="1"/>
    <x v="13"/>
    <x v="2"/>
    <x v="4"/>
    <s v="500ml"/>
  </r>
  <r>
    <s v="ORD0124"/>
    <x v="7"/>
    <x v="7"/>
    <s v="CUST092"/>
    <s v="PROD005"/>
    <n v="24"/>
    <n v="0.05"/>
    <s v="Pending"/>
    <n v="2"/>
    <n v="48"/>
    <n v="1.1000000000000001"/>
    <n v="26.400000000000002"/>
    <n v="2.4000000000000004"/>
    <n v="19.199999999999996"/>
    <n v="28.800000000000004"/>
    <x v="4"/>
    <x v="2"/>
    <x v="15"/>
    <x v="2"/>
    <x v="4"/>
    <s v="1L"/>
  </r>
  <r>
    <s v="ORD0125"/>
    <x v="14"/>
    <x v="14"/>
    <s v="CUST011"/>
    <s v="PROD019"/>
    <n v="49"/>
    <n v="0"/>
    <s v="Completed"/>
    <n v="1.5"/>
    <n v="73.5"/>
    <n v="0.8"/>
    <n v="39.200000000000003"/>
    <n v="0"/>
    <n v="34.299999999999997"/>
    <n v="39.200000000000003"/>
    <x v="10"/>
    <x v="2"/>
    <x v="9"/>
    <x v="4"/>
    <x v="2"/>
    <s v="250ml"/>
  </r>
  <r>
    <s v="ORD0126"/>
    <x v="18"/>
    <x v="18"/>
    <s v="CUST052"/>
    <s v="PROD016"/>
    <n v="36"/>
    <n v="0"/>
    <s v="Completed"/>
    <n v="1.9"/>
    <n v="68.399999999999991"/>
    <n v="0.95"/>
    <n v="34.199999999999996"/>
    <n v="0"/>
    <n v="34.199999999999996"/>
    <n v="34.199999999999996"/>
    <x v="3"/>
    <x v="1"/>
    <x v="2"/>
    <x v="4"/>
    <x v="2"/>
    <s v="500ml"/>
  </r>
  <r>
    <s v="ORD0127"/>
    <x v="26"/>
    <x v="26"/>
    <s v="CUST053"/>
    <s v="PROD020"/>
    <n v="36"/>
    <n v="0"/>
    <s v="Completed"/>
    <n v="1.4"/>
    <n v="50.4"/>
    <n v="0.7"/>
    <n v="25.2"/>
    <n v="0"/>
    <n v="25.2"/>
    <n v="25.2"/>
    <x v="17"/>
    <x v="1"/>
    <x v="12"/>
    <x v="2"/>
    <x v="1"/>
    <s v="500ml"/>
  </r>
  <r>
    <s v="ORD0128"/>
    <x v="16"/>
    <x v="16"/>
    <s v="CUST073"/>
    <s v="PROD015"/>
    <n v="43"/>
    <n v="0.05"/>
    <s v="Completed"/>
    <n v="2.4"/>
    <n v="103.2"/>
    <n v="1.35"/>
    <n v="58.050000000000004"/>
    <n v="5.16"/>
    <n v="39.989999999999995"/>
    <n v="63.210000000000008"/>
    <x v="19"/>
    <x v="2"/>
    <x v="8"/>
    <x v="0"/>
    <x v="3"/>
    <s v="1L"/>
  </r>
  <r>
    <s v="ORD0129"/>
    <x v="1"/>
    <x v="1"/>
    <s v="CUST005"/>
    <s v="PROD020"/>
    <n v="31"/>
    <n v="0.05"/>
    <s v="Completed"/>
    <n v="1.4"/>
    <n v="43.4"/>
    <n v="0.7"/>
    <n v="21.7"/>
    <n v="2.17"/>
    <n v="19.53"/>
    <n v="23.869999999999997"/>
    <x v="17"/>
    <x v="1"/>
    <x v="3"/>
    <x v="4"/>
    <x v="3"/>
    <s v="500ml"/>
  </r>
  <r>
    <s v="ORD0130"/>
    <x v="29"/>
    <x v="29"/>
    <s v="CUST039"/>
    <s v="PROD019"/>
    <n v="27"/>
    <n v="0"/>
    <s v="Completed"/>
    <n v="1.5"/>
    <n v="40.5"/>
    <n v="0.8"/>
    <n v="21.6"/>
    <n v="0"/>
    <n v="18.899999999999999"/>
    <n v="21.6"/>
    <x v="10"/>
    <x v="2"/>
    <x v="8"/>
    <x v="2"/>
    <x v="2"/>
    <s v="250ml"/>
  </r>
  <r>
    <s v="ORD0131"/>
    <x v="22"/>
    <x v="22"/>
    <s v="CUST090"/>
    <s v="PROD009"/>
    <n v="15"/>
    <n v="0"/>
    <s v="Completed"/>
    <n v="1.9"/>
    <n v="28.5"/>
    <n v="1"/>
    <n v="15"/>
    <n v="0"/>
    <n v="13.5"/>
    <n v="15"/>
    <x v="11"/>
    <x v="1"/>
    <x v="15"/>
    <x v="1"/>
    <x v="0"/>
    <s v="1L"/>
  </r>
  <r>
    <s v="ORD0132"/>
    <x v="11"/>
    <x v="11"/>
    <s v="CUST043"/>
    <s v="PROD001"/>
    <n v="11"/>
    <n v="0"/>
    <s v="Pending"/>
    <n v="1.2"/>
    <n v="13.2"/>
    <n v="0.6"/>
    <n v="6.6"/>
    <n v="0"/>
    <n v="6.6"/>
    <n v="6.6"/>
    <x v="2"/>
    <x v="1"/>
    <x v="3"/>
    <x v="2"/>
    <x v="4"/>
    <s v="500ml"/>
  </r>
  <r>
    <s v="ORD0133"/>
    <x v="17"/>
    <x v="17"/>
    <s v="CUST082"/>
    <s v="PROD011"/>
    <n v="36"/>
    <n v="0"/>
    <s v="Completed"/>
    <n v="2.2999999999999998"/>
    <n v="82.8"/>
    <n v="1.25"/>
    <n v="45"/>
    <n v="0"/>
    <n v="37.799999999999997"/>
    <n v="45"/>
    <x v="15"/>
    <x v="2"/>
    <x v="5"/>
    <x v="1"/>
    <x v="2"/>
    <s v="1L"/>
  </r>
  <r>
    <s v="ORD0134"/>
    <x v="13"/>
    <x v="13"/>
    <s v="CUST068"/>
    <s v="PROD011"/>
    <n v="34"/>
    <n v="0"/>
    <s v="Completed"/>
    <n v="2.2999999999999998"/>
    <n v="78.199999999999989"/>
    <n v="1.25"/>
    <n v="42.5"/>
    <n v="0"/>
    <n v="35.699999999999989"/>
    <n v="42.5"/>
    <x v="15"/>
    <x v="2"/>
    <x v="5"/>
    <x v="3"/>
    <x v="4"/>
    <s v="1L"/>
  </r>
  <r>
    <s v="ORD0135"/>
    <x v="14"/>
    <x v="14"/>
    <s v="CUST007"/>
    <s v="PROD007"/>
    <n v="12"/>
    <n v="0"/>
    <s v="Completed"/>
    <n v="2.5"/>
    <n v="30"/>
    <n v="1.4"/>
    <n v="16.799999999999997"/>
    <n v="0"/>
    <n v="13.200000000000003"/>
    <n v="16.799999999999997"/>
    <x v="12"/>
    <x v="4"/>
    <x v="0"/>
    <x v="0"/>
    <x v="0"/>
    <s v="250ml"/>
  </r>
  <r>
    <s v="ORD0136"/>
    <x v="27"/>
    <x v="27"/>
    <s v="CUST023"/>
    <s v="PROD010"/>
    <n v="39"/>
    <n v="0"/>
    <s v="Completed"/>
    <n v="2.2000000000000002"/>
    <n v="85.800000000000011"/>
    <n v="1.3"/>
    <n v="50.7"/>
    <n v="0"/>
    <n v="35.100000000000009"/>
    <n v="50.7"/>
    <x v="13"/>
    <x v="0"/>
    <x v="7"/>
    <x v="4"/>
    <x v="2"/>
    <s v="500ml"/>
  </r>
  <r>
    <s v="ORD0137"/>
    <x v="28"/>
    <x v="28"/>
    <s v="CUST013"/>
    <s v="PROD013"/>
    <n v="44"/>
    <n v="0.05"/>
    <s v="Completed"/>
    <n v="1.8"/>
    <n v="79.2"/>
    <n v="0.95"/>
    <n v="41.8"/>
    <n v="3.9600000000000004"/>
    <n v="33.440000000000005"/>
    <n v="45.76"/>
    <x v="9"/>
    <x v="1"/>
    <x v="2"/>
    <x v="5"/>
    <x v="4"/>
    <s v="330ml"/>
  </r>
  <r>
    <s v="ORD0138"/>
    <x v="14"/>
    <x v="14"/>
    <s v="CUST013"/>
    <s v="PROD002"/>
    <n v="49"/>
    <n v="0"/>
    <s v="Completed"/>
    <n v="1.8"/>
    <n v="88.2"/>
    <n v="0.9"/>
    <n v="44.1"/>
    <n v="0"/>
    <n v="44.1"/>
    <n v="44.1"/>
    <x v="6"/>
    <x v="1"/>
    <x v="2"/>
    <x v="5"/>
    <x v="4"/>
    <s v="1L"/>
  </r>
  <r>
    <s v="ORD0139"/>
    <x v="25"/>
    <x v="25"/>
    <s v="CUST033"/>
    <s v="PROD006"/>
    <n v="25"/>
    <n v="0"/>
    <s v="Pending"/>
    <n v="1.7"/>
    <n v="42.5"/>
    <n v="0.9"/>
    <n v="22.5"/>
    <n v="0"/>
    <n v="20"/>
    <n v="22.5"/>
    <x v="8"/>
    <x v="3"/>
    <x v="6"/>
    <x v="0"/>
    <x v="1"/>
    <s v="500ml"/>
  </r>
  <r>
    <s v="ORD0140"/>
    <x v="17"/>
    <x v="17"/>
    <s v="CUST012"/>
    <s v="PROD004"/>
    <n v="25"/>
    <n v="0"/>
    <s v="Pending"/>
    <n v="1.6"/>
    <n v="40"/>
    <n v="0.85"/>
    <n v="21.25"/>
    <n v="0"/>
    <n v="18.75"/>
    <n v="21.25"/>
    <x v="5"/>
    <x v="3"/>
    <x v="13"/>
    <x v="3"/>
    <x v="3"/>
    <s v="500ml"/>
  </r>
  <r>
    <s v="ORD0141"/>
    <x v="3"/>
    <x v="3"/>
    <s v="CUST019"/>
    <s v="PROD020"/>
    <n v="24"/>
    <n v="0"/>
    <s v="Completed"/>
    <n v="1.4"/>
    <n v="33.599999999999994"/>
    <n v="0.7"/>
    <n v="16.799999999999997"/>
    <n v="0"/>
    <n v="16.799999999999997"/>
    <n v="16.799999999999997"/>
    <x v="17"/>
    <x v="1"/>
    <x v="9"/>
    <x v="0"/>
    <x v="3"/>
    <s v="500ml"/>
  </r>
  <r>
    <s v="ORD0142"/>
    <x v="27"/>
    <x v="27"/>
    <s v="CUST043"/>
    <s v="PROD007"/>
    <n v="30"/>
    <n v="0"/>
    <s v="Completed"/>
    <n v="2.5"/>
    <n v="75"/>
    <n v="1.4"/>
    <n v="42"/>
    <n v="0"/>
    <n v="33"/>
    <n v="42"/>
    <x v="12"/>
    <x v="4"/>
    <x v="3"/>
    <x v="2"/>
    <x v="4"/>
    <s v="250ml"/>
  </r>
  <r>
    <s v="ORD0143"/>
    <x v="19"/>
    <x v="19"/>
    <s v="CUST079"/>
    <s v="PROD006"/>
    <n v="44"/>
    <n v="0"/>
    <s v="Completed"/>
    <n v="1.7"/>
    <n v="74.8"/>
    <n v="0.9"/>
    <n v="39.6"/>
    <n v="0"/>
    <n v="35.199999999999996"/>
    <n v="39.6"/>
    <x v="8"/>
    <x v="3"/>
    <x v="10"/>
    <x v="0"/>
    <x v="2"/>
    <s v="500ml"/>
  </r>
  <r>
    <s v="ORD0144"/>
    <x v="10"/>
    <x v="10"/>
    <s v="CUST037"/>
    <s v="PROD011"/>
    <n v="31"/>
    <n v="0.05"/>
    <s v="Completed"/>
    <n v="2.2999999999999998"/>
    <n v="71.3"/>
    <n v="1.25"/>
    <n v="38.75"/>
    <n v="3.5649999999999995"/>
    <n v="28.984999999999999"/>
    <n v="42.314999999999998"/>
    <x v="15"/>
    <x v="2"/>
    <x v="5"/>
    <x v="1"/>
    <x v="2"/>
    <s v="1L"/>
  </r>
  <r>
    <s v="ORD0145"/>
    <x v="22"/>
    <x v="22"/>
    <s v="CUST046"/>
    <s v="PROD018"/>
    <n v="28"/>
    <n v="0.05"/>
    <s v="Completed"/>
    <n v="1.7"/>
    <n v="47.6"/>
    <n v="0.9"/>
    <n v="25.2"/>
    <n v="2.3800000000000003"/>
    <n v="20.020000000000003"/>
    <n v="27.58"/>
    <x v="16"/>
    <x v="3"/>
    <x v="14"/>
    <x v="4"/>
    <x v="1"/>
    <s v="330ml"/>
  </r>
  <r>
    <s v="ORD0146"/>
    <x v="27"/>
    <x v="27"/>
    <s v="CUST090"/>
    <s v="PROD008"/>
    <n v="24"/>
    <n v="0"/>
    <s v="Completed"/>
    <n v="2.1"/>
    <n v="50.400000000000006"/>
    <n v="1.2"/>
    <n v="28.799999999999997"/>
    <n v="0"/>
    <n v="21.600000000000009"/>
    <n v="28.799999999999997"/>
    <x v="7"/>
    <x v="2"/>
    <x v="15"/>
    <x v="1"/>
    <x v="0"/>
    <s v="500ml"/>
  </r>
  <r>
    <s v="ORD0147"/>
    <x v="27"/>
    <x v="27"/>
    <s v="CUST033"/>
    <s v="PROD016"/>
    <n v="29"/>
    <n v="0.1"/>
    <s v="Completed"/>
    <n v="1.9"/>
    <n v="55.099999999999994"/>
    <n v="0.95"/>
    <n v="27.549999999999997"/>
    <n v="5.51"/>
    <n v="22.04"/>
    <n v="33.059999999999995"/>
    <x v="3"/>
    <x v="1"/>
    <x v="6"/>
    <x v="0"/>
    <x v="1"/>
    <s v="500ml"/>
  </r>
  <r>
    <s v="ORD0148"/>
    <x v="20"/>
    <x v="20"/>
    <s v="CUST089"/>
    <s v="PROD001"/>
    <n v="37"/>
    <n v="0"/>
    <s v="Pending"/>
    <n v="1.2"/>
    <n v="44.4"/>
    <n v="0.6"/>
    <n v="22.2"/>
    <n v="0"/>
    <n v="22.2"/>
    <n v="22.2"/>
    <x v="2"/>
    <x v="1"/>
    <x v="9"/>
    <x v="3"/>
    <x v="0"/>
    <s v="500ml"/>
  </r>
  <r>
    <s v="ORD0149"/>
    <x v="11"/>
    <x v="11"/>
    <s v="CUST034"/>
    <s v="PROD006"/>
    <n v="44"/>
    <n v="0"/>
    <s v="Pending"/>
    <n v="1.7"/>
    <n v="74.8"/>
    <n v="0.9"/>
    <n v="39.6"/>
    <n v="0"/>
    <n v="35.199999999999996"/>
    <n v="39.6"/>
    <x v="8"/>
    <x v="3"/>
    <x v="4"/>
    <x v="3"/>
    <x v="2"/>
    <s v="500ml"/>
  </r>
  <r>
    <s v="ORD0150"/>
    <x v="8"/>
    <x v="8"/>
    <s v="CUST069"/>
    <s v="PROD013"/>
    <n v="25"/>
    <n v="0"/>
    <s v="Completed"/>
    <n v="1.8"/>
    <n v="45"/>
    <n v="0.95"/>
    <n v="23.75"/>
    <n v="0"/>
    <n v="21.25"/>
    <n v="23.75"/>
    <x v="9"/>
    <x v="1"/>
    <x v="10"/>
    <x v="2"/>
    <x v="0"/>
    <s v="330ml"/>
  </r>
  <r>
    <s v="ORD0151"/>
    <x v="24"/>
    <x v="24"/>
    <s v="CUST032"/>
    <s v="PROD005"/>
    <n v="16"/>
    <n v="0"/>
    <s v="Completed"/>
    <n v="2"/>
    <n v="32"/>
    <n v="1.1000000000000001"/>
    <n v="17.600000000000001"/>
    <n v="0"/>
    <n v="14.399999999999999"/>
    <n v="17.600000000000001"/>
    <x v="4"/>
    <x v="2"/>
    <x v="9"/>
    <x v="5"/>
    <x v="2"/>
    <s v="1L"/>
  </r>
  <r>
    <s v="ORD0152"/>
    <x v="22"/>
    <x v="22"/>
    <s v="CUST055"/>
    <s v="PROD013"/>
    <n v="34"/>
    <n v="0"/>
    <s v="Pending"/>
    <n v="1.8"/>
    <n v="61.2"/>
    <n v="0.95"/>
    <n v="32.299999999999997"/>
    <n v="0"/>
    <n v="28.900000000000006"/>
    <n v="32.299999999999997"/>
    <x v="9"/>
    <x v="1"/>
    <x v="2"/>
    <x v="1"/>
    <x v="4"/>
    <s v="330ml"/>
  </r>
  <r>
    <s v="ORD0153"/>
    <x v="6"/>
    <x v="6"/>
    <s v="CUST067"/>
    <s v="PROD014"/>
    <n v="39"/>
    <n v="0"/>
    <s v="Completed"/>
    <n v="1.6"/>
    <n v="62.400000000000006"/>
    <n v="0.85"/>
    <n v="33.15"/>
    <n v="0"/>
    <n v="29.250000000000007"/>
    <n v="33.15"/>
    <x v="18"/>
    <x v="3"/>
    <x v="8"/>
    <x v="1"/>
    <x v="0"/>
    <s v="330ml"/>
  </r>
  <r>
    <s v="ORD0154"/>
    <x v="5"/>
    <x v="5"/>
    <s v="CUST057"/>
    <s v="PROD020"/>
    <n v="11"/>
    <n v="0.1"/>
    <s v="Completed"/>
    <n v="1.4"/>
    <n v="15.399999999999999"/>
    <n v="0.7"/>
    <n v="7.6999999999999993"/>
    <n v="1.5399999999999998"/>
    <n v="6.1599999999999993"/>
    <n v="9.2399999999999984"/>
    <x v="17"/>
    <x v="1"/>
    <x v="5"/>
    <x v="2"/>
    <x v="1"/>
    <s v="500ml"/>
  </r>
  <r>
    <s v="ORD0155"/>
    <x v="10"/>
    <x v="10"/>
    <s v="CUST072"/>
    <s v="PROD001"/>
    <n v="11"/>
    <n v="0"/>
    <s v="Pending"/>
    <n v="1.2"/>
    <n v="13.2"/>
    <n v="0.6"/>
    <n v="6.6"/>
    <n v="0"/>
    <n v="6.6"/>
    <n v="6.6"/>
    <x v="2"/>
    <x v="1"/>
    <x v="11"/>
    <x v="3"/>
    <x v="1"/>
    <s v="500ml"/>
  </r>
  <r>
    <s v="ORD0156"/>
    <x v="26"/>
    <x v="26"/>
    <s v="CUST068"/>
    <s v="PROD009"/>
    <n v="24"/>
    <n v="0.05"/>
    <s v="Cancelled"/>
    <n v="1.9"/>
    <n v="45.599999999999994"/>
    <n v="1"/>
    <n v="24"/>
    <n v="2.2800000000000002"/>
    <n v="19.319999999999993"/>
    <n v="26.28"/>
    <x v="11"/>
    <x v="1"/>
    <x v="5"/>
    <x v="3"/>
    <x v="4"/>
    <s v="1L"/>
  </r>
  <r>
    <s v="ORD0157"/>
    <x v="21"/>
    <x v="21"/>
    <s v="CUST061"/>
    <s v="PROD010"/>
    <n v="18"/>
    <n v="0.05"/>
    <s v="Pending"/>
    <n v="2.2000000000000002"/>
    <n v="39.6"/>
    <n v="1.3"/>
    <n v="23.400000000000002"/>
    <n v="1.9800000000000002"/>
    <n v="14.219999999999999"/>
    <n v="25.380000000000003"/>
    <x v="13"/>
    <x v="0"/>
    <x v="0"/>
    <x v="0"/>
    <x v="0"/>
    <s v="500ml"/>
  </r>
  <r>
    <s v="ORD0158"/>
    <x v="17"/>
    <x v="17"/>
    <s v="CUST014"/>
    <s v="PROD016"/>
    <n v="7"/>
    <n v="0"/>
    <s v="Completed"/>
    <n v="1.9"/>
    <n v="13.299999999999999"/>
    <n v="0.95"/>
    <n v="6.6499999999999995"/>
    <n v="0"/>
    <n v="6.6499999999999995"/>
    <n v="6.6499999999999995"/>
    <x v="3"/>
    <x v="1"/>
    <x v="6"/>
    <x v="2"/>
    <x v="3"/>
    <s v="500ml"/>
  </r>
  <r>
    <s v="ORD0159"/>
    <x v="13"/>
    <x v="13"/>
    <s v="CUST054"/>
    <s v="PROD012"/>
    <n v="37"/>
    <n v="0"/>
    <s v="Pending"/>
    <n v="2"/>
    <n v="74"/>
    <n v="1"/>
    <n v="37"/>
    <n v="0"/>
    <n v="37"/>
    <n v="37"/>
    <x v="1"/>
    <x v="1"/>
    <x v="6"/>
    <x v="3"/>
    <x v="2"/>
    <s v="1.5L"/>
  </r>
  <r>
    <s v="ORD0160"/>
    <x v="0"/>
    <x v="0"/>
    <s v="CUST098"/>
    <s v="PROD004"/>
    <n v="38"/>
    <n v="0.05"/>
    <s v="Completed"/>
    <n v="1.6"/>
    <n v="60.800000000000004"/>
    <n v="0.85"/>
    <n v="32.299999999999997"/>
    <n v="3.0400000000000005"/>
    <n v="25.460000000000008"/>
    <n v="35.339999999999996"/>
    <x v="5"/>
    <x v="3"/>
    <x v="6"/>
    <x v="0"/>
    <x v="4"/>
    <s v="500ml"/>
  </r>
  <r>
    <s v="ORD0161"/>
    <x v="24"/>
    <x v="24"/>
    <s v="CUST100"/>
    <s v="PROD017"/>
    <n v="16"/>
    <n v="0"/>
    <s v="Completed"/>
    <n v="2.2000000000000002"/>
    <n v="35.200000000000003"/>
    <n v="1.2"/>
    <n v="19.2"/>
    <n v="0"/>
    <n v="16.000000000000004"/>
    <n v="19.2"/>
    <x v="0"/>
    <x v="0"/>
    <x v="4"/>
    <x v="0"/>
    <x v="1"/>
    <s v="500ml"/>
  </r>
  <r>
    <s v="ORD0162"/>
    <x v="27"/>
    <x v="27"/>
    <s v="CUST060"/>
    <s v="PROD001"/>
    <n v="11"/>
    <n v="0.05"/>
    <s v="Completed"/>
    <n v="1.2"/>
    <n v="13.2"/>
    <n v="0.6"/>
    <n v="6.6"/>
    <n v="0.65999999999999992"/>
    <n v="5.9399999999999995"/>
    <n v="7.26"/>
    <x v="2"/>
    <x v="1"/>
    <x v="1"/>
    <x v="1"/>
    <x v="1"/>
    <s v="500ml"/>
  </r>
  <r>
    <s v="ORD0163"/>
    <x v="9"/>
    <x v="9"/>
    <s v="CUST054"/>
    <s v="PROD016"/>
    <n v="33"/>
    <n v="0"/>
    <s v="Completed"/>
    <n v="1.9"/>
    <n v="62.699999999999996"/>
    <n v="0.95"/>
    <n v="31.349999999999998"/>
    <n v="0"/>
    <n v="31.349999999999998"/>
    <n v="31.349999999999998"/>
    <x v="3"/>
    <x v="1"/>
    <x v="6"/>
    <x v="3"/>
    <x v="2"/>
    <s v="500ml"/>
  </r>
  <r>
    <s v="ORD0164"/>
    <x v="5"/>
    <x v="5"/>
    <s v="CUST095"/>
    <s v="PROD016"/>
    <n v="32"/>
    <n v="0.1"/>
    <s v="Completed"/>
    <n v="1.9"/>
    <n v="60.8"/>
    <n v="0.95"/>
    <n v="30.4"/>
    <n v="6.08"/>
    <n v="24.32"/>
    <n v="36.479999999999997"/>
    <x v="3"/>
    <x v="1"/>
    <x v="2"/>
    <x v="1"/>
    <x v="1"/>
    <s v="500ml"/>
  </r>
  <r>
    <s v="ORD0165"/>
    <x v="11"/>
    <x v="11"/>
    <s v="CUST004"/>
    <s v="PROD016"/>
    <n v="47"/>
    <n v="0.1"/>
    <s v="Completed"/>
    <n v="1.9"/>
    <n v="89.3"/>
    <n v="0.95"/>
    <n v="44.65"/>
    <n v="8.93"/>
    <n v="35.72"/>
    <n v="53.58"/>
    <x v="3"/>
    <x v="1"/>
    <x v="12"/>
    <x v="1"/>
    <x v="3"/>
    <s v="500ml"/>
  </r>
  <r>
    <s v="ORD0166"/>
    <x v="16"/>
    <x v="16"/>
    <s v="CUST083"/>
    <s v="PROD016"/>
    <n v="9"/>
    <n v="0.05"/>
    <s v="Completed"/>
    <n v="1.9"/>
    <n v="17.099999999999998"/>
    <n v="0.95"/>
    <n v="8.5499999999999989"/>
    <n v="0.85499999999999998"/>
    <n v="7.6949999999999985"/>
    <n v="9.4049999999999994"/>
    <x v="3"/>
    <x v="1"/>
    <x v="0"/>
    <x v="1"/>
    <x v="3"/>
    <s v="500ml"/>
  </r>
  <r>
    <s v="ORD0167"/>
    <x v="7"/>
    <x v="7"/>
    <s v="CUST016"/>
    <s v="PROD014"/>
    <n v="16"/>
    <n v="0.05"/>
    <s v="Completed"/>
    <n v="1.6"/>
    <n v="25.6"/>
    <n v="0.85"/>
    <n v="13.6"/>
    <n v="1.2800000000000002"/>
    <n v="10.720000000000002"/>
    <n v="14.879999999999999"/>
    <x v="18"/>
    <x v="3"/>
    <x v="1"/>
    <x v="3"/>
    <x v="4"/>
    <s v="330ml"/>
  </r>
  <r>
    <s v="ORD0168"/>
    <x v="21"/>
    <x v="21"/>
    <s v="CUST016"/>
    <s v="PROD012"/>
    <n v="35"/>
    <n v="0.05"/>
    <s v="Completed"/>
    <n v="2"/>
    <n v="70"/>
    <n v="1"/>
    <n v="35"/>
    <n v="3.5"/>
    <n v="31.5"/>
    <n v="38.5"/>
    <x v="1"/>
    <x v="1"/>
    <x v="1"/>
    <x v="3"/>
    <x v="4"/>
    <s v="1.5L"/>
  </r>
  <r>
    <s v="ORD0169"/>
    <x v="25"/>
    <x v="25"/>
    <s v="CUST072"/>
    <s v="PROD018"/>
    <n v="50"/>
    <n v="0"/>
    <s v="Completed"/>
    <n v="1.7"/>
    <n v="85"/>
    <n v="0.9"/>
    <n v="45"/>
    <n v="0"/>
    <n v="40"/>
    <n v="45"/>
    <x v="16"/>
    <x v="3"/>
    <x v="11"/>
    <x v="3"/>
    <x v="1"/>
    <s v="330ml"/>
  </r>
  <r>
    <s v="ORD0170"/>
    <x v="2"/>
    <x v="2"/>
    <s v="CUST048"/>
    <s v="PROD012"/>
    <n v="24"/>
    <n v="0"/>
    <s v="Completed"/>
    <n v="2"/>
    <n v="48"/>
    <n v="1"/>
    <n v="24"/>
    <n v="0"/>
    <n v="24"/>
    <n v="24"/>
    <x v="1"/>
    <x v="1"/>
    <x v="1"/>
    <x v="1"/>
    <x v="2"/>
    <s v="1.5L"/>
  </r>
  <r>
    <s v="ORD0171"/>
    <x v="19"/>
    <x v="19"/>
    <s v="CUST095"/>
    <s v="PROD010"/>
    <n v="48"/>
    <n v="0.05"/>
    <s v="Completed"/>
    <n v="2.2000000000000002"/>
    <n v="105.60000000000001"/>
    <n v="1.3"/>
    <n v="62.400000000000006"/>
    <n v="5.2800000000000011"/>
    <n v="37.92"/>
    <n v="67.680000000000007"/>
    <x v="13"/>
    <x v="0"/>
    <x v="2"/>
    <x v="1"/>
    <x v="1"/>
    <s v="500ml"/>
  </r>
  <r>
    <s v="ORD0172"/>
    <x v="19"/>
    <x v="19"/>
    <s v="CUST049"/>
    <s v="PROD018"/>
    <n v="7"/>
    <n v="0"/>
    <s v="Completed"/>
    <n v="1.7"/>
    <n v="11.9"/>
    <n v="0.9"/>
    <n v="6.3"/>
    <n v="0"/>
    <n v="5.6000000000000005"/>
    <n v="6.3"/>
    <x v="16"/>
    <x v="3"/>
    <x v="8"/>
    <x v="3"/>
    <x v="2"/>
    <s v="330ml"/>
  </r>
  <r>
    <s v="ORD0173"/>
    <x v="28"/>
    <x v="28"/>
    <s v="CUST088"/>
    <s v="PROD005"/>
    <n v="20"/>
    <n v="0"/>
    <s v="Completed"/>
    <n v="2"/>
    <n v="40"/>
    <n v="1.1000000000000001"/>
    <n v="22"/>
    <n v="0"/>
    <n v="18"/>
    <n v="22"/>
    <x v="4"/>
    <x v="2"/>
    <x v="14"/>
    <x v="3"/>
    <x v="2"/>
    <s v="1L"/>
  </r>
  <r>
    <s v="ORD0174"/>
    <x v="3"/>
    <x v="3"/>
    <s v="CUST085"/>
    <s v="PROD007"/>
    <n v="41"/>
    <n v="0.05"/>
    <s v="Completed"/>
    <n v="2.5"/>
    <n v="102.5"/>
    <n v="1.4"/>
    <n v="57.4"/>
    <n v="5.125"/>
    <n v="39.975000000000001"/>
    <n v="62.524999999999999"/>
    <x v="12"/>
    <x v="4"/>
    <x v="8"/>
    <x v="4"/>
    <x v="2"/>
    <s v="250ml"/>
  </r>
  <r>
    <s v="ORD0175"/>
    <x v="0"/>
    <x v="0"/>
    <s v="CUST082"/>
    <s v="PROD014"/>
    <n v="29"/>
    <n v="0.05"/>
    <s v="Pending"/>
    <n v="1.6"/>
    <n v="46.400000000000006"/>
    <n v="0.85"/>
    <n v="24.65"/>
    <n v="2.3200000000000003"/>
    <n v="19.430000000000007"/>
    <n v="26.97"/>
    <x v="18"/>
    <x v="3"/>
    <x v="5"/>
    <x v="1"/>
    <x v="2"/>
    <s v="330ml"/>
  </r>
  <r>
    <s v="ORD0176"/>
    <x v="12"/>
    <x v="12"/>
    <s v="CUST062"/>
    <s v="PROD019"/>
    <n v="26"/>
    <n v="0"/>
    <s v="Completed"/>
    <n v="1.5"/>
    <n v="39"/>
    <n v="0.8"/>
    <n v="20.8"/>
    <n v="0"/>
    <n v="18.2"/>
    <n v="20.8"/>
    <x v="10"/>
    <x v="2"/>
    <x v="0"/>
    <x v="0"/>
    <x v="3"/>
    <s v="250ml"/>
  </r>
  <r>
    <s v="ORD0177"/>
    <x v="26"/>
    <x v="26"/>
    <s v="CUST042"/>
    <s v="PROD014"/>
    <n v="14"/>
    <n v="0"/>
    <s v="Completed"/>
    <n v="1.6"/>
    <n v="22.400000000000002"/>
    <n v="0.85"/>
    <n v="11.9"/>
    <n v="0"/>
    <n v="10.500000000000002"/>
    <n v="11.9"/>
    <x v="18"/>
    <x v="3"/>
    <x v="10"/>
    <x v="2"/>
    <x v="0"/>
    <s v="330ml"/>
  </r>
  <r>
    <s v="ORD0178"/>
    <x v="9"/>
    <x v="9"/>
    <s v="CUST019"/>
    <s v="PROD006"/>
    <n v="9"/>
    <n v="0"/>
    <s v="Completed"/>
    <n v="1.7"/>
    <n v="15.299999999999999"/>
    <n v="0.9"/>
    <n v="8.1"/>
    <n v="0"/>
    <n v="7.1999999999999993"/>
    <n v="8.1"/>
    <x v="8"/>
    <x v="3"/>
    <x v="9"/>
    <x v="0"/>
    <x v="3"/>
    <s v="500ml"/>
  </r>
  <r>
    <s v="ORD0179"/>
    <x v="12"/>
    <x v="12"/>
    <s v="CUST012"/>
    <s v="PROD011"/>
    <n v="29"/>
    <n v="0"/>
    <s v="Completed"/>
    <n v="2.2999999999999998"/>
    <n v="66.699999999999989"/>
    <n v="1.25"/>
    <n v="36.25"/>
    <n v="0"/>
    <n v="30.449999999999989"/>
    <n v="36.25"/>
    <x v="15"/>
    <x v="2"/>
    <x v="13"/>
    <x v="3"/>
    <x v="3"/>
    <s v="1L"/>
  </r>
  <r>
    <s v="ORD0180"/>
    <x v="18"/>
    <x v="18"/>
    <s v="CUST047"/>
    <s v="PROD003"/>
    <n v="7"/>
    <n v="0"/>
    <s v="Completed"/>
    <n v="1.5"/>
    <n v="10.5"/>
    <n v="0.8"/>
    <n v="5.6000000000000005"/>
    <n v="0"/>
    <n v="4.8999999999999995"/>
    <n v="5.6000000000000005"/>
    <x v="14"/>
    <x v="3"/>
    <x v="9"/>
    <x v="3"/>
    <x v="2"/>
    <s v="330ml"/>
  </r>
  <r>
    <s v="ORD0181"/>
    <x v="12"/>
    <x v="12"/>
    <s v="CUST085"/>
    <s v="PROD007"/>
    <n v="48"/>
    <n v="0"/>
    <s v="Completed"/>
    <n v="2.5"/>
    <n v="120"/>
    <n v="1.4"/>
    <n v="67.199999999999989"/>
    <n v="0"/>
    <n v="52.800000000000011"/>
    <n v="67.199999999999989"/>
    <x v="12"/>
    <x v="4"/>
    <x v="8"/>
    <x v="4"/>
    <x v="2"/>
    <s v="250ml"/>
  </r>
  <r>
    <s v="ORD0182"/>
    <x v="23"/>
    <x v="23"/>
    <s v="CUST015"/>
    <s v="PROD010"/>
    <n v="39"/>
    <n v="0"/>
    <s v="Completed"/>
    <n v="2.2000000000000002"/>
    <n v="85.800000000000011"/>
    <n v="1.3"/>
    <n v="50.7"/>
    <n v="0"/>
    <n v="35.100000000000009"/>
    <n v="50.7"/>
    <x v="13"/>
    <x v="0"/>
    <x v="5"/>
    <x v="0"/>
    <x v="0"/>
    <s v="500ml"/>
  </r>
  <r>
    <s v="ORD0183"/>
    <x v="20"/>
    <x v="20"/>
    <s v="CUST004"/>
    <s v="PROD003"/>
    <n v="25"/>
    <n v="0"/>
    <s v="Pending"/>
    <n v="1.5"/>
    <n v="37.5"/>
    <n v="0.8"/>
    <n v="20"/>
    <n v="0"/>
    <n v="17.5"/>
    <n v="20"/>
    <x v="14"/>
    <x v="3"/>
    <x v="12"/>
    <x v="1"/>
    <x v="3"/>
    <s v="330ml"/>
  </r>
  <r>
    <s v="ORD0184"/>
    <x v="6"/>
    <x v="6"/>
    <s v="CUST045"/>
    <s v="PROD017"/>
    <n v="40"/>
    <n v="0"/>
    <s v="Pending"/>
    <n v="2.2000000000000002"/>
    <n v="88"/>
    <n v="1.2"/>
    <n v="48"/>
    <n v="0"/>
    <n v="40"/>
    <n v="48"/>
    <x v="0"/>
    <x v="0"/>
    <x v="2"/>
    <x v="2"/>
    <x v="0"/>
    <s v="500ml"/>
  </r>
  <r>
    <s v="ORD0185"/>
    <x v="27"/>
    <x v="27"/>
    <s v="CUST001"/>
    <s v="PROD020"/>
    <n v="10"/>
    <n v="0.05"/>
    <s v="Pending"/>
    <n v="1.4"/>
    <n v="14"/>
    <n v="0.7"/>
    <n v="7"/>
    <n v="0.7"/>
    <n v="6.3"/>
    <n v="7.7"/>
    <x v="17"/>
    <x v="1"/>
    <x v="7"/>
    <x v="4"/>
    <x v="1"/>
    <s v="500ml"/>
  </r>
  <r>
    <s v="ORD0186"/>
    <x v="16"/>
    <x v="16"/>
    <s v="CUST007"/>
    <s v="PROD015"/>
    <n v="27"/>
    <n v="0.05"/>
    <s v="Completed"/>
    <n v="2.4"/>
    <n v="64.8"/>
    <n v="1.35"/>
    <n v="36.450000000000003"/>
    <n v="3.2399999999999998"/>
    <n v="25.109999999999996"/>
    <n v="39.690000000000005"/>
    <x v="19"/>
    <x v="2"/>
    <x v="0"/>
    <x v="0"/>
    <x v="0"/>
    <s v="1L"/>
  </r>
  <r>
    <s v="ORD0187"/>
    <x v="24"/>
    <x v="24"/>
    <s v="CUST002"/>
    <s v="PROD001"/>
    <n v="31"/>
    <n v="0"/>
    <s v="Pending"/>
    <n v="1.2"/>
    <n v="37.199999999999996"/>
    <n v="0.6"/>
    <n v="18.599999999999998"/>
    <n v="0"/>
    <n v="18.599999999999998"/>
    <n v="18.599999999999998"/>
    <x v="2"/>
    <x v="1"/>
    <x v="1"/>
    <x v="3"/>
    <x v="1"/>
    <s v="500ml"/>
  </r>
  <r>
    <s v="ORD0188"/>
    <x v="1"/>
    <x v="1"/>
    <s v="CUST010"/>
    <s v="PROD010"/>
    <n v="17"/>
    <n v="0.05"/>
    <s v="Cancelled"/>
    <n v="2.2000000000000002"/>
    <n v="37.400000000000006"/>
    <n v="1.3"/>
    <n v="22.1"/>
    <n v="1.8700000000000003"/>
    <n v="13.430000000000003"/>
    <n v="23.970000000000002"/>
    <x v="13"/>
    <x v="0"/>
    <x v="9"/>
    <x v="5"/>
    <x v="4"/>
    <s v="500ml"/>
  </r>
  <r>
    <s v="ORD0189"/>
    <x v="5"/>
    <x v="5"/>
    <s v="CUST057"/>
    <s v="PROD016"/>
    <n v="6"/>
    <n v="0.05"/>
    <s v="Completed"/>
    <n v="1.9"/>
    <n v="11.399999999999999"/>
    <n v="0.95"/>
    <n v="5.6999999999999993"/>
    <n v="0.57000000000000006"/>
    <n v="5.129999999999999"/>
    <n v="6.27"/>
    <x v="3"/>
    <x v="1"/>
    <x v="5"/>
    <x v="2"/>
    <x v="1"/>
    <s v="500ml"/>
  </r>
  <r>
    <s v="ORD0190"/>
    <x v="28"/>
    <x v="28"/>
    <s v="CUST036"/>
    <s v="PROD005"/>
    <n v="37"/>
    <n v="0"/>
    <s v="Completed"/>
    <n v="2"/>
    <n v="74"/>
    <n v="1.1000000000000001"/>
    <n v="40.700000000000003"/>
    <n v="0"/>
    <n v="33.299999999999997"/>
    <n v="40.700000000000003"/>
    <x v="4"/>
    <x v="2"/>
    <x v="12"/>
    <x v="1"/>
    <x v="1"/>
    <s v="1L"/>
  </r>
  <r>
    <s v="ORD0191"/>
    <x v="2"/>
    <x v="2"/>
    <s v="CUST044"/>
    <s v="PROD004"/>
    <n v="10"/>
    <n v="0"/>
    <s v="Completed"/>
    <n v="1.6"/>
    <n v="16"/>
    <n v="0.85"/>
    <n v="8.5"/>
    <n v="0"/>
    <n v="7.5"/>
    <n v="8.5"/>
    <x v="5"/>
    <x v="3"/>
    <x v="4"/>
    <x v="4"/>
    <x v="2"/>
    <s v="500ml"/>
  </r>
  <r>
    <s v="ORD0192"/>
    <x v="18"/>
    <x v="18"/>
    <s v="CUST003"/>
    <s v="PROD002"/>
    <n v="19"/>
    <n v="0"/>
    <s v="Completed"/>
    <n v="1.8"/>
    <n v="34.200000000000003"/>
    <n v="0.9"/>
    <n v="17.100000000000001"/>
    <n v="0"/>
    <n v="17.100000000000001"/>
    <n v="17.100000000000001"/>
    <x v="6"/>
    <x v="1"/>
    <x v="0"/>
    <x v="3"/>
    <x v="1"/>
    <s v="1L"/>
  </r>
  <r>
    <s v="ORD0193"/>
    <x v="25"/>
    <x v="25"/>
    <s v="CUST071"/>
    <s v="PROD012"/>
    <n v="49"/>
    <n v="0"/>
    <s v="Completed"/>
    <n v="2"/>
    <n v="98"/>
    <n v="1"/>
    <n v="49"/>
    <n v="0"/>
    <n v="49"/>
    <n v="49"/>
    <x v="1"/>
    <x v="1"/>
    <x v="3"/>
    <x v="4"/>
    <x v="0"/>
    <s v="1.5L"/>
  </r>
  <r>
    <s v="ORD0194"/>
    <x v="0"/>
    <x v="0"/>
    <s v="CUST004"/>
    <s v="PROD006"/>
    <n v="38"/>
    <n v="0"/>
    <s v="Completed"/>
    <n v="1.7"/>
    <n v="64.599999999999994"/>
    <n v="0.9"/>
    <n v="34.200000000000003"/>
    <n v="0"/>
    <n v="30.399999999999991"/>
    <n v="34.200000000000003"/>
    <x v="8"/>
    <x v="3"/>
    <x v="12"/>
    <x v="1"/>
    <x v="3"/>
    <s v="500ml"/>
  </r>
  <r>
    <s v="ORD0195"/>
    <x v="20"/>
    <x v="20"/>
    <s v="CUST044"/>
    <s v="PROD009"/>
    <n v="5"/>
    <n v="0"/>
    <s v="Completed"/>
    <n v="1.9"/>
    <n v="9.5"/>
    <n v="1"/>
    <n v="5"/>
    <n v="0"/>
    <n v="4.5"/>
    <n v="5"/>
    <x v="11"/>
    <x v="1"/>
    <x v="4"/>
    <x v="4"/>
    <x v="2"/>
    <s v="1L"/>
  </r>
  <r>
    <s v="ORD0196"/>
    <x v="29"/>
    <x v="29"/>
    <s v="CUST100"/>
    <s v="PROD004"/>
    <n v="26"/>
    <n v="0"/>
    <s v="Completed"/>
    <n v="1.6"/>
    <n v="41.6"/>
    <n v="0.85"/>
    <n v="22.099999999999998"/>
    <n v="0"/>
    <n v="19.500000000000004"/>
    <n v="22.099999999999998"/>
    <x v="5"/>
    <x v="3"/>
    <x v="4"/>
    <x v="0"/>
    <x v="1"/>
    <s v="500ml"/>
  </r>
  <r>
    <s v="ORD0197"/>
    <x v="19"/>
    <x v="19"/>
    <s v="CUST100"/>
    <s v="PROD007"/>
    <n v="23"/>
    <n v="0"/>
    <s v="Completed"/>
    <n v="2.5"/>
    <n v="57.5"/>
    <n v="1.4"/>
    <n v="32.199999999999996"/>
    <n v="0"/>
    <n v="25.300000000000004"/>
    <n v="32.199999999999996"/>
    <x v="12"/>
    <x v="4"/>
    <x v="4"/>
    <x v="0"/>
    <x v="1"/>
    <s v="250ml"/>
  </r>
  <r>
    <s v="ORD0198"/>
    <x v="13"/>
    <x v="13"/>
    <s v="CUST001"/>
    <s v="PROD014"/>
    <n v="12"/>
    <n v="0"/>
    <s v="Completed"/>
    <n v="1.6"/>
    <n v="19.200000000000003"/>
    <n v="0.85"/>
    <n v="10.199999999999999"/>
    <n v="0"/>
    <n v="9.0000000000000036"/>
    <n v="10.199999999999999"/>
    <x v="18"/>
    <x v="3"/>
    <x v="7"/>
    <x v="4"/>
    <x v="1"/>
    <s v="330ml"/>
  </r>
  <r>
    <s v="ORD0199"/>
    <x v="19"/>
    <x v="19"/>
    <s v="CUST025"/>
    <s v="PROD002"/>
    <n v="50"/>
    <n v="0.05"/>
    <s v="Cancelled"/>
    <n v="1.8"/>
    <n v="90"/>
    <n v="0.9"/>
    <n v="45"/>
    <n v="4.5000000000000009"/>
    <n v="40.5"/>
    <n v="49.5"/>
    <x v="6"/>
    <x v="1"/>
    <x v="3"/>
    <x v="3"/>
    <x v="1"/>
    <s v="1L"/>
  </r>
  <r>
    <s v="ORD0200"/>
    <x v="16"/>
    <x v="16"/>
    <s v="CUST041"/>
    <s v="PROD001"/>
    <n v="19"/>
    <n v="0.1"/>
    <s v="Pending"/>
    <n v="1.2"/>
    <n v="22.8"/>
    <n v="0.6"/>
    <n v="11.4"/>
    <n v="2.2799999999999998"/>
    <n v="9.120000000000001"/>
    <n v="13.68"/>
    <x v="2"/>
    <x v="1"/>
    <x v="5"/>
    <x v="4"/>
    <x v="2"/>
    <s v="500ml"/>
  </r>
  <r>
    <s v="ORD0201"/>
    <x v="26"/>
    <x v="26"/>
    <s v="CUST087"/>
    <s v="PROD016"/>
    <n v="22"/>
    <n v="0"/>
    <s v="Pending"/>
    <n v="1.9"/>
    <n v="41.8"/>
    <n v="0.95"/>
    <n v="20.9"/>
    <n v="0"/>
    <n v="20.9"/>
    <n v="20.9"/>
    <x v="3"/>
    <x v="1"/>
    <x v="2"/>
    <x v="2"/>
    <x v="4"/>
    <s v="500ml"/>
  </r>
  <r>
    <s v="ORD0202"/>
    <x v="3"/>
    <x v="3"/>
    <s v="CUST057"/>
    <s v="PROD001"/>
    <n v="50"/>
    <n v="0"/>
    <s v="Completed"/>
    <n v="1.2"/>
    <n v="60"/>
    <n v="0.6"/>
    <n v="30"/>
    <n v="0"/>
    <n v="30"/>
    <n v="30"/>
    <x v="2"/>
    <x v="1"/>
    <x v="5"/>
    <x v="2"/>
    <x v="1"/>
    <s v="500ml"/>
  </r>
  <r>
    <s v="ORD0203"/>
    <x v="12"/>
    <x v="12"/>
    <s v="CUST011"/>
    <s v="PROD008"/>
    <n v="27"/>
    <n v="0"/>
    <s v="Completed"/>
    <n v="2.1"/>
    <n v="56.7"/>
    <n v="1.2"/>
    <n v="32.4"/>
    <n v="0"/>
    <n v="24.300000000000004"/>
    <n v="32.4"/>
    <x v="7"/>
    <x v="2"/>
    <x v="9"/>
    <x v="4"/>
    <x v="2"/>
    <s v="500ml"/>
  </r>
  <r>
    <s v="ORD0204"/>
    <x v="28"/>
    <x v="28"/>
    <s v="CUST074"/>
    <s v="PROD007"/>
    <n v="44"/>
    <n v="0"/>
    <s v="Pending"/>
    <n v="2.5"/>
    <n v="110"/>
    <n v="1.4"/>
    <n v="61.599999999999994"/>
    <n v="0"/>
    <n v="48.400000000000006"/>
    <n v="61.599999999999994"/>
    <x v="12"/>
    <x v="4"/>
    <x v="8"/>
    <x v="5"/>
    <x v="3"/>
    <s v="250ml"/>
  </r>
  <r>
    <s v="ORD0205"/>
    <x v="24"/>
    <x v="24"/>
    <s v="CUST051"/>
    <s v="PROD008"/>
    <n v="21"/>
    <n v="0.1"/>
    <s v="Completed"/>
    <n v="2.1"/>
    <n v="44.1"/>
    <n v="1.2"/>
    <n v="25.2"/>
    <n v="4.41"/>
    <n v="14.490000000000002"/>
    <n v="29.61"/>
    <x v="7"/>
    <x v="2"/>
    <x v="2"/>
    <x v="0"/>
    <x v="2"/>
    <s v="500ml"/>
  </r>
  <r>
    <s v="ORD0206"/>
    <x v="25"/>
    <x v="25"/>
    <s v="CUST037"/>
    <s v="PROD001"/>
    <n v="23"/>
    <n v="0"/>
    <s v="Completed"/>
    <n v="1.2"/>
    <n v="27.599999999999998"/>
    <n v="0.6"/>
    <n v="13.799999999999999"/>
    <n v="0"/>
    <n v="13.799999999999999"/>
    <n v="13.799999999999999"/>
    <x v="2"/>
    <x v="1"/>
    <x v="5"/>
    <x v="1"/>
    <x v="2"/>
    <s v="500ml"/>
  </r>
  <r>
    <s v="ORD0207"/>
    <x v="16"/>
    <x v="16"/>
    <s v="CUST042"/>
    <s v="PROD019"/>
    <n v="38"/>
    <n v="0.05"/>
    <s v="Completed"/>
    <n v="1.5"/>
    <n v="57"/>
    <n v="0.8"/>
    <n v="30.400000000000002"/>
    <n v="2.8500000000000005"/>
    <n v="23.749999999999996"/>
    <n v="33.25"/>
    <x v="10"/>
    <x v="2"/>
    <x v="10"/>
    <x v="2"/>
    <x v="0"/>
    <s v="250ml"/>
  </r>
  <r>
    <s v="ORD0208"/>
    <x v="25"/>
    <x v="25"/>
    <s v="CUST071"/>
    <s v="PROD005"/>
    <n v="46"/>
    <n v="0"/>
    <s v="Pending"/>
    <n v="2"/>
    <n v="92"/>
    <n v="1.1000000000000001"/>
    <n v="50.6"/>
    <n v="0"/>
    <n v="41.4"/>
    <n v="50.6"/>
    <x v="4"/>
    <x v="2"/>
    <x v="3"/>
    <x v="4"/>
    <x v="0"/>
    <s v="1L"/>
  </r>
  <r>
    <s v="ORD0209"/>
    <x v="22"/>
    <x v="22"/>
    <s v="CUST087"/>
    <s v="PROD012"/>
    <n v="39"/>
    <n v="0"/>
    <s v="Completed"/>
    <n v="2"/>
    <n v="78"/>
    <n v="1"/>
    <n v="39"/>
    <n v="0"/>
    <n v="39"/>
    <n v="39"/>
    <x v="1"/>
    <x v="1"/>
    <x v="2"/>
    <x v="2"/>
    <x v="4"/>
    <s v="1.5L"/>
  </r>
  <r>
    <s v="ORD0210"/>
    <x v="19"/>
    <x v="19"/>
    <s v="CUST037"/>
    <s v="PROD007"/>
    <n v="18"/>
    <n v="0"/>
    <s v="Completed"/>
    <n v="2.5"/>
    <n v="45"/>
    <n v="1.4"/>
    <n v="25.2"/>
    <n v="0"/>
    <n v="19.8"/>
    <n v="25.2"/>
    <x v="12"/>
    <x v="4"/>
    <x v="5"/>
    <x v="1"/>
    <x v="2"/>
    <s v="250ml"/>
  </r>
  <r>
    <s v="ORD0211"/>
    <x v="23"/>
    <x v="23"/>
    <s v="CUST050"/>
    <s v="PROD013"/>
    <n v="34"/>
    <n v="0"/>
    <s v="Completed"/>
    <n v="1.8"/>
    <n v="61.2"/>
    <n v="0.95"/>
    <n v="32.299999999999997"/>
    <n v="0"/>
    <n v="28.900000000000006"/>
    <n v="32.299999999999997"/>
    <x v="9"/>
    <x v="1"/>
    <x v="4"/>
    <x v="0"/>
    <x v="2"/>
    <s v="330ml"/>
  </r>
  <r>
    <s v="ORD0212"/>
    <x v="26"/>
    <x v="26"/>
    <s v="CUST054"/>
    <s v="PROD007"/>
    <n v="24"/>
    <n v="0"/>
    <s v="Completed"/>
    <n v="2.5"/>
    <n v="60"/>
    <n v="1.4"/>
    <n v="33.599999999999994"/>
    <n v="0"/>
    <n v="26.400000000000006"/>
    <n v="33.599999999999994"/>
    <x v="12"/>
    <x v="4"/>
    <x v="6"/>
    <x v="3"/>
    <x v="2"/>
    <s v="250ml"/>
  </r>
  <r>
    <s v="ORD0213"/>
    <x v="14"/>
    <x v="14"/>
    <s v="CUST066"/>
    <s v="PROD013"/>
    <n v="47"/>
    <n v="0"/>
    <s v="Completed"/>
    <n v="1.8"/>
    <n v="84.600000000000009"/>
    <n v="0.95"/>
    <n v="44.65"/>
    <n v="0"/>
    <n v="39.95000000000001"/>
    <n v="44.65"/>
    <x v="9"/>
    <x v="1"/>
    <x v="1"/>
    <x v="0"/>
    <x v="2"/>
    <s v="330ml"/>
  </r>
  <r>
    <s v="ORD0214"/>
    <x v="17"/>
    <x v="17"/>
    <s v="CUST006"/>
    <s v="PROD004"/>
    <n v="17"/>
    <n v="0"/>
    <s v="Completed"/>
    <n v="1.6"/>
    <n v="27.200000000000003"/>
    <n v="0.85"/>
    <n v="14.45"/>
    <n v="0"/>
    <n v="12.750000000000004"/>
    <n v="14.45"/>
    <x v="5"/>
    <x v="3"/>
    <x v="6"/>
    <x v="0"/>
    <x v="4"/>
    <s v="500ml"/>
  </r>
  <r>
    <s v="ORD0215"/>
    <x v="2"/>
    <x v="2"/>
    <s v="CUST059"/>
    <s v="PROD017"/>
    <n v="11"/>
    <n v="0"/>
    <s v="Completed"/>
    <n v="2.2000000000000002"/>
    <n v="24.200000000000003"/>
    <n v="1.2"/>
    <n v="13.2"/>
    <n v="0"/>
    <n v="11.000000000000004"/>
    <n v="13.2"/>
    <x v="0"/>
    <x v="0"/>
    <x v="3"/>
    <x v="0"/>
    <x v="3"/>
    <s v="500ml"/>
  </r>
  <r>
    <s v="ORD0216"/>
    <x v="3"/>
    <x v="3"/>
    <s v="CUST044"/>
    <s v="PROD019"/>
    <n v="30"/>
    <n v="0"/>
    <s v="Pending"/>
    <n v="1.5"/>
    <n v="45"/>
    <n v="0.8"/>
    <n v="24"/>
    <n v="0"/>
    <n v="21"/>
    <n v="24"/>
    <x v="10"/>
    <x v="2"/>
    <x v="4"/>
    <x v="4"/>
    <x v="2"/>
    <s v="250ml"/>
  </r>
  <r>
    <s v="ORD0217"/>
    <x v="14"/>
    <x v="14"/>
    <s v="CUST057"/>
    <s v="PROD007"/>
    <n v="47"/>
    <n v="0.05"/>
    <s v="Completed"/>
    <n v="2.5"/>
    <n v="117.5"/>
    <n v="1.4"/>
    <n v="65.8"/>
    <n v="5.875"/>
    <n v="45.825000000000003"/>
    <n v="71.674999999999997"/>
    <x v="12"/>
    <x v="4"/>
    <x v="5"/>
    <x v="2"/>
    <x v="1"/>
    <s v="250ml"/>
  </r>
  <r>
    <s v="ORD0218"/>
    <x v="29"/>
    <x v="29"/>
    <s v="CUST084"/>
    <s v="PROD009"/>
    <n v="29"/>
    <n v="0"/>
    <s v="Completed"/>
    <n v="1.9"/>
    <n v="55.099999999999994"/>
    <n v="1"/>
    <n v="29"/>
    <n v="0"/>
    <n v="26.099999999999994"/>
    <n v="29"/>
    <x v="11"/>
    <x v="1"/>
    <x v="8"/>
    <x v="4"/>
    <x v="0"/>
    <s v="1L"/>
  </r>
  <r>
    <s v="ORD0219"/>
    <x v="2"/>
    <x v="2"/>
    <s v="CUST076"/>
    <s v="PROD009"/>
    <n v="34"/>
    <n v="0.05"/>
    <s v="Completed"/>
    <n v="1.9"/>
    <n v="64.599999999999994"/>
    <n v="1"/>
    <n v="34"/>
    <n v="3.23"/>
    <n v="27.369999999999994"/>
    <n v="37.229999999999997"/>
    <x v="11"/>
    <x v="1"/>
    <x v="4"/>
    <x v="2"/>
    <x v="4"/>
    <s v="1L"/>
  </r>
  <r>
    <s v="ORD0220"/>
    <x v="9"/>
    <x v="9"/>
    <s v="CUST071"/>
    <s v="PROD013"/>
    <n v="50"/>
    <n v="0.1"/>
    <s v="Completed"/>
    <n v="1.8"/>
    <n v="90"/>
    <n v="0.95"/>
    <n v="47.5"/>
    <n v="9.0000000000000018"/>
    <n v="33.5"/>
    <n v="56.5"/>
    <x v="9"/>
    <x v="1"/>
    <x v="3"/>
    <x v="4"/>
    <x v="0"/>
    <s v="330ml"/>
  </r>
  <r>
    <s v="ORD0221"/>
    <x v="9"/>
    <x v="9"/>
    <s v="CUST092"/>
    <s v="PROD011"/>
    <n v="21"/>
    <n v="0"/>
    <s v="Pending"/>
    <n v="2.2999999999999998"/>
    <n v="48.3"/>
    <n v="1.25"/>
    <n v="26.25"/>
    <n v="0"/>
    <n v="22.049999999999997"/>
    <n v="26.25"/>
    <x v="15"/>
    <x v="2"/>
    <x v="15"/>
    <x v="2"/>
    <x v="4"/>
    <s v="1L"/>
  </r>
  <r>
    <s v="ORD0222"/>
    <x v="27"/>
    <x v="27"/>
    <s v="CUST053"/>
    <s v="PROD004"/>
    <n v="40"/>
    <n v="0"/>
    <s v="Completed"/>
    <n v="1.6"/>
    <n v="64"/>
    <n v="0.85"/>
    <n v="34"/>
    <n v="0"/>
    <n v="30"/>
    <n v="34"/>
    <x v="5"/>
    <x v="3"/>
    <x v="12"/>
    <x v="2"/>
    <x v="1"/>
    <s v="500ml"/>
  </r>
  <r>
    <s v="ORD0223"/>
    <x v="8"/>
    <x v="8"/>
    <s v="CUST001"/>
    <s v="PROD020"/>
    <n v="30"/>
    <n v="0"/>
    <s v="Completed"/>
    <n v="1.4"/>
    <n v="42"/>
    <n v="0.7"/>
    <n v="21"/>
    <n v="0"/>
    <n v="21"/>
    <n v="21"/>
    <x v="17"/>
    <x v="1"/>
    <x v="7"/>
    <x v="4"/>
    <x v="1"/>
    <s v="500ml"/>
  </r>
  <r>
    <s v="ORD0224"/>
    <x v="29"/>
    <x v="29"/>
    <s v="CUST018"/>
    <s v="PROD008"/>
    <n v="17"/>
    <n v="0"/>
    <s v="Pending"/>
    <n v="2.1"/>
    <n v="35.700000000000003"/>
    <n v="1.2"/>
    <n v="20.399999999999999"/>
    <n v="0"/>
    <n v="15.300000000000004"/>
    <n v="20.399999999999999"/>
    <x v="7"/>
    <x v="2"/>
    <x v="13"/>
    <x v="2"/>
    <x v="4"/>
    <s v="500ml"/>
  </r>
  <r>
    <s v="ORD0225"/>
    <x v="15"/>
    <x v="15"/>
    <s v="CUST076"/>
    <s v="PROD006"/>
    <n v="46"/>
    <n v="0.05"/>
    <s v="Completed"/>
    <n v="1.7"/>
    <n v="78.2"/>
    <n v="0.9"/>
    <n v="41.4"/>
    <n v="3.91"/>
    <n v="32.89"/>
    <n v="45.31"/>
    <x v="8"/>
    <x v="3"/>
    <x v="4"/>
    <x v="2"/>
    <x v="4"/>
    <s v="500ml"/>
  </r>
  <r>
    <s v="ORD0226"/>
    <x v="16"/>
    <x v="16"/>
    <s v="CUST069"/>
    <s v="PROD020"/>
    <n v="38"/>
    <n v="0.05"/>
    <s v="Completed"/>
    <n v="1.4"/>
    <n v="53.199999999999996"/>
    <n v="0.7"/>
    <n v="26.599999999999998"/>
    <n v="2.6599999999999997"/>
    <n v="23.939999999999998"/>
    <n v="29.259999999999998"/>
    <x v="17"/>
    <x v="1"/>
    <x v="10"/>
    <x v="2"/>
    <x v="0"/>
    <s v="500ml"/>
  </r>
  <r>
    <s v="ORD0227"/>
    <x v="3"/>
    <x v="3"/>
    <s v="CUST088"/>
    <s v="PROD016"/>
    <n v="30"/>
    <n v="0.1"/>
    <s v="Pending"/>
    <n v="1.9"/>
    <n v="57"/>
    <n v="0.95"/>
    <n v="28.5"/>
    <n v="5.7"/>
    <n v="22.8"/>
    <n v="34.200000000000003"/>
    <x v="3"/>
    <x v="1"/>
    <x v="14"/>
    <x v="3"/>
    <x v="2"/>
    <s v="500ml"/>
  </r>
  <r>
    <s v="ORD0228"/>
    <x v="20"/>
    <x v="20"/>
    <s v="CUST007"/>
    <s v="PROD002"/>
    <n v="33"/>
    <n v="0"/>
    <s v="Completed"/>
    <n v="1.8"/>
    <n v="59.4"/>
    <n v="0.9"/>
    <n v="29.7"/>
    <n v="0"/>
    <n v="29.7"/>
    <n v="29.7"/>
    <x v="6"/>
    <x v="1"/>
    <x v="0"/>
    <x v="0"/>
    <x v="0"/>
    <s v="1L"/>
  </r>
  <r>
    <s v="ORD0229"/>
    <x v="26"/>
    <x v="26"/>
    <s v="CUST028"/>
    <s v="PROD013"/>
    <n v="50"/>
    <n v="0"/>
    <s v="Completed"/>
    <n v="1.8"/>
    <n v="90"/>
    <n v="0.95"/>
    <n v="47.5"/>
    <n v="0"/>
    <n v="42.5"/>
    <n v="47.5"/>
    <x v="9"/>
    <x v="1"/>
    <x v="14"/>
    <x v="1"/>
    <x v="2"/>
    <s v="330ml"/>
  </r>
  <r>
    <s v="ORD0230"/>
    <x v="16"/>
    <x v="16"/>
    <s v="CUST033"/>
    <s v="PROD013"/>
    <n v="41"/>
    <n v="0.05"/>
    <s v="Completed"/>
    <n v="1.8"/>
    <n v="73.8"/>
    <n v="0.95"/>
    <n v="38.949999999999996"/>
    <n v="3.6900000000000004"/>
    <n v="31.16"/>
    <n v="42.639999999999993"/>
    <x v="9"/>
    <x v="1"/>
    <x v="6"/>
    <x v="0"/>
    <x v="1"/>
    <s v="330ml"/>
  </r>
  <r>
    <s v="ORD0231"/>
    <x v="27"/>
    <x v="27"/>
    <s v="CUST074"/>
    <s v="PROD020"/>
    <n v="46"/>
    <n v="0.1"/>
    <s v="Completed"/>
    <n v="1.4"/>
    <n v="64.399999999999991"/>
    <n v="0.7"/>
    <n v="32.199999999999996"/>
    <n v="6.4399999999999995"/>
    <n v="25.759999999999998"/>
    <n v="38.639999999999993"/>
    <x v="17"/>
    <x v="1"/>
    <x v="8"/>
    <x v="5"/>
    <x v="3"/>
    <s v="500ml"/>
  </r>
  <r>
    <s v="ORD0232"/>
    <x v="3"/>
    <x v="3"/>
    <s v="CUST004"/>
    <s v="PROD018"/>
    <n v="45"/>
    <n v="0.1"/>
    <s v="Completed"/>
    <n v="1.7"/>
    <n v="76.5"/>
    <n v="0.9"/>
    <n v="40.5"/>
    <n v="7.65"/>
    <n v="28.35"/>
    <n v="48.15"/>
    <x v="16"/>
    <x v="3"/>
    <x v="12"/>
    <x v="1"/>
    <x v="3"/>
    <s v="330ml"/>
  </r>
  <r>
    <s v="ORD0233"/>
    <x v="28"/>
    <x v="28"/>
    <s v="CUST032"/>
    <s v="PROD012"/>
    <n v="23"/>
    <n v="0"/>
    <s v="Completed"/>
    <n v="2"/>
    <n v="46"/>
    <n v="1"/>
    <n v="23"/>
    <n v="0"/>
    <n v="23"/>
    <n v="23"/>
    <x v="1"/>
    <x v="1"/>
    <x v="9"/>
    <x v="5"/>
    <x v="2"/>
    <s v="1.5L"/>
  </r>
  <r>
    <s v="ORD0234"/>
    <x v="17"/>
    <x v="17"/>
    <s v="CUST034"/>
    <s v="PROD017"/>
    <n v="26"/>
    <n v="0"/>
    <s v="Pending"/>
    <n v="2.2000000000000002"/>
    <n v="57.2"/>
    <n v="1.2"/>
    <n v="31.2"/>
    <n v="0"/>
    <n v="26.000000000000004"/>
    <n v="31.2"/>
    <x v="0"/>
    <x v="0"/>
    <x v="4"/>
    <x v="3"/>
    <x v="2"/>
    <s v="500ml"/>
  </r>
  <r>
    <s v="ORD0235"/>
    <x v="17"/>
    <x v="17"/>
    <s v="CUST066"/>
    <s v="PROD007"/>
    <n v="38"/>
    <n v="0"/>
    <s v="Completed"/>
    <n v="2.5"/>
    <n v="95"/>
    <n v="1.4"/>
    <n v="53.199999999999996"/>
    <n v="0"/>
    <n v="41.800000000000004"/>
    <n v="53.199999999999996"/>
    <x v="12"/>
    <x v="4"/>
    <x v="1"/>
    <x v="0"/>
    <x v="2"/>
    <s v="250ml"/>
  </r>
  <r>
    <s v="ORD0236"/>
    <x v="16"/>
    <x v="16"/>
    <s v="CUST067"/>
    <s v="PROD013"/>
    <n v="22"/>
    <n v="0"/>
    <s v="Completed"/>
    <n v="1.8"/>
    <n v="39.6"/>
    <n v="0.95"/>
    <n v="20.9"/>
    <n v="0"/>
    <n v="18.700000000000003"/>
    <n v="20.9"/>
    <x v="9"/>
    <x v="1"/>
    <x v="8"/>
    <x v="1"/>
    <x v="0"/>
    <s v="330ml"/>
  </r>
  <r>
    <s v="ORD0237"/>
    <x v="24"/>
    <x v="24"/>
    <s v="CUST026"/>
    <s v="PROD019"/>
    <n v="5"/>
    <n v="0"/>
    <s v="Pending"/>
    <n v="1.5"/>
    <n v="7.5"/>
    <n v="0.8"/>
    <n v="4"/>
    <n v="0"/>
    <n v="3.5"/>
    <n v="4"/>
    <x v="10"/>
    <x v="2"/>
    <x v="0"/>
    <x v="0"/>
    <x v="3"/>
    <s v="250ml"/>
  </r>
  <r>
    <s v="ORD0238"/>
    <x v="11"/>
    <x v="11"/>
    <s v="CUST055"/>
    <s v="PROD016"/>
    <n v="10"/>
    <n v="0"/>
    <s v="Completed"/>
    <n v="1.9"/>
    <n v="19"/>
    <n v="0.95"/>
    <n v="9.5"/>
    <n v="0"/>
    <n v="9.5"/>
    <n v="9.5"/>
    <x v="3"/>
    <x v="1"/>
    <x v="2"/>
    <x v="1"/>
    <x v="4"/>
    <s v="500ml"/>
  </r>
  <r>
    <s v="ORD0239"/>
    <x v="11"/>
    <x v="11"/>
    <s v="CUST091"/>
    <s v="PROD005"/>
    <n v="8"/>
    <n v="0.05"/>
    <s v="Completed"/>
    <n v="2"/>
    <n v="16"/>
    <n v="1.1000000000000001"/>
    <n v="8.8000000000000007"/>
    <n v="0.8"/>
    <n v="6.3999999999999995"/>
    <n v="9.6000000000000014"/>
    <x v="4"/>
    <x v="2"/>
    <x v="4"/>
    <x v="0"/>
    <x v="2"/>
    <s v="1L"/>
  </r>
  <r>
    <s v="ORD0240"/>
    <x v="18"/>
    <x v="18"/>
    <s v="CUST026"/>
    <s v="PROD010"/>
    <n v="45"/>
    <n v="0"/>
    <s v="Pending"/>
    <n v="2.2000000000000002"/>
    <n v="99.000000000000014"/>
    <n v="1.3"/>
    <n v="58.5"/>
    <n v="0"/>
    <n v="40.500000000000014"/>
    <n v="58.5"/>
    <x v="13"/>
    <x v="0"/>
    <x v="0"/>
    <x v="0"/>
    <x v="3"/>
    <s v="500ml"/>
  </r>
  <r>
    <s v="ORD0241"/>
    <x v="13"/>
    <x v="13"/>
    <s v="CUST050"/>
    <s v="PROD013"/>
    <n v="32"/>
    <n v="0.1"/>
    <s v="Completed"/>
    <n v="1.8"/>
    <n v="57.6"/>
    <n v="0.95"/>
    <n v="30.4"/>
    <n v="5.7600000000000007"/>
    <n v="21.44"/>
    <n v="36.159999999999997"/>
    <x v="9"/>
    <x v="1"/>
    <x v="4"/>
    <x v="0"/>
    <x v="2"/>
    <s v="330ml"/>
  </r>
  <r>
    <s v="ORD0242"/>
    <x v="23"/>
    <x v="23"/>
    <s v="CUST006"/>
    <s v="PROD004"/>
    <n v="46"/>
    <n v="0"/>
    <s v="Completed"/>
    <n v="1.6"/>
    <n v="73.600000000000009"/>
    <n v="0.85"/>
    <n v="39.1"/>
    <n v="0"/>
    <n v="34.500000000000007"/>
    <n v="39.1"/>
    <x v="5"/>
    <x v="3"/>
    <x v="6"/>
    <x v="0"/>
    <x v="4"/>
    <s v="500ml"/>
  </r>
  <r>
    <s v="ORD0243"/>
    <x v="29"/>
    <x v="29"/>
    <s v="CUST066"/>
    <s v="PROD017"/>
    <n v="28"/>
    <n v="0"/>
    <s v="Pending"/>
    <n v="2.2000000000000002"/>
    <n v="61.600000000000009"/>
    <n v="1.2"/>
    <n v="33.6"/>
    <n v="0"/>
    <n v="28.000000000000007"/>
    <n v="33.6"/>
    <x v="0"/>
    <x v="0"/>
    <x v="1"/>
    <x v="0"/>
    <x v="2"/>
    <s v="500ml"/>
  </r>
  <r>
    <s v="ORD0244"/>
    <x v="28"/>
    <x v="28"/>
    <s v="CUST001"/>
    <s v="PROD011"/>
    <n v="7"/>
    <n v="0"/>
    <s v="Completed"/>
    <n v="2.2999999999999998"/>
    <n v="16.099999999999998"/>
    <n v="1.25"/>
    <n v="8.75"/>
    <n v="0"/>
    <n v="7.3499999999999979"/>
    <n v="8.75"/>
    <x v="15"/>
    <x v="2"/>
    <x v="7"/>
    <x v="4"/>
    <x v="1"/>
    <s v="1L"/>
  </r>
  <r>
    <s v="ORD0245"/>
    <x v="24"/>
    <x v="24"/>
    <s v="CUST052"/>
    <s v="PROD010"/>
    <n v="36"/>
    <n v="0"/>
    <s v="Completed"/>
    <n v="2.2000000000000002"/>
    <n v="79.2"/>
    <n v="1.3"/>
    <n v="46.800000000000004"/>
    <n v="0"/>
    <n v="32.4"/>
    <n v="46.800000000000004"/>
    <x v="13"/>
    <x v="0"/>
    <x v="2"/>
    <x v="4"/>
    <x v="2"/>
    <s v="500ml"/>
  </r>
  <r>
    <s v="ORD0246"/>
    <x v="4"/>
    <x v="4"/>
    <s v="CUST010"/>
    <s v="PROD001"/>
    <n v="47"/>
    <n v="0"/>
    <s v="Completed"/>
    <n v="1.2"/>
    <n v="56.4"/>
    <n v="0.6"/>
    <n v="28.2"/>
    <n v="0"/>
    <n v="28.2"/>
    <n v="28.2"/>
    <x v="2"/>
    <x v="1"/>
    <x v="9"/>
    <x v="5"/>
    <x v="4"/>
    <s v="500ml"/>
  </r>
  <r>
    <s v="ORD0247"/>
    <x v="15"/>
    <x v="15"/>
    <s v="CUST048"/>
    <s v="PROD010"/>
    <n v="42"/>
    <n v="0"/>
    <s v="Completed"/>
    <n v="2.2000000000000002"/>
    <n v="92.4"/>
    <n v="1.3"/>
    <n v="54.6"/>
    <n v="0"/>
    <n v="37.800000000000004"/>
    <n v="54.6"/>
    <x v="13"/>
    <x v="0"/>
    <x v="1"/>
    <x v="1"/>
    <x v="2"/>
    <s v="500ml"/>
  </r>
  <r>
    <s v="ORD0248"/>
    <x v="4"/>
    <x v="4"/>
    <s v="CUST015"/>
    <s v="PROD011"/>
    <n v="18"/>
    <n v="0"/>
    <s v="Completed"/>
    <n v="2.2999999999999998"/>
    <n v="41.4"/>
    <n v="1.25"/>
    <n v="22.5"/>
    <n v="0"/>
    <n v="18.899999999999999"/>
    <n v="22.5"/>
    <x v="15"/>
    <x v="2"/>
    <x v="5"/>
    <x v="0"/>
    <x v="0"/>
    <s v="1L"/>
  </r>
  <r>
    <s v="ORD0249"/>
    <x v="28"/>
    <x v="28"/>
    <s v="CUST029"/>
    <s v="PROD005"/>
    <n v="34"/>
    <n v="0"/>
    <s v="Completed"/>
    <n v="2"/>
    <n v="68"/>
    <n v="1.1000000000000001"/>
    <n v="37.400000000000006"/>
    <n v="0"/>
    <n v="30.599999999999994"/>
    <n v="37.400000000000006"/>
    <x v="4"/>
    <x v="2"/>
    <x v="2"/>
    <x v="2"/>
    <x v="0"/>
    <s v="1L"/>
  </r>
  <r>
    <s v="ORD0250"/>
    <x v="3"/>
    <x v="3"/>
    <s v="CUST014"/>
    <s v="PROD005"/>
    <n v="46"/>
    <n v="0"/>
    <s v="Completed"/>
    <n v="2"/>
    <n v="92"/>
    <n v="1.1000000000000001"/>
    <n v="50.6"/>
    <n v="0"/>
    <n v="41.4"/>
    <n v="50.6"/>
    <x v="4"/>
    <x v="2"/>
    <x v="6"/>
    <x v="2"/>
    <x v="3"/>
    <s v="1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70E066-8723-483F-8B9C-0CECE52CB36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3:B68" firstHeaderRow="1" firstDataRow="1" firstDataCol="1"/>
  <pivotFields count="21">
    <pivotField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axis="axisRow" showAll="0">
      <items count="7">
        <item m="1" x="5"/>
        <item x="0"/>
        <item x="4"/>
        <item x="1"/>
        <item x="2"/>
        <item x="3"/>
        <item t="default"/>
      </items>
    </pivotField>
    <pivotField showAll="0"/>
  </pivotFields>
  <rowFields count="1">
    <field x="19"/>
  </rowFields>
  <rowItems count="5">
    <i>
      <x v="1"/>
    </i>
    <i>
      <x v="2"/>
    </i>
    <i>
      <x v="3"/>
    </i>
    <i>
      <x v="4"/>
    </i>
    <i>
      <x v="5"/>
    </i>
  </rowItems>
  <colItems count="1">
    <i/>
  </colItems>
  <dataFields count="1">
    <dataField name="Sum of Gross_Sales" fld="9" baseField="0" baseItem="0"/>
  </dataFields>
  <formats count="2">
    <format dxfId="251">
      <pivotArea field="19" type="button" dataOnly="0" labelOnly="1" outline="0" axis="axisRow" fieldPosition="0"/>
    </format>
    <format dxfId="2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184F1C-8128-46EC-AE3C-9950BFE19A8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7:C37" firstHeaderRow="0" firstDataRow="1" firstDataCol="1"/>
  <pivotFields count="21">
    <pivotField showAll="0"/>
    <pivotField axis="axisRow"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showAll="0"/>
    <pivotField showAll="0"/>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2">
    <i>
      <x/>
    </i>
    <i i="1">
      <x v="1"/>
    </i>
  </colItems>
  <dataFields count="2">
    <dataField name="Sum of Gross_Sales" fld="9" baseField="0" baseItem="0"/>
    <dataField name="Sum of Gross_Sales2" fld="9" baseField="0" baseItem="0"/>
  </dataFields>
  <formats count="4">
    <format dxfId="255">
      <pivotArea field="1" type="button" dataOnly="0" labelOnly="1" outline="0" axis="axisRow" fieldPosition="0"/>
    </format>
    <format dxfId="254">
      <pivotArea field="1" type="button" dataOnly="0" labelOnly="1" outline="0" axis="axisRow" fieldPosition="0"/>
    </format>
    <format dxfId="253">
      <pivotArea dataOnly="0" labelOnly="1" outline="0" fieldPosition="0">
        <references count="1">
          <reference field="4294967294" count="1">
            <x v="0"/>
          </reference>
        </references>
      </pivotArea>
    </format>
    <format dxfId="252">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A7DE7-1891-4B1C-BB1A-7897E6F26AC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73:B78" firstHeaderRow="1" firstDataRow="1" firstDataCol="1"/>
  <pivotFields count="21">
    <pivotField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axis="axisRow"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showAll="0"/>
    <pivotField showAll="0"/>
  </pivotFields>
  <rowFields count="1">
    <field x="16"/>
  </rowFields>
  <rowItems count="5">
    <i>
      <x v="1"/>
    </i>
    <i>
      <x v="2"/>
    </i>
    <i>
      <x v="3"/>
    </i>
    <i>
      <x v="4"/>
    </i>
    <i>
      <x v="5"/>
    </i>
  </rowItems>
  <colItems count="1">
    <i/>
  </colItems>
  <dataFields count="1">
    <dataField name="Sum of Gross_Sales" fld="9" baseField="0" baseItem="0"/>
  </dataFields>
  <formats count="2">
    <format dxfId="257">
      <pivotArea field="16" type="button" dataOnly="0" labelOnly="1" outline="0" axis="axisRow" fieldPosition="0"/>
    </format>
    <format dxfId="256">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59C17-3636-48CB-9B52-B19D5EB3826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G4" firstHeaderRow="0" firstDataRow="1" firstDataCol="0"/>
  <pivotFields count="21">
    <pivotField dataField="1"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dataField="1" showAll="0"/>
    <pivotField showAll="0"/>
    <pivotField showAll="0"/>
    <pivotField showAll="0"/>
    <pivotField dataField="1" showAll="0"/>
    <pivotField showAll="0"/>
    <pivotField dataField="1" showAll="0"/>
    <pivotField dataField="1" showAll="0"/>
    <pivotField dataField="1" numFmtId="2" showAll="0"/>
    <pivotField dataField="1" numFmtId="2" showAll="0"/>
    <pivotField showAll="0"/>
    <pivotField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showAll="0"/>
    <pivotField showAll="0"/>
  </pivotFields>
  <rowItems count="1">
    <i/>
  </rowItems>
  <colFields count="1">
    <field x="-2"/>
  </colFields>
  <colItems count="7">
    <i>
      <x/>
    </i>
    <i i="1">
      <x v="1"/>
    </i>
    <i i="2">
      <x v="2"/>
    </i>
    <i i="3">
      <x v="3"/>
    </i>
    <i i="4">
      <x v="4"/>
    </i>
    <i i="5">
      <x v="5"/>
    </i>
    <i i="6">
      <x v="6"/>
    </i>
  </colItems>
  <dataFields count="7">
    <dataField name="Count of Order_ID" fld="0" subtotal="count" baseField="0" baseItem="0"/>
    <dataField name="Sum of Quantity" fld="5" baseField="0" baseItem="0"/>
    <dataField name="Sum of Gross_Sales" fld="9" baseField="0" baseItem="0"/>
    <dataField name="Sum of Total_Cost" fld="11" baseField="0" baseItem="0"/>
    <dataField name="Sum of Profit" fld="13" baseField="0" baseItem="0" numFmtId="165"/>
    <dataField name="Sum of Total_Discount" fld="12" baseField="0" baseItem="0" numFmtId="165"/>
    <dataField name="Sum of Overal Cost" fld="14" baseField="0" baseItem="0" numFmtId="165"/>
  </dataFields>
  <formats count="9">
    <format dxfId="266">
      <pivotArea dataOnly="0" labelOnly="1" outline="0" fieldPosition="0">
        <references count="1">
          <reference field="4294967294" count="1">
            <x v="0"/>
          </reference>
        </references>
      </pivotArea>
    </format>
    <format dxfId="265">
      <pivotArea dataOnly="0" labelOnly="1" outline="0" fieldPosition="0">
        <references count="1">
          <reference field="4294967294" count="1">
            <x v="0"/>
          </reference>
        </references>
      </pivotArea>
    </format>
    <format dxfId="264">
      <pivotArea dataOnly="0" labelOnly="1" outline="0" fieldPosition="0">
        <references count="1">
          <reference field="4294967294" count="1">
            <x v="1"/>
          </reference>
        </references>
      </pivotArea>
    </format>
    <format dxfId="263">
      <pivotArea dataOnly="0" labelOnly="1" outline="0" fieldPosition="0">
        <references count="1">
          <reference field="4294967294" count="1">
            <x v="2"/>
          </reference>
        </references>
      </pivotArea>
    </format>
    <format dxfId="262">
      <pivotArea dataOnly="0" labelOnly="1" outline="0" fieldPosition="0">
        <references count="1">
          <reference field="4294967294" count="1">
            <x v="3"/>
          </reference>
        </references>
      </pivotArea>
    </format>
    <format dxfId="261">
      <pivotArea dataOnly="0" labelOnly="1" outline="0" fieldPosition="0">
        <references count="1">
          <reference field="4294967294" count="1">
            <x v="4"/>
          </reference>
        </references>
      </pivotArea>
    </format>
    <format dxfId="260">
      <pivotArea dataOnly="0" labelOnly="1" outline="0" fieldPosition="0">
        <references count="1">
          <reference field="4294967294" count="1">
            <x v="5"/>
          </reference>
        </references>
      </pivotArea>
    </format>
    <format dxfId="259">
      <pivotArea dataOnly="0" labelOnly="1" outline="0" fieldPosition="0">
        <references count="1">
          <reference field="4294967294" count="1">
            <x v="6"/>
          </reference>
        </references>
      </pivotArea>
    </format>
    <format dxfId="258">
      <pivotArea outline="0" collapsedLevelsAreSubtotals="1" fieldPosition="0">
        <references count="1">
          <reference field="4294967294" count="3" selected="0">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402CC2-028B-411D-AAFF-8EA639C1FF0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fé">
  <location ref="A106:B112" firstHeaderRow="1" firstDataRow="1" firstDataCol="1"/>
  <pivotFields count="21">
    <pivotField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axis="axisRow" showAll="0">
      <items count="8">
        <item m="1" x="6"/>
        <item x="4"/>
        <item x="2"/>
        <item x="0"/>
        <item x="1"/>
        <item x="5"/>
        <item x="3"/>
        <item t="default"/>
      </items>
    </pivotField>
    <pivotField showAll="0"/>
    <pivotField showAll="0"/>
  </pivotFields>
  <rowFields count="1">
    <field x="18"/>
  </rowFields>
  <rowItems count="6">
    <i>
      <x v="1"/>
    </i>
    <i>
      <x v="2"/>
    </i>
    <i>
      <x v="3"/>
    </i>
    <i>
      <x v="4"/>
    </i>
    <i>
      <x v="5"/>
    </i>
    <i>
      <x v="6"/>
    </i>
  </rowItems>
  <colItems count="1">
    <i/>
  </colItems>
  <dataFields count="1">
    <dataField name="Sum of Gross_Sales" fld="9" baseField="0" baseItem="0"/>
  </dataFields>
  <formats count="2">
    <format dxfId="268">
      <pivotArea field="18" type="button" dataOnly="0" labelOnly="1" outline="0" axis="axisRow" fieldPosition="0"/>
    </format>
    <format dxfId="2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407EE-E5F3-4FBC-9F2C-57F6245BB11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3:C103" firstHeaderRow="0" firstDataRow="1" firstDataCol="1"/>
  <pivotFields count="21">
    <pivotField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dataField="1" numFmtId="2" showAll="0"/>
    <pivotField axis="axisRow" showAll="0" sortType="ascending">
      <items count="22">
        <item m="1" x="20"/>
        <item x="4"/>
        <item x="7"/>
        <item x="14"/>
        <item x="12"/>
        <item x="18"/>
        <item x="13"/>
        <item x="10"/>
        <item x="8"/>
        <item x="15"/>
        <item x="1"/>
        <item x="5"/>
        <item x="0"/>
        <item x="19"/>
        <item x="9"/>
        <item x="6"/>
        <item x="17"/>
        <item x="2"/>
        <item x="11"/>
        <item x="3"/>
        <item x="16"/>
        <item t="default"/>
      </items>
      <autoSortScope>
        <pivotArea dataOnly="0" outline="0" fieldPosition="0">
          <references count="1">
            <reference field="4294967294" count="1" selected="0">
              <x v="0"/>
            </reference>
          </references>
        </pivotArea>
      </autoSortScope>
    </pivotField>
    <pivotField showAll="0">
      <items count="7">
        <item m="1" x="5"/>
        <item x="4"/>
        <item x="2"/>
        <item x="3"/>
        <item x="0"/>
        <item x="1"/>
        <item t="default"/>
      </items>
    </pivotField>
    <pivotField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showAll="0"/>
    <pivotField showAll="0"/>
  </pivotFields>
  <rowFields count="1">
    <field x="15"/>
  </rowFields>
  <rowItems count="20">
    <i>
      <x v="3"/>
    </i>
    <i>
      <x v="15"/>
    </i>
    <i>
      <x v="18"/>
    </i>
    <i>
      <x v="5"/>
    </i>
    <i>
      <x v="11"/>
    </i>
    <i>
      <x v="13"/>
    </i>
    <i>
      <x v="20"/>
    </i>
    <i>
      <x v="10"/>
    </i>
    <i>
      <x v="16"/>
    </i>
    <i>
      <x v="2"/>
    </i>
    <i>
      <x v="17"/>
    </i>
    <i>
      <x v="7"/>
    </i>
    <i>
      <x v="12"/>
    </i>
    <i>
      <x v="9"/>
    </i>
    <i>
      <x v="8"/>
    </i>
    <i>
      <x v="1"/>
    </i>
    <i>
      <x v="19"/>
    </i>
    <i>
      <x v="6"/>
    </i>
    <i>
      <x v="14"/>
    </i>
    <i>
      <x v="4"/>
    </i>
  </rowItems>
  <colFields count="1">
    <field x="-2"/>
  </colFields>
  <colItems count="2">
    <i>
      <x/>
    </i>
    <i i="1">
      <x v="1"/>
    </i>
  </colItems>
  <dataFields count="2">
    <dataField name="Sum of Overal Cost" fld="14" baseField="0" baseItem="0" numFmtId="2"/>
    <dataField name="Sum of Profit" fld="13" baseField="0" baseItem="0" numFmtId="165"/>
  </dataFields>
  <formats count="4">
    <format dxfId="272">
      <pivotArea outline="0" collapsedLevelsAreSubtotals="1" fieldPosition="0">
        <references count="1">
          <reference field="4294967294" count="1" selected="0">
            <x v="1"/>
          </reference>
        </references>
      </pivotArea>
    </format>
    <format dxfId="271">
      <pivotArea field="15" type="button" dataOnly="0" labelOnly="1" outline="0" axis="axisRow" fieldPosition="0"/>
    </format>
    <format dxfId="270">
      <pivotArea dataOnly="0" labelOnly="1" outline="0" fieldPosition="0">
        <references count="1">
          <reference field="4294967294" count="1">
            <x v="0"/>
          </reference>
        </references>
      </pivotArea>
    </format>
    <format dxfId="26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3F5017-F0B3-41B8-AD74-5CEA9EFC6B5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2:B58" firstHeaderRow="1" firstDataRow="1" firstDataCol="1"/>
  <pivotFields count="21">
    <pivotField showAll="0"/>
    <pivotField showAll="0">
      <items count="31">
        <item x="10"/>
        <item x="6"/>
        <item x="8"/>
        <item x="17"/>
        <item x="9"/>
        <item x="28"/>
        <item x="5"/>
        <item x="0"/>
        <item x="4"/>
        <item x="14"/>
        <item x="11"/>
        <item x="16"/>
        <item x="2"/>
        <item x="18"/>
        <item x="21"/>
        <item x="15"/>
        <item x="3"/>
        <item x="23"/>
        <item x="20"/>
        <item x="12"/>
        <item x="24"/>
        <item x="13"/>
        <item x="1"/>
        <item x="25"/>
        <item x="19"/>
        <item x="29"/>
        <item x="7"/>
        <item x="27"/>
        <item x="22"/>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2" showAll="0"/>
    <pivotField numFmtId="2" showAll="0"/>
    <pivotField showAll="0"/>
    <pivotField showAll="0">
      <items count="7">
        <item m="1" x="5"/>
        <item x="4"/>
        <item x="2"/>
        <item x="3"/>
        <item x="0"/>
        <item x="1"/>
        <item t="default"/>
      </items>
    </pivotField>
    <pivotField axis="axisRow" showAll="0">
      <items count="18">
        <item m="1" x="16"/>
        <item x="9"/>
        <item x="15"/>
        <item x="13"/>
        <item x="14"/>
        <item x="6"/>
        <item x="0"/>
        <item x="12"/>
        <item x="7"/>
        <item x="8"/>
        <item x="11"/>
        <item x="4"/>
        <item x="3"/>
        <item x="10"/>
        <item x="1"/>
        <item x="2"/>
        <item x="5"/>
        <item t="default"/>
      </items>
    </pivotField>
    <pivotField showAll="0">
      <items count="8">
        <item m="1" x="6"/>
        <item x="4"/>
        <item x="2"/>
        <item x="0"/>
        <item x="1"/>
        <item x="5"/>
        <item x="3"/>
        <item t="default"/>
      </items>
    </pivotField>
    <pivotField showAll="0"/>
    <pivotField showAll="0"/>
  </pivotFields>
  <rowFields count="1">
    <field x="17"/>
  </rowFields>
  <rowItems count="16">
    <i>
      <x v="1"/>
    </i>
    <i>
      <x v="2"/>
    </i>
    <i>
      <x v="3"/>
    </i>
    <i>
      <x v="4"/>
    </i>
    <i>
      <x v="5"/>
    </i>
    <i>
      <x v="6"/>
    </i>
    <i>
      <x v="7"/>
    </i>
    <i>
      <x v="8"/>
    </i>
    <i>
      <x v="9"/>
    </i>
    <i>
      <x v="10"/>
    </i>
    <i>
      <x v="11"/>
    </i>
    <i>
      <x v="12"/>
    </i>
    <i>
      <x v="13"/>
    </i>
    <i>
      <x v="14"/>
    </i>
    <i>
      <x v="15"/>
    </i>
    <i>
      <x v="16"/>
    </i>
  </rowItems>
  <colItems count="1">
    <i/>
  </colItems>
  <dataFields count="1">
    <dataField name="Sum of Gross_Sales" fld="9" baseField="0" baseItem="0"/>
  </dataFields>
  <formats count="2">
    <format dxfId="274">
      <pivotArea field="17" type="button" dataOnly="0" labelOnly="1" outline="0" axis="axisRow" fieldPosition="0"/>
    </format>
    <format dxfId="2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Number" xr10:uid="{7576E3B8-60D5-4E48-A157-9379313EDAC7}" sourceName="Date Number">
  <pivotTables>
    <pivotTable tabId="8" name="PivotTable2"/>
    <pivotTable tabId="8" name="PivotTable1"/>
    <pivotTable tabId="8" name="PivotTable4"/>
    <pivotTable tabId="8" name="PivotTable5"/>
    <pivotTable tabId="8" name="PivotTable6"/>
    <pivotTable tabId="8" name="PivotTable8"/>
    <pivotTable tabId="8" name="PivotTable9"/>
  </pivotTables>
  <data>
    <tabular pivotCacheId="1891890342">
      <items count="30">
        <i x="10" s="1"/>
        <i x="6" s="1"/>
        <i x="8" s="1"/>
        <i x="17" s="1"/>
        <i x="9" s="1"/>
        <i x="28" s="1"/>
        <i x="5" s="1"/>
        <i x="0" s="1"/>
        <i x="4" s="1"/>
        <i x="14" s="1"/>
        <i x="11" s="1"/>
        <i x="16" s="1"/>
        <i x="2" s="1"/>
        <i x="18" s="1"/>
        <i x="21" s="1"/>
        <i x="15" s="1"/>
        <i x="3" s="1"/>
        <i x="23" s="1"/>
        <i x="20" s="1"/>
        <i x="12" s="1"/>
        <i x="24" s="1"/>
        <i x="13" s="1"/>
        <i x="1" s="1"/>
        <i x="25" s="1"/>
        <i x="19" s="1"/>
        <i x="29" s="1"/>
        <i x="7" s="1"/>
        <i x="27" s="1"/>
        <i x="22" s="1"/>
        <i x="2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F25EBD5B-E709-41BB-95B6-D7FB0FB58F32}" sourceName="County">
  <pivotTables>
    <pivotTable tabId="8" name="PivotTable2"/>
    <pivotTable tabId="8" name="PivotTable1"/>
    <pivotTable tabId="8" name="PivotTable4"/>
    <pivotTable tabId="8" name="PivotTable5"/>
    <pivotTable tabId="8" name="PivotTable6"/>
    <pivotTable tabId="8" name="PivotTable8"/>
    <pivotTable tabId="8" name="PivotTable9"/>
  </pivotTables>
  <data>
    <tabular pivotCacheId="1891890342">
      <items count="17">
        <i x="9" s="1"/>
        <i x="15" s="1"/>
        <i x="13" s="1"/>
        <i x="14" s="1"/>
        <i x="6" s="1"/>
        <i x="0" s="1"/>
        <i x="12" s="1"/>
        <i x="7" s="1"/>
        <i x="8" s="1"/>
        <i x="11" s="1"/>
        <i x="4" s="1"/>
        <i x="3" s="1"/>
        <i x="10" s="1"/>
        <i x="1" s="1"/>
        <i x="2" s="1"/>
        <i x="5" s="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D30B73-CABF-474A-90CC-260F2F90F8A7}" sourceName="Category">
  <pivotTables>
    <pivotTable tabId="8" name="PivotTable2"/>
    <pivotTable tabId="8" name="PivotTable1"/>
    <pivotTable tabId="8" name="PivotTable4"/>
    <pivotTable tabId="8" name="PivotTable5"/>
    <pivotTable tabId="8" name="PivotTable6"/>
    <pivotTable tabId="8" name="PivotTable8"/>
    <pivotTable tabId="8" name="PivotTable9"/>
  </pivotTables>
  <data>
    <tabular pivotCacheId="1891890342">
      <items count="6">
        <i x="4" s="1"/>
        <i x="2" s="1"/>
        <i x="3" s="1"/>
        <i x="0" s="1"/>
        <i x="1"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C86C12C-5DF8-4C58-9EF9-AD8AEBE7CDAF}" sourceName="Customer_Type">
  <pivotTables>
    <pivotTable tabId="8" name="PivotTable2"/>
    <pivotTable tabId="8" name="PivotTable1"/>
    <pivotTable tabId="8" name="PivotTable4"/>
    <pivotTable tabId="8" name="PivotTable5"/>
    <pivotTable tabId="8" name="PivotTable6"/>
    <pivotTable tabId="8" name="PivotTable8"/>
    <pivotTable tabId="8" name="PivotTable9"/>
  </pivotTables>
  <data>
    <tabular pivotCacheId="1891890342">
      <items count="7">
        <i x="4" s="1"/>
        <i x="2" s="1"/>
        <i x="0" s="1"/>
        <i x="1" s="1"/>
        <i x="5" s="1"/>
        <i x="3"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Number" xr10:uid="{0AFFC8D1-E8DC-4D7B-A0C3-33B9CA7B9C28}" cache="Slicer_Date_Number" caption="Date Number" columnCount="7" showCaption="0" style="Slicer Style 1" rowHeight="251883"/>
  <slicer name="County" xr10:uid="{1FABD670-7898-4B98-A0FA-52BEA2BF6ED6}" cache="Slicer_County" caption="County" columnCount="3" showCaption="0" style="Slicer Style 1" rowHeight="251883"/>
  <slicer name="Category" xr10:uid="{53539CB9-2016-4538-B232-2B223C044DFA}" cache="Slicer_Category" caption="Category" columnCount="3" showCaption="0" style="Slicer Style 1" rowHeight="251883"/>
  <slicer name="Customer_Type" xr10:uid="{920807DF-DB34-490E-A1D1-B4F9348A1373}" cache="Slicer_Customer_Type" caption="Customer_Type" columnCount="3" showCaption="0"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74936C-52EB-4833-B84E-645AE2367B2F}" name="Products" displayName="Products" ref="A1:F1048576" totalsRowShown="0">
  <autoFilter ref="A1:F1048576" xr:uid="{1474936C-52EB-4833-B84E-645AE2367B2F}"/>
  <tableColumns count="6">
    <tableColumn id="1" xr3:uid="{D3F5CF19-0F74-4A03-9E69-C956CBB37803}" name="Product_ID"/>
    <tableColumn id="2" xr3:uid="{42F1EBED-2919-4016-8F11-44753EA9BD98}" name="Product_Name"/>
    <tableColumn id="3" xr3:uid="{891DF63B-6B6B-45E6-A205-9803EF394E4F}" name="Category"/>
    <tableColumn id="4" xr3:uid="{FDF5D29B-323F-428E-8630-75CB7DC4C2ED}" name="Bottle_Size"/>
    <tableColumn id="5" xr3:uid="{F2BA0F58-34BE-45AD-9582-E3913EFE5063}" name="Unit_Price" dataDxfId="294"/>
    <tableColumn id="6" xr3:uid="{A1499E1D-17F1-4198-AB05-C6233ABA7D52}" name="Cost_Price" dataDxfId="29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615F7D-652B-4253-9A89-9C3BEF511B83}" name="Customers" displayName="Customers" ref="A1:E102" totalsRowShown="0" headerRowDxfId="292">
  <autoFilter ref="A1:E102" xr:uid="{B2615F7D-652B-4253-9A89-9C3BEF511B83}"/>
  <tableColumns count="5">
    <tableColumn id="1" xr3:uid="{3B705658-16B1-44D0-94FF-8481AFC8270F}" name="Customer_ID"/>
    <tableColumn id="2" xr3:uid="{17F79BD5-0470-4ADD-ABEC-7AA969776DDD}" name="Customer_Name"/>
    <tableColumn id="3" xr3:uid="{5C59FC64-0E19-4E4D-B2CF-7AB066ECFB30}" name="County"/>
    <tableColumn id="4" xr3:uid="{25CDD26B-FD8F-4324-9E5F-7EF0DAFA2A9D}" name="Customer_Type"/>
    <tableColumn id="5" xr3:uid="{F2D7D2C2-45F3-4FBC-9B45-1974D6B31EBD}" name="Preferred_Channel"/>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EC7EC5-5686-4F2F-A832-D09C2E6ADAF8}" name="Orders" displayName="Orders" ref="A1:U251" totalsRowShown="0">
  <autoFilter ref="A1:U251" xr:uid="{3FEC7EC5-5686-4F2F-A832-D09C2E6ADAF8}"/>
  <tableColumns count="21">
    <tableColumn id="1" xr3:uid="{8577D079-9B25-4FCA-B445-9998A800F288}" name="Order_ID"/>
    <tableColumn id="21" xr3:uid="{74FFD2B6-FFF1-4BF1-8B09-37B303A3DAA5}" name="Date Number" dataDxfId="291">
      <calculatedColumnFormula>DAY(Orders[[#This Row],[Order_Date]])</calculatedColumnFormula>
    </tableColumn>
    <tableColumn id="2" xr3:uid="{8913A42D-82CE-4784-8475-9332DCF94942}" name="Order_Date" dataDxfId="290"/>
    <tableColumn id="3" xr3:uid="{1B46EE4C-9B91-48D7-ACC9-29D3A211F4E1}" name="Customer_ID"/>
    <tableColumn id="4" xr3:uid="{3165CD84-1837-4A37-8E8E-BDD44B2DDA5C}" name="Product_ID"/>
    <tableColumn id="5" xr3:uid="{7CEF71F1-6226-4046-80A7-B1BC0BF4EBD0}" name="Quantity"/>
    <tableColumn id="6" xr3:uid="{52A825DD-64CA-4761-B7DD-BFF73490BE62}" name="Discount" dataDxfId="289"/>
    <tableColumn id="7" xr3:uid="{2FA61D7E-3125-4B2D-A6B0-30C1F4ED1E90}" name="Order_Status" dataDxfId="288"/>
    <tableColumn id="11" xr3:uid="{E327D9C4-6483-4F4E-91A8-F85FF0A73198}" name="Unit_Price" dataDxfId="287">
      <calculatedColumnFormula>_xlfn.XLOOKUP(Orders[[#This Row],[Product_ID]],Products[Product_ID], Products[Unit_Price])</calculatedColumnFormula>
    </tableColumn>
    <tableColumn id="12" xr3:uid="{83DD4754-B76D-4028-887E-6B48E0221EB7}" name="Gross_Sales" dataDxfId="286">
      <calculatedColumnFormula>Orders[[#This Row],[Quantity]]*Orders[[#This Row],[Unit_Price]]</calculatedColumnFormula>
    </tableColumn>
    <tableColumn id="15" xr3:uid="{DE2C83ED-F066-40F8-90CB-DEFAB05EEC2A}" name="Cost_Price" dataDxfId="285">
      <calculatedColumnFormula>_xlfn.XLOOKUP(Orders[[#This Row],[Product_ID]], Products[Product_ID], Products[Cost_Price])</calculatedColumnFormula>
    </tableColumn>
    <tableColumn id="17" xr3:uid="{66B26990-7390-4300-9E0C-34450F3C5C26}" name="Total_Cost" dataDxfId="284">
      <calculatedColumnFormula>Orders[[#This Row],[Cost_Price]]*Orders[[#This Row],[Quantity]]</calculatedColumnFormula>
    </tableColumn>
    <tableColumn id="18" xr3:uid="{5FBBBC02-A997-4052-BEB6-686EB69D8BC3}" name="Total_Discount" dataDxfId="283">
      <calculatedColumnFormula>Orders[[#This Row],[Unit_Price]]*Orders[[#This Row],[Discount]]*Orders[[#This Row],[Quantity]]</calculatedColumnFormula>
    </tableColumn>
    <tableColumn id="19" xr3:uid="{D776E57F-992A-4999-B6B3-EA73EACF48EC}" name="Profit" dataDxfId="282">
      <calculatedColumnFormula>Orders[[#This Row],[Gross_Sales]]-Orders[[#This Row],[Total_Cost]]-Orders[[#This Row],[Total_Discount]]</calculatedColumnFormula>
    </tableColumn>
    <tableColumn id="20" xr3:uid="{3A20B01D-1543-46CB-BE6F-0E5401208D3E}" name="Overal Cost" dataDxfId="281">
      <calculatedColumnFormula>Orders[[#This Row],[Total_Cost]]+Orders[[#This Row],[Total_Discount]]</calculatedColumnFormula>
    </tableColumn>
    <tableColumn id="13" xr3:uid="{7127465C-8C1F-4354-983B-1B9F4BD47049}" name="Product_Name" dataDxfId="280">
      <calculatedColumnFormula>_xlfn.XLOOKUP(Orders[[#This Row],[Product_ID]], Products[Product_ID], Products[Product_Name])</calculatedColumnFormula>
    </tableColumn>
    <tableColumn id="9" xr3:uid="{0C4E8CAC-4596-4A60-B15C-FAF6606371CA}" name="Category" dataDxfId="279">
      <calculatedColumnFormula>_xlfn.XLOOKUP(Orders[[#This Row],[Product_ID]], Products[Product_ID], Products[Category])</calculatedColumnFormula>
    </tableColumn>
    <tableColumn id="10" xr3:uid="{8732C3E6-F321-4EAA-AB65-007D4EA8259A}" name="County" dataDxfId="278">
      <calculatedColumnFormula>_xlfn.XLOOKUP(Orders[[#This Row],[Customer_ID]], Customers[Customer_ID], Customers[County])</calculatedColumnFormula>
    </tableColumn>
    <tableColumn id="14" xr3:uid="{B4D11AFA-5AED-41D1-BD7D-58FA642824AC}" name="Customer_Type" dataDxfId="277">
      <calculatedColumnFormula>_xlfn.XLOOKUP(Orders[[#This Row],[Customer_ID]], Customers[Customer_ID], Customers[Customer_Type])</calculatedColumnFormula>
    </tableColumn>
    <tableColumn id="16" xr3:uid="{F480E3C5-4B8A-4F26-A36F-ED90C69A0316}" name="Preferred_Channel" dataDxfId="276">
      <calculatedColumnFormula>_xlfn.XLOOKUP(Orders[[#This Row],[Customer_ID]], Customers[Customer_ID], Customers[Preferred_Channel])</calculatedColumnFormula>
    </tableColumn>
    <tableColumn id="8" xr3:uid="{29F7C5E9-0319-4D89-A0B4-2F706F05E2DC}" name="Bottle_Size" dataDxfId="275">
      <calculatedColumnFormula>_xlfn.XLOOKUP(Orders[[#This Row],[Product_ID]], Products[Product_ID], Products[Bottle_Size])</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60"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 dockstate="right" visibility="0" width="525" row="9">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7D1AB08-54EB-4096-A630-CEAA369C3DB6}">
  <we:reference id="wa200009404" version="1.0.0.8" store="en-US" storeType="OMEX"/>
  <we:alternateReferences>
    <we:reference id="WA200009404" version="1.0.0.8" store="" storeType="OMEX"/>
  </we:alternateReferences>
  <we:properties>
    <we:property name="claude.fileId" value="&quot;09adc0b3-0344-4d16-a121-2b4dea1c6cba&quot;"/>
  </we:properties>
  <we:bindings/>
  <we:snapshot xmlns:r="http://schemas.openxmlformats.org/officeDocument/2006/relationships"/>
</we:webextension>
</file>

<file path=xl/webextensions/webextension2.xml><?xml version="1.0" encoding="utf-8"?>
<we:webextension xmlns:we="http://schemas.microsoft.com/office/webextensions/webextension/2010/11" id="{56FF645C-33A2-472C-840B-42C1D67E729D}">
  <we:reference id="wa200010725" version="1.0.0.1" store="en-GB" storeType="OMEX"/>
  <we:alternateReferences>
    <we:reference id="WA200010725" version="1.0.0.1"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25DFD61A-7F3D-4455-A519-590501DEFC51}">
  <we:reference id="wa200010215" version="2.0.0.0" store="en-GB"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7A67-2138-46E3-900B-14805F6C562E}">
  <sheetPr>
    <tabColor theme="6" tint="0.79998168889431442"/>
  </sheetPr>
  <dimension ref="A1:G1000"/>
  <sheetViews>
    <sheetView workbookViewId="0">
      <selection activeCell="O13" sqref="O13"/>
    </sheetView>
  </sheetViews>
  <sheetFormatPr defaultColWidth="12.6328125" defaultRowHeight="15" customHeight="1"/>
  <cols>
    <col min="1" max="1" width="8.90625" customWidth="1"/>
    <col min="2" max="2" width="10.90625" customWidth="1"/>
    <col min="3" max="3" width="12.08984375" customWidth="1"/>
    <col min="4" max="4" width="10.6328125" customWidth="1"/>
    <col min="5" max="5" width="8.36328125" customWidth="1"/>
    <col min="6" max="6" width="8.90625" customWidth="1"/>
    <col min="7" max="7" width="12.26953125" customWidth="1"/>
    <col min="8" max="26" width="8.6328125" customWidth="1"/>
  </cols>
  <sheetData>
    <row r="1" spans="1:7" ht="14.5">
      <c r="A1" s="2" t="s">
        <v>1</v>
      </c>
      <c r="B1" s="2" t="s">
        <v>9</v>
      </c>
      <c r="C1" s="2" t="s">
        <v>0</v>
      </c>
      <c r="D1" s="2" t="s">
        <v>2</v>
      </c>
      <c r="E1" s="5" t="s">
        <v>16</v>
      </c>
      <c r="F1" s="6" t="s">
        <v>25</v>
      </c>
      <c r="G1" s="2" t="s">
        <v>29</v>
      </c>
    </row>
    <row r="2" spans="1:7" ht="14.5">
      <c r="A2" s="2" t="s">
        <v>36</v>
      </c>
      <c r="B2" s="2">
        <v>46181</v>
      </c>
      <c r="C2" s="2" t="s">
        <v>37</v>
      </c>
      <c r="D2" s="2" t="s">
        <v>41</v>
      </c>
      <c r="E2" s="5" t="s">
        <v>45</v>
      </c>
      <c r="F2" s="6">
        <v>0.05</v>
      </c>
      <c r="G2" s="2" t="s">
        <v>49</v>
      </c>
    </row>
    <row r="3" spans="1:7" ht="14.5">
      <c r="A3" s="2" t="s">
        <v>52</v>
      </c>
      <c r="B3" s="2">
        <v>46196</v>
      </c>
      <c r="C3" s="2" t="s">
        <v>55</v>
      </c>
      <c r="D3" s="2" t="s">
        <v>57</v>
      </c>
      <c r="E3" s="5" t="s">
        <v>59</v>
      </c>
      <c r="F3" s="6">
        <v>0</v>
      </c>
      <c r="G3" s="2" t="s">
        <v>61</v>
      </c>
    </row>
    <row r="4" spans="1:7" ht="14.5">
      <c r="A4" s="2" t="s">
        <v>63</v>
      </c>
      <c r="B4" s="2">
        <v>46186</v>
      </c>
      <c r="C4" s="2" t="s">
        <v>65</v>
      </c>
      <c r="D4" s="2" t="s">
        <v>17</v>
      </c>
      <c r="E4" s="5" t="s">
        <v>67</v>
      </c>
      <c r="F4" s="6">
        <v>0</v>
      </c>
      <c r="G4" s="2" t="s">
        <v>61</v>
      </c>
    </row>
    <row r="5" spans="1:7" ht="14.5">
      <c r="A5" s="2" t="s">
        <v>72</v>
      </c>
      <c r="B5" s="2">
        <v>46186</v>
      </c>
      <c r="C5" s="2" t="s">
        <v>75</v>
      </c>
      <c r="D5" s="2" t="s">
        <v>77</v>
      </c>
      <c r="E5" s="5" t="s">
        <v>79</v>
      </c>
      <c r="F5" s="6">
        <v>0</v>
      </c>
      <c r="G5" s="2" t="s">
        <v>80</v>
      </c>
    </row>
    <row r="6" spans="1:7" ht="14.5">
      <c r="A6" s="2" t="s">
        <v>82</v>
      </c>
      <c r="B6" s="2">
        <v>46190</v>
      </c>
      <c r="C6" s="2" t="s">
        <v>86</v>
      </c>
      <c r="D6" s="2" t="s">
        <v>69</v>
      </c>
      <c r="E6" s="5" t="s">
        <v>90</v>
      </c>
      <c r="F6" s="6">
        <v>0</v>
      </c>
      <c r="G6" s="2" t="s">
        <v>61</v>
      </c>
    </row>
    <row r="7" spans="1:7" ht="14.5">
      <c r="A7" s="2" t="s">
        <v>91</v>
      </c>
      <c r="B7" s="2">
        <v>46182</v>
      </c>
      <c r="C7" s="2" t="s">
        <v>93</v>
      </c>
      <c r="D7" s="2" t="s">
        <v>50</v>
      </c>
      <c r="E7" s="5" t="s">
        <v>97</v>
      </c>
      <c r="F7" s="6">
        <v>0.05</v>
      </c>
      <c r="G7" s="2" t="s">
        <v>61</v>
      </c>
    </row>
    <row r="8" spans="1:7" ht="14.5">
      <c r="A8" s="2" t="s">
        <v>103</v>
      </c>
      <c r="B8" s="2">
        <v>46182</v>
      </c>
      <c r="C8" s="2" t="s">
        <v>105</v>
      </c>
      <c r="D8" s="2" t="s">
        <v>28</v>
      </c>
      <c r="E8" s="5" t="s">
        <v>107</v>
      </c>
      <c r="F8" s="6">
        <v>0.05</v>
      </c>
      <c r="G8" s="2" t="s">
        <v>61</v>
      </c>
    </row>
    <row r="9" spans="1:7" ht="14.5">
      <c r="A9" s="2" t="s">
        <v>112</v>
      </c>
      <c r="B9" s="2">
        <v>46180</v>
      </c>
      <c r="C9" s="2" t="s">
        <v>113</v>
      </c>
      <c r="D9" s="2" t="s">
        <v>108</v>
      </c>
      <c r="E9" s="5" t="s">
        <v>116</v>
      </c>
      <c r="F9" s="6">
        <v>0</v>
      </c>
      <c r="G9" s="2" t="s">
        <v>119</v>
      </c>
    </row>
    <row r="10" spans="1:7" ht="14.5">
      <c r="A10" s="2" t="s">
        <v>122</v>
      </c>
      <c r="B10" s="2">
        <v>46175</v>
      </c>
      <c r="C10" s="2" t="s">
        <v>124</v>
      </c>
      <c r="D10" s="2" t="s">
        <v>84</v>
      </c>
      <c r="E10" s="5" t="s">
        <v>126</v>
      </c>
      <c r="F10" s="6">
        <v>0</v>
      </c>
      <c r="G10" s="2" t="s">
        <v>61</v>
      </c>
    </row>
    <row r="11" spans="1:7" ht="14.5">
      <c r="A11" s="2" t="s">
        <v>132</v>
      </c>
      <c r="B11" s="2">
        <v>46181</v>
      </c>
      <c r="C11" s="2" t="s">
        <v>133</v>
      </c>
      <c r="D11" s="2" t="s">
        <v>134</v>
      </c>
      <c r="E11" s="5" t="s">
        <v>136</v>
      </c>
      <c r="F11" s="6">
        <v>0</v>
      </c>
      <c r="G11" s="2" t="s">
        <v>61</v>
      </c>
    </row>
    <row r="12" spans="1:7" ht="14.5">
      <c r="A12" s="2" t="s">
        <v>141</v>
      </c>
      <c r="B12" s="2">
        <v>46200</v>
      </c>
      <c r="C12" s="2" t="s">
        <v>144</v>
      </c>
      <c r="D12" s="2" t="s">
        <v>134</v>
      </c>
      <c r="E12" s="5" t="s">
        <v>147</v>
      </c>
      <c r="F12" s="6">
        <v>0.05</v>
      </c>
      <c r="G12" s="2" t="s">
        <v>61</v>
      </c>
    </row>
    <row r="13" spans="1:7" ht="14.5">
      <c r="A13" s="2" t="s">
        <v>150</v>
      </c>
      <c r="B13" s="2">
        <v>46180</v>
      </c>
      <c r="C13" s="2" t="s">
        <v>30</v>
      </c>
      <c r="D13" s="2" t="s">
        <v>151</v>
      </c>
      <c r="E13" s="5" t="s">
        <v>152</v>
      </c>
      <c r="F13" s="6">
        <v>0.05</v>
      </c>
      <c r="G13" s="2" t="s">
        <v>61</v>
      </c>
    </row>
    <row r="14" spans="1:7" ht="14.5">
      <c r="A14" s="2" t="s">
        <v>157</v>
      </c>
      <c r="B14" s="2">
        <v>46176</v>
      </c>
      <c r="C14" s="2" t="s">
        <v>160</v>
      </c>
      <c r="D14" s="2" t="s">
        <v>117</v>
      </c>
      <c r="E14" s="5" t="s">
        <v>162</v>
      </c>
      <c r="F14" s="6">
        <v>0.05</v>
      </c>
      <c r="G14" s="2" t="s">
        <v>163</v>
      </c>
    </row>
    <row r="15" spans="1:7" ht="14.5">
      <c r="A15" s="2" t="s">
        <v>164</v>
      </c>
      <c r="B15" s="2">
        <v>46178</v>
      </c>
      <c r="C15" s="2" t="s">
        <v>168</v>
      </c>
      <c r="D15" s="2" t="s">
        <v>170</v>
      </c>
      <c r="E15" s="5" t="s">
        <v>136</v>
      </c>
      <c r="F15" s="6">
        <v>0.05</v>
      </c>
      <c r="G15" s="2" t="s">
        <v>61</v>
      </c>
    </row>
    <row r="16" spans="1:7" ht="14.5">
      <c r="A16" s="2" t="s">
        <v>175</v>
      </c>
      <c r="B16" s="2">
        <v>46186</v>
      </c>
      <c r="C16" s="2" t="s">
        <v>176</v>
      </c>
      <c r="D16" s="2" t="s">
        <v>41</v>
      </c>
      <c r="E16" s="5" t="s">
        <v>97</v>
      </c>
      <c r="F16" s="6">
        <v>0.05</v>
      </c>
      <c r="G16" s="2" t="s">
        <v>179</v>
      </c>
    </row>
    <row r="17" spans="1:7" ht="14.5">
      <c r="A17" s="2" t="s">
        <v>175</v>
      </c>
      <c r="B17" s="2">
        <v>46186</v>
      </c>
      <c r="C17" s="2" t="s">
        <v>176</v>
      </c>
      <c r="D17" s="2" t="s">
        <v>41</v>
      </c>
      <c r="E17" s="5" t="s">
        <v>97</v>
      </c>
      <c r="F17" s="6">
        <v>0.05</v>
      </c>
      <c r="G17" s="2" t="s">
        <v>179</v>
      </c>
    </row>
    <row r="18" spans="1:7" ht="14.5">
      <c r="A18" s="2" t="s">
        <v>189</v>
      </c>
      <c r="B18" s="2">
        <v>46174</v>
      </c>
      <c r="C18" s="2" t="s">
        <v>190</v>
      </c>
      <c r="D18" s="2" t="s">
        <v>134</v>
      </c>
      <c r="E18" s="5" t="s">
        <v>191</v>
      </c>
      <c r="F18" s="6">
        <v>0</v>
      </c>
      <c r="G18" s="2" t="s">
        <v>61</v>
      </c>
    </row>
    <row r="19" spans="1:7" ht="14.5">
      <c r="A19" s="2" t="s">
        <v>196</v>
      </c>
      <c r="B19" s="2">
        <v>46184</v>
      </c>
      <c r="C19" s="2" t="s">
        <v>185</v>
      </c>
      <c r="D19" s="2" t="s">
        <v>108</v>
      </c>
      <c r="E19" s="5" t="s">
        <v>197</v>
      </c>
      <c r="F19" s="6">
        <v>0</v>
      </c>
      <c r="G19" s="2" t="s">
        <v>163</v>
      </c>
    </row>
    <row r="20" spans="1:7" ht="14.5">
      <c r="A20" s="2" t="s">
        <v>201</v>
      </c>
      <c r="B20" s="2">
        <v>46193</v>
      </c>
      <c r="C20" s="2" t="s">
        <v>204</v>
      </c>
      <c r="D20" s="2" t="s">
        <v>41</v>
      </c>
      <c r="E20" s="5" t="s">
        <v>205</v>
      </c>
      <c r="F20" s="6">
        <v>0.05</v>
      </c>
      <c r="G20" s="2" t="s">
        <v>208</v>
      </c>
    </row>
    <row r="21" spans="1:7" ht="15.75" customHeight="1">
      <c r="A21" s="2" t="s">
        <v>210</v>
      </c>
      <c r="B21" s="2">
        <v>46195</v>
      </c>
      <c r="C21" s="2" t="s">
        <v>127</v>
      </c>
      <c r="D21" s="2" t="s">
        <v>17</v>
      </c>
      <c r="E21" s="5" t="s">
        <v>197</v>
      </c>
      <c r="F21" s="6">
        <v>0.05</v>
      </c>
      <c r="G21" s="2" t="s">
        <v>216</v>
      </c>
    </row>
    <row r="22" spans="1:7" ht="15.75" customHeight="1">
      <c r="A22" s="2" t="s">
        <v>219</v>
      </c>
      <c r="B22" s="2">
        <v>46183</v>
      </c>
      <c r="C22" s="2" t="s">
        <v>221</v>
      </c>
      <c r="D22" s="2" t="s">
        <v>50</v>
      </c>
      <c r="E22" s="5" t="s">
        <v>223</v>
      </c>
      <c r="F22" s="6">
        <v>0</v>
      </c>
      <c r="G22" s="2" t="s">
        <v>49</v>
      </c>
    </row>
    <row r="23" spans="1:7" ht="15.75" customHeight="1">
      <c r="A23" s="2" t="s">
        <v>226</v>
      </c>
      <c r="B23" s="2">
        <v>46189</v>
      </c>
      <c r="C23" s="2" t="s">
        <v>220</v>
      </c>
      <c r="D23" s="2" t="s">
        <v>50</v>
      </c>
      <c r="E23" s="5" t="s">
        <v>205</v>
      </c>
      <c r="F23" s="6">
        <v>0</v>
      </c>
      <c r="G23" s="2" t="s">
        <v>61</v>
      </c>
    </row>
    <row r="24" spans="1:7" ht="15.75" customHeight="1">
      <c r="A24" s="2" t="s">
        <v>229</v>
      </c>
      <c r="B24" s="2">
        <v>46193</v>
      </c>
      <c r="C24" s="2" t="s">
        <v>231</v>
      </c>
      <c r="D24" s="2" t="s">
        <v>95</v>
      </c>
      <c r="E24" s="5" t="s">
        <v>233</v>
      </c>
      <c r="F24" s="6">
        <v>0</v>
      </c>
      <c r="G24" s="2" t="s">
        <v>61</v>
      </c>
    </row>
    <row r="25" spans="1:7" ht="15.75" customHeight="1">
      <c r="A25" s="2" t="s">
        <v>236</v>
      </c>
      <c r="B25" s="2">
        <v>46185</v>
      </c>
      <c r="C25" s="2" t="s">
        <v>239</v>
      </c>
      <c r="D25" s="2" t="s">
        <v>125</v>
      </c>
      <c r="E25" s="5" t="s">
        <v>197</v>
      </c>
      <c r="F25" s="6">
        <v>0</v>
      </c>
      <c r="G25" s="2" t="s">
        <v>49</v>
      </c>
    </row>
    <row r="26" spans="1:7" ht="15.75" customHeight="1">
      <c r="A26" s="2" t="s">
        <v>244</v>
      </c>
      <c r="B26" s="2">
        <v>46177</v>
      </c>
      <c r="C26" s="2" t="s">
        <v>114</v>
      </c>
      <c r="D26" s="2" t="s">
        <v>151</v>
      </c>
      <c r="E26" s="5" t="s">
        <v>67</v>
      </c>
      <c r="F26" s="6">
        <v>0</v>
      </c>
      <c r="G26" s="2" t="s">
        <v>61</v>
      </c>
    </row>
    <row r="27" spans="1:7" ht="15.75" customHeight="1">
      <c r="E27" s="5"/>
      <c r="F27" s="6"/>
    </row>
    <row r="28" spans="1:7" ht="15.75" customHeight="1">
      <c r="A28" s="2" t="s">
        <v>249</v>
      </c>
      <c r="B28" s="2">
        <v>46183</v>
      </c>
      <c r="C28" s="2" t="s">
        <v>251</v>
      </c>
      <c r="D28" s="2" t="s">
        <v>170</v>
      </c>
      <c r="E28" s="5" t="s">
        <v>253</v>
      </c>
      <c r="F28" s="6">
        <v>0.1</v>
      </c>
      <c r="G28" s="2" t="s">
        <v>61</v>
      </c>
    </row>
    <row r="29" spans="1:7" ht="15.75" customHeight="1">
      <c r="A29" s="2" t="s">
        <v>258</v>
      </c>
      <c r="B29" s="2">
        <v>46187</v>
      </c>
      <c r="C29" s="2" t="s">
        <v>260</v>
      </c>
      <c r="D29" s="2" t="s">
        <v>134</v>
      </c>
      <c r="E29" s="5" t="s">
        <v>263</v>
      </c>
      <c r="F29" s="6">
        <v>0.05</v>
      </c>
      <c r="G29" s="2" t="s">
        <v>61</v>
      </c>
    </row>
    <row r="30" spans="1:7" ht="15.75" customHeight="1">
      <c r="A30" s="2" t="s">
        <v>266</v>
      </c>
      <c r="B30" s="2">
        <v>46198</v>
      </c>
      <c r="C30" s="2" t="s">
        <v>270</v>
      </c>
      <c r="D30" s="2" t="s">
        <v>41</v>
      </c>
      <c r="E30" s="5" t="s">
        <v>223</v>
      </c>
      <c r="F30" s="6">
        <v>0.05</v>
      </c>
      <c r="G30" s="2" t="s">
        <v>61</v>
      </c>
    </row>
    <row r="31" spans="1:7" ht="15.75" customHeight="1">
      <c r="A31" s="2" t="s">
        <v>275</v>
      </c>
      <c r="B31" s="2">
        <v>46192</v>
      </c>
      <c r="C31" s="2" t="s">
        <v>276</v>
      </c>
      <c r="D31" s="2" t="s">
        <v>95</v>
      </c>
      <c r="E31" s="5" t="s">
        <v>253</v>
      </c>
      <c r="F31" s="6">
        <v>0</v>
      </c>
      <c r="G31" s="2" t="s">
        <v>49</v>
      </c>
    </row>
    <row r="32" spans="1:7" ht="15.75" customHeight="1">
      <c r="A32" s="2" t="s">
        <v>281</v>
      </c>
      <c r="B32" s="2">
        <v>46188</v>
      </c>
      <c r="C32" s="2" t="s">
        <v>282</v>
      </c>
      <c r="D32" s="2" t="s">
        <v>38</v>
      </c>
      <c r="E32" s="5" t="s">
        <v>285</v>
      </c>
      <c r="F32" s="6">
        <v>0.05</v>
      </c>
      <c r="G32" s="2" t="s">
        <v>49</v>
      </c>
    </row>
    <row r="33" spans="1:7" ht="15.75" customHeight="1">
      <c r="A33" s="2" t="s">
        <v>287</v>
      </c>
      <c r="B33" s="2">
        <v>46202</v>
      </c>
      <c r="C33" s="2" t="s">
        <v>283</v>
      </c>
      <c r="D33" s="2" t="s">
        <v>69</v>
      </c>
      <c r="E33" s="5" t="s">
        <v>289</v>
      </c>
      <c r="F33" s="6">
        <v>0</v>
      </c>
      <c r="G33" s="2" t="s">
        <v>49</v>
      </c>
    </row>
    <row r="34" spans="1:7" ht="15.75" customHeight="1">
      <c r="A34" s="2" t="s">
        <v>292</v>
      </c>
      <c r="B34" s="2">
        <v>46188</v>
      </c>
      <c r="C34" s="2" t="s">
        <v>190</v>
      </c>
      <c r="D34" s="2" t="s">
        <v>134</v>
      </c>
      <c r="E34" s="5" t="s">
        <v>285</v>
      </c>
      <c r="F34" s="6">
        <v>0</v>
      </c>
      <c r="G34" s="2" t="s">
        <v>61</v>
      </c>
    </row>
    <row r="35" spans="1:7" ht="15.75" customHeight="1">
      <c r="A35" s="2" t="s">
        <v>297</v>
      </c>
      <c r="B35" s="2">
        <v>46185</v>
      </c>
      <c r="C35" s="2" t="s">
        <v>299</v>
      </c>
      <c r="D35" s="2" t="s">
        <v>139</v>
      </c>
      <c r="E35" s="5" t="s">
        <v>191</v>
      </c>
      <c r="F35" s="6">
        <v>0</v>
      </c>
      <c r="G35" s="2" t="s">
        <v>302</v>
      </c>
    </row>
    <row r="36" spans="1:7" ht="15.75" customHeight="1">
      <c r="A36" s="2" t="s">
        <v>304</v>
      </c>
      <c r="B36" s="2">
        <v>46191</v>
      </c>
      <c r="C36" s="2" t="s">
        <v>37</v>
      </c>
      <c r="D36" s="2" t="s">
        <v>125</v>
      </c>
      <c r="E36" s="5" t="s">
        <v>308</v>
      </c>
      <c r="F36" s="6">
        <v>0</v>
      </c>
      <c r="G36" s="2" t="s">
        <v>61</v>
      </c>
    </row>
    <row r="37" spans="1:7" ht="15.75" customHeight="1">
      <c r="A37" s="2" t="s">
        <v>311</v>
      </c>
      <c r="B37" s="2">
        <v>46193</v>
      </c>
      <c r="C37" s="2" t="s">
        <v>313</v>
      </c>
      <c r="D37" s="2" t="s">
        <v>108</v>
      </c>
      <c r="E37" s="5" t="s">
        <v>107</v>
      </c>
      <c r="F37" s="6">
        <v>0</v>
      </c>
      <c r="G37" s="2" t="s">
        <v>61</v>
      </c>
    </row>
    <row r="38" spans="1:7" ht="15.75" customHeight="1">
      <c r="A38" s="2" t="s">
        <v>318</v>
      </c>
      <c r="B38" s="2">
        <v>46189</v>
      </c>
      <c r="C38" s="2" t="s">
        <v>55</v>
      </c>
      <c r="D38" s="2" t="s">
        <v>199</v>
      </c>
      <c r="E38" s="5" t="s">
        <v>197</v>
      </c>
      <c r="F38" s="6">
        <v>0</v>
      </c>
      <c r="G38" s="2" t="s">
        <v>61</v>
      </c>
    </row>
    <row r="39" spans="1:7" ht="15.75" customHeight="1">
      <c r="A39" s="2" t="s">
        <v>320</v>
      </c>
      <c r="B39" s="2">
        <v>46194</v>
      </c>
      <c r="C39" s="2" t="s">
        <v>322</v>
      </c>
      <c r="D39" s="2" t="s">
        <v>217</v>
      </c>
      <c r="E39" s="5" t="s">
        <v>323</v>
      </c>
      <c r="F39" s="6">
        <v>0</v>
      </c>
      <c r="G39" s="2" t="s">
        <v>61</v>
      </c>
    </row>
    <row r="40" spans="1:7" ht="15.75" customHeight="1">
      <c r="A40" s="2" t="s">
        <v>326</v>
      </c>
      <c r="B40" s="2">
        <v>46197</v>
      </c>
      <c r="C40" s="2" t="s">
        <v>177</v>
      </c>
      <c r="D40" s="2" t="s">
        <v>57</v>
      </c>
      <c r="E40" s="5" t="s">
        <v>330</v>
      </c>
      <c r="F40" s="6">
        <v>0</v>
      </c>
      <c r="G40" s="2" t="s">
        <v>61</v>
      </c>
    </row>
    <row r="41" spans="1:7" ht="15.75" customHeight="1">
      <c r="A41" s="2" t="s">
        <v>333</v>
      </c>
      <c r="B41" s="2">
        <v>46181</v>
      </c>
      <c r="C41" s="2" t="s">
        <v>290</v>
      </c>
      <c r="D41" s="2" t="s">
        <v>108</v>
      </c>
      <c r="E41" s="5" t="s">
        <v>335</v>
      </c>
      <c r="F41" s="6">
        <v>0</v>
      </c>
      <c r="G41" s="2" t="s">
        <v>337</v>
      </c>
    </row>
    <row r="42" spans="1:7" ht="15.75" customHeight="1">
      <c r="A42" s="2" t="s">
        <v>340</v>
      </c>
      <c r="B42" s="2">
        <v>46198</v>
      </c>
      <c r="C42" s="2" t="s">
        <v>231</v>
      </c>
      <c r="D42" s="2" t="s">
        <v>17</v>
      </c>
      <c r="E42" s="5" t="s">
        <v>67</v>
      </c>
      <c r="F42" s="6">
        <v>0.1</v>
      </c>
      <c r="G42" s="2" t="s">
        <v>216</v>
      </c>
    </row>
    <row r="43" spans="1:7" ht="15.75" customHeight="1">
      <c r="A43" s="2" t="s">
        <v>347</v>
      </c>
      <c r="B43" s="2">
        <v>46203</v>
      </c>
      <c r="C43" s="2" t="s">
        <v>349</v>
      </c>
      <c r="D43" s="2" t="s">
        <v>95</v>
      </c>
      <c r="E43" s="5" t="s">
        <v>351</v>
      </c>
      <c r="F43" s="6">
        <v>0</v>
      </c>
      <c r="G43" s="2" t="s">
        <v>61</v>
      </c>
    </row>
    <row r="44" spans="1:7" ht="15.75" customHeight="1">
      <c r="A44" s="2" t="s">
        <v>353</v>
      </c>
      <c r="B44" s="2">
        <v>46185</v>
      </c>
      <c r="C44" s="2" t="s">
        <v>322</v>
      </c>
      <c r="D44" s="2" t="s">
        <v>172</v>
      </c>
      <c r="E44" s="5" t="s">
        <v>90</v>
      </c>
      <c r="F44" s="6">
        <v>0.05</v>
      </c>
      <c r="G44" s="2" t="s">
        <v>61</v>
      </c>
    </row>
    <row r="45" spans="1:7" ht="15.75" customHeight="1">
      <c r="A45" s="2" t="s">
        <v>358</v>
      </c>
      <c r="B45" s="2">
        <v>46198</v>
      </c>
      <c r="C45" s="2" t="s">
        <v>257</v>
      </c>
      <c r="D45" s="2" t="s">
        <v>41</v>
      </c>
      <c r="E45" s="5" t="s">
        <v>361</v>
      </c>
      <c r="F45" s="6">
        <v>0.05</v>
      </c>
      <c r="G45" s="2" t="s">
        <v>49</v>
      </c>
    </row>
    <row r="46" spans="1:7" ht="15.75" customHeight="1">
      <c r="A46" s="2" t="s">
        <v>364</v>
      </c>
      <c r="B46" s="2">
        <v>46198</v>
      </c>
      <c r="C46" s="2" t="s">
        <v>133</v>
      </c>
      <c r="D46" s="2" t="s">
        <v>170</v>
      </c>
      <c r="E46" s="5" t="s">
        <v>97</v>
      </c>
      <c r="F46" s="6">
        <v>0</v>
      </c>
      <c r="G46" s="2" t="s">
        <v>61</v>
      </c>
    </row>
    <row r="47" spans="1:7" ht="15.75" customHeight="1">
      <c r="A47" s="2" t="s">
        <v>370</v>
      </c>
      <c r="B47" s="2">
        <v>46180</v>
      </c>
      <c r="C47" s="2" t="s">
        <v>371</v>
      </c>
      <c r="D47" s="2" t="s">
        <v>134</v>
      </c>
      <c r="E47" s="5" t="s">
        <v>351</v>
      </c>
      <c r="F47" s="6">
        <v>0</v>
      </c>
      <c r="G47" s="2" t="s">
        <v>179</v>
      </c>
    </row>
    <row r="48" spans="1:7" ht="15.75" customHeight="1">
      <c r="A48" s="2" t="s">
        <v>375</v>
      </c>
      <c r="B48" s="2">
        <v>46190</v>
      </c>
      <c r="C48" s="2" t="s">
        <v>376</v>
      </c>
      <c r="D48" s="2" t="s">
        <v>28</v>
      </c>
      <c r="E48" s="5" t="s">
        <v>233</v>
      </c>
      <c r="F48" s="6">
        <v>0.05</v>
      </c>
      <c r="G48" s="2" t="s">
        <v>61</v>
      </c>
    </row>
    <row r="49" spans="1:7" ht="15.75" customHeight="1">
      <c r="A49" s="2" t="s">
        <v>378</v>
      </c>
      <c r="B49" s="2">
        <v>46202</v>
      </c>
      <c r="C49" s="2" t="s">
        <v>182</v>
      </c>
      <c r="D49" s="2" t="s">
        <v>172</v>
      </c>
      <c r="E49" s="5" t="s">
        <v>380</v>
      </c>
      <c r="F49" s="6">
        <v>0</v>
      </c>
      <c r="G49" s="2" t="s">
        <v>49</v>
      </c>
    </row>
    <row r="50" spans="1:7" ht="15.75" customHeight="1">
      <c r="A50" s="2" t="s">
        <v>384</v>
      </c>
      <c r="B50" s="2">
        <v>46202</v>
      </c>
      <c r="C50" s="2" t="s">
        <v>373</v>
      </c>
      <c r="D50" s="2" t="s">
        <v>139</v>
      </c>
      <c r="E50" s="5" t="s">
        <v>361</v>
      </c>
      <c r="F50" s="6">
        <v>0</v>
      </c>
      <c r="G50" s="2" t="s">
        <v>61</v>
      </c>
    </row>
    <row r="51" spans="1:7" ht="15.75" customHeight="1">
      <c r="A51" s="2" t="s">
        <v>389</v>
      </c>
      <c r="B51" s="2">
        <v>46175</v>
      </c>
      <c r="C51" s="2" t="s">
        <v>220</v>
      </c>
      <c r="D51" s="2" t="s">
        <v>170</v>
      </c>
      <c r="E51" s="5" t="s">
        <v>116</v>
      </c>
      <c r="F51" s="6">
        <v>0</v>
      </c>
      <c r="G51" s="2" t="s">
        <v>49</v>
      </c>
    </row>
    <row r="52" spans="1:7" ht="15.75" customHeight="1">
      <c r="A52" s="2" t="s">
        <v>394</v>
      </c>
      <c r="B52" s="2">
        <v>46191</v>
      </c>
      <c r="C52" s="2" t="s">
        <v>362</v>
      </c>
      <c r="D52" s="2" t="s">
        <v>17</v>
      </c>
      <c r="E52" s="5" t="s">
        <v>147</v>
      </c>
      <c r="F52" s="6">
        <v>0</v>
      </c>
      <c r="G52" s="2" t="s">
        <v>61</v>
      </c>
    </row>
    <row r="53" spans="1:7" ht="15.75" customHeight="1">
      <c r="A53" s="2" t="s">
        <v>403</v>
      </c>
      <c r="B53" s="2">
        <v>46202</v>
      </c>
      <c r="C53" s="2" t="s">
        <v>221</v>
      </c>
      <c r="D53" s="2" t="s">
        <v>151</v>
      </c>
      <c r="E53" s="5" t="s">
        <v>289</v>
      </c>
      <c r="F53" s="6">
        <v>0</v>
      </c>
      <c r="G53" s="2" t="s">
        <v>61</v>
      </c>
    </row>
    <row r="54" spans="1:7" ht="15.75" customHeight="1">
      <c r="A54" s="2" t="s">
        <v>406</v>
      </c>
      <c r="B54" s="2">
        <v>46188</v>
      </c>
      <c r="C54" s="2" t="s">
        <v>177</v>
      </c>
      <c r="D54" s="2" t="s">
        <v>125</v>
      </c>
      <c r="E54" s="5" t="s">
        <v>409</v>
      </c>
      <c r="F54" s="6">
        <v>0</v>
      </c>
      <c r="G54" s="2" t="s">
        <v>61</v>
      </c>
    </row>
    <row r="55" spans="1:7" ht="15.75" customHeight="1">
      <c r="A55" s="2" t="s">
        <v>411</v>
      </c>
      <c r="B55" s="2">
        <v>46184</v>
      </c>
      <c r="C55" s="2" t="s">
        <v>260</v>
      </c>
      <c r="D55" s="2" t="s">
        <v>199</v>
      </c>
      <c r="E55" s="5" t="s">
        <v>79</v>
      </c>
      <c r="F55" s="6">
        <v>0</v>
      </c>
      <c r="G55" s="2" t="s">
        <v>49</v>
      </c>
    </row>
    <row r="56" spans="1:7" ht="15.75" customHeight="1">
      <c r="A56" s="2" t="s">
        <v>413</v>
      </c>
      <c r="B56" s="2">
        <v>46202</v>
      </c>
      <c r="C56" s="2" t="s">
        <v>135</v>
      </c>
      <c r="D56" s="2" t="s">
        <v>38</v>
      </c>
      <c r="E56" s="5" t="s">
        <v>415</v>
      </c>
      <c r="F56" s="6">
        <v>0.05</v>
      </c>
      <c r="G56" s="2" t="s">
        <v>61</v>
      </c>
    </row>
    <row r="57" spans="1:7" ht="15.75" customHeight="1">
      <c r="A57" s="2" t="s">
        <v>418</v>
      </c>
      <c r="B57" s="2">
        <v>46196</v>
      </c>
      <c r="C57" s="2" t="s">
        <v>331</v>
      </c>
      <c r="D57" s="2" t="s">
        <v>217</v>
      </c>
      <c r="E57" s="5" t="s">
        <v>97</v>
      </c>
      <c r="F57" s="6">
        <v>0</v>
      </c>
      <c r="G57" s="2" t="s">
        <v>61</v>
      </c>
    </row>
    <row r="58" spans="1:7" ht="15.75" customHeight="1">
      <c r="A58" s="2" t="s">
        <v>422</v>
      </c>
      <c r="B58" s="2">
        <v>46194</v>
      </c>
      <c r="C58" s="2" t="s">
        <v>231</v>
      </c>
      <c r="D58" s="2" t="s">
        <v>134</v>
      </c>
      <c r="E58" s="5" t="s">
        <v>90</v>
      </c>
      <c r="F58" s="6">
        <v>0.05</v>
      </c>
      <c r="G58" s="2" t="s">
        <v>49</v>
      </c>
    </row>
    <row r="59" spans="1:7" ht="15.75" customHeight="1">
      <c r="A59" s="2" t="s">
        <v>424</v>
      </c>
      <c r="B59" s="2">
        <v>46180</v>
      </c>
      <c r="C59" s="2" t="s">
        <v>312</v>
      </c>
      <c r="D59" s="2" t="s">
        <v>17</v>
      </c>
      <c r="E59" s="5" t="s">
        <v>335</v>
      </c>
      <c r="F59" s="6">
        <v>0</v>
      </c>
      <c r="G59" s="2" t="s">
        <v>61</v>
      </c>
    </row>
    <row r="60" spans="1:7" ht="15.75" customHeight="1">
      <c r="A60" s="2" t="s">
        <v>426</v>
      </c>
      <c r="B60" s="2">
        <v>46183</v>
      </c>
      <c r="C60" s="2" t="s">
        <v>420</v>
      </c>
      <c r="D60" s="2" t="s">
        <v>38</v>
      </c>
      <c r="E60" s="5" t="s">
        <v>427</v>
      </c>
      <c r="F60" s="6">
        <v>0</v>
      </c>
      <c r="G60" s="2" t="s">
        <v>61</v>
      </c>
    </row>
    <row r="61" spans="1:7" ht="15.75" customHeight="1">
      <c r="A61" s="2" t="s">
        <v>428</v>
      </c>
      <c r="B61" s="2">
        <v>46175</v>
      </c>
      <c r="C61" s="2" t="s">
        <v>144</v>
      </c>
      <c r="D61" s="2" t="s">
        <v>84</v>
      </c>
      <c r="E61" s="5" t="s">
        <v>430</v>
      </c>
      <c r="F61" s="6">
        <v>0.05</v>
      </c>
      <c r="G61" s="2" t="s">
        <v>49</v>
      </c>
    </row>
    <row r="62" spans="1:7" ht="15.75" customHeight="1">
      <c r="A62" s="2" t="s">
        <v>431</v>
      </c>
      <c r="B62" s="2">
        <v>46196</v>
      </c>
      <c r="C62" s="2" t="s">
        <v>301</v>
      </c>
      <c r="D62" s="2" t="s">
        <v>199</v>
      </c>
      <c r="E62" s="5" t="s">
        <v>361</v>
      </c>
      <c r="F62" s="6">
        <v>0</v>
      </c>
      <c r="G62" s="2" t="s">
        <v>216</v>
      </c>
    </row>
    <row r="63" spans="1:7" ht="15.75" customHeight="1">
      <c r="A63" s="2" t="s">
        <v>432</v>
      </c>
      <c r="B63" s="2">
        <v>46181</v>
      </c>
      <c r="C63" s="2" t="s">
        <v>206</v>
      </c>
      <c r="D63" s="2" t="s">
        <v>170</v>
      </c>
      <c r="E63" s="5" t="s">
        <v>116</v>
      </c>
      <c r="F63" s="6">
        <v>0</v>
      </c>
      <c r="G63" s="2" t="s">
        <v>61</v>
      </c>
    </row>
    <row r="64" spans="1:7" ht="15.75" customHeight="1">
      <c r="A64" s="2" t="s">
        <v>434</v>
      </c>
      <c r="B64" s="2">
        <v>46203</v>
      </c>
      <c r="C64" s="2" t="s">
        <v>376</v>
      </c>
      <c r="D64" s="2" t="s">
        <v>84</v>
      </c>
      <c r="E64" s="5" t="s">
        <v>233</v>
      </c>
      <c r="F64" s="6">
        <v>0</v>
      </c>
      <c r="G64" s="2" t="s">
        <v>61</v>
      </c>
    </row>
    <row r="65" spans="1:7" ht="15.75" customHeight="1">
      <c r="A65" s="2" t="s">
        <v>435</v>
      </c>
      <c r="B65" s="2">
        <v>46180</v>
      </c>
      <c r="C65" s="2" t="s">
        <v>342</v>
      </c>
      <c r="D65" s="2" t="s">
        <v>95</v>
      </c>
      <c r="E65" s="5" t="s">
        <v>90</v>
      </c>
      <c r="F65" s="6">
        <v>0</v>
      </c>
      <c r="G65" s="2" t="s">
        <v>61</v>
      </c>
    </row>
    <row r="66" spans="1:7" ht="15.75" customHeight="1">
      <c r="A66" s="2" t="s">
        <v>436</v>
      </c>
      <c r="B66" s="2">
        <v>46187</v>
      </c>
      <c r="C66" s="2" t="s">
        <v>185</v>
      </c>
      <c r="D66" s="2" t="s">
        <v>139</v>
      </c>
      <c r="E66" s="5" t="s">
        <v>223</v>
      </c>
      <c r="F66" s="6">
        <v>0</v>
      </c>
      <c r="G66" s="2" t="s">
        <v>49</v>
      </c>
    </row>
    <row r="67" spans="1:7" ht="15.75" customHeight="1">
      <c r="A67" s="2" t="s">
        <v>437</v>
      </c>
      <c r="B67" s="2">
        <v>46190</v>
      </c>
      <c r="C67" s="2" t="s">
        <v>306</v>
      </c>
      <c r="D67" s="2" t="s">
        <v>217</v>
      </c>
      <c r="E67" s="5" t="s">
        <v>438</v>
      </c>
      <c r="F67" s="6">
        <v>0</v>
      </c>
      <c r="G67" s="2" t="s">
        <v>61</v>
      </c>
    </row>
    <row r="68" spans="1:7" ht="15.75" customHeight="1">
      <c r="A68" s="2" t="s">
        <v>439</v>
      </c>
      <c r="B68" s="2">
        <v>46201</v>
      </c>
      <c r="C68" s="2" t="s">
        <v>272</v>
      </c>
      <c r="D68" s="2" t="s">
        <v>17</v>
      </c>
      <c r="E68" s="5" t="s">
        <v>90</v>
      </c>
      <c r="F68" s="6">
        <v>0</v>
      </c>
      <c r="G68" s="2" t="s">
        <v>440</v>
      </c>
    </row>
    <row r="69" spans="1:7" ht="15.75" customHeight="1">
      <c r="A69" s="2" t="s">
        <v>441</v>
      </c>
      <c r="B69" s="2">
        <v>46187</v>
      </c>
      <c r="C69" s="2" t="s">
        <v>327</v>
      </c>
      <c r="D69" s="2" t="s">
        <v>170</v>
      </c>
      <c r="E69" s="5" t="s">
        <v>442</v>
      </c>
      <c r="F69" s="6">
        <v>0</v>
      </c>
      <c r="G69" s="2" t="s">
        <v>61</v>
      </c>
    </row>
    <row r="70" spans="1:7" ht="15.75" customHeight="1">
      <c r="A70" s="2" t="s">
        <v>443</v>
      </c>
      <c r="B70" s="2">
        <v>46196</v>
      </c>
      <c r="C70" s="2" t="s">
        <v>400</v>
      </c>
      <c r="D70" s="2" t="s">
        <v>84</v>
      </c>
      <c r="E70" s="5" t="s">
        <v>162</v>
      </c>
      <c r="F70" s="6">
        <v>0</v>
      </c>
      <c r="G70" s="2" t="s">
        <v>49</v>
      </c>
    </row>
    <row r="71" spans="1:7" ht="15.75" customHeight="1">
      <c r="A71" s="2" t="s">
        <v>444</v>
      </c>
      <c r="B71" s="2">
        <v>46193</v>
      </c>
      <c r="C71" s="2" t="s">
        <v>352</v>
      </c>
      <c r="D71" s="2" t="s">
        <v>170</v>
      </c>
      <c r="E71" s="5" t="s">
        <v>253</v>
      </c>
      <c r="F71" s="6">
        <v>0</v>
      </c>
      <c r="G71" s="2" t="s">
        <v>61</v>
      </c>
    </row>
    <row r="72" spans="1:7" ht="15.75" customHeight="1">
      <c r="A72" s="2" t="s">
        <v>445</v>
      </c>
      <c r="B72" s="2">
        <v>46186</v>
      </c>
      <c r="C72" s="2" t="s">
        <v>171</v>
      </c>
      <c r="D72" s="2" t="s">
        <v>170</v>
      </c>
      <c r="E72" s="5" t="s">
        <v>116</v>
      </c>
      <c r="F72" s="6">
        <v>0.05</v>
      </c>
      <c r="G72" s="2" t="s">
        <v>61</v>
      </c>
    </row>
    <row r="73" spans="1:7" ht="15.75" customHeight="1">
      <c r="A73" s="2" t="s">
        <v>446</v>
      </c>
      <c r="B73" s="2">
        <v>46198</v>
      </c>
      <c r="C73" s="2" t="s">
        <v>114</v>
      </c>
      <c r="D73" s="2" t="s">
        <v>69</v>
      </c>
      <c r="E73" s="5" t="s">
        <v>45</v>
      </c>
      <c r="F73" s="6">
        <v>0</v>
      </c>
      <c r="G73" s="2" t="s">
        <v>61</v>
      </c>
    </row>
    <row r="74" spans="1:7" ht="15.75" customHeight="1">
      <c r="A74" s="2" t="s">
        <v>447</v>
      </c>
      <c r="B74" s="2">
        <v>46178</v>
      </c>
      <c r="C74" s="2" t="s">
        <v>231</v>
      </c>
      <c r="D74" s="2" t="s">
        <v>84</v>
      </c>
      <c r="E74" s="5" t="s">
        <v>285</v>
      </c>
      <c r="F74" s="6">
        <v>0.05</v>
      </c>
      <c r="G74" s="2" t="s">
        <v>61</v>
      </c>
    </row>
    <row r="75" spans="1:7" ht="15.75" customHeight="1">
      <c r="A75" s="2" t="s">
        <v>448</v>
      </c>
      <c r="B75" s="2">
        <v>46202</v>
      </c>
      <c r="C75" s="2" t="s">
        <v>290</v>
      </c>
      <c r="D75" s="2" t="s">
        <v>69</v>
      </c>
      <c r="E75" s="5" t="s">
        <v>449</v>
      </c>
      <c r="F75" s="6">
        <v>0</v>
      </c>
      <c r="G75" s="2" t="s">
        <v>61</v>
      </c>
    </row>
    <row r="76" spans="1:7" ht="15.75" customHeight="1">
      <c r="A76" s="2" t="s">
        <v>450</v>
      </c>
      <c r="B76" s="2">
        <v>46174</v>
      </c>
      <c r="C76" s="2" t="s">
        <v>279</v>
      </c>
      <c r="D76" s="2" t="s">
        <v>199</v>
      </c>
      <c r="E76" s="5" t="s">
        <v>90</v>
      </c>
      <c r="F76" s="6">
        <v>0.05</v>
      </c>
      <c r="G76" s="2" t="s">
        <v>61</v>
      </c>
    </row>
    <row r="77" spans="1:7" ht="15.75" customHeight="1">
      <c r="A77" s="2" t="s">
        <v>451</v>
      </c>
      <c r="B77" s="2">
        <v>46181</v>
      </c>
      <c r="C77" s="2" t="s">
        <v>40</v>
      </c>
      <c r="D77" s="2" t="s">
        <v>95</v>
      </c>
      <c r="E77" s="5" t="s">
        <v>285</v>
      </c>
      <c r="F77" s="6">
        <v>0</v>
      </c>
      <c r="G77" s="2" t="s">
        <v>61</v>
      </c>
    </row>
    <row r="78" spans="1:7" ht="15.75" customHeight="1">
      <c r="A78" s="2" t="s">
        <v>452</v>
      </c>
      <c r="B78" s="2">
        <v>46184</v>
      </c>
      <c r="C78" s="2" t="s">
        <v>371</v>
      </c>
      <c r="D78" s="2" t="s">
        <v>108</v>
      </c>
      <c r="E78" s="5" t="s">
        <v>453</v>
      </c>
      <c r="F78" s="6">
        <v>0</v>
      </c>
      <c r="G78" s="2" t="s">
        <v>61</v>
      </c>
    </row>
    <row r="79" spans="1:7" ht="15.75" customHeight="1">
      <c r="A79" s="2" t="s">
        <v>454</v>
      </c>
      <c r="B79" s="2">
        <v>46186</v>
      </c>
      <c r="C79" s="2" t="s">
        <v>190</v>
      </c>
      <c r="D79" s="2" t="s">
        <v>17</v>
      </c>
      <c r="E79" s="5" t="s">
        <v>361</v>
      </c>
      <c r="F79" s="6">
        <v>0.05</v>
      </c>
      <c r="G79" s="2" t="s">
        <v>179</v>
      </c>
    </row>
    <row r="80" spans="1:7" ht="15.75" customHeight="1">
      <c r="A80" s="2" t="s">
        <v>455</v>
      </c>
      <c r="B80" s="2">
        <v>46178</v>
      </c>
      <c r="C80" s="2" t="s">
        <v>257</v>
      </c>
      <c r="D80" s="2" t="s">
        <v>50</v>
      </c>
      <c r="E80" s="5" t="s">
        <v>409</v>
      </c>
      <c r="F80" s="6">
        <v>0.05</v>
      </c>
      <c r="G80" s="2" t="s">
        <v>61</v>
      </c>
    </row>
    <row r="81" spans="1:7" ht="15.75" customHeight="1">
      <c r="A81" s="2" t="s">
        <v>456</v>
      </c>
      <c r="B81" s="2">
        <v>46178</v>
      </c>
      <c r="C81" s="2" t="s">
        <v>309</v>
      </c>
      <c r="D81" s="2" t="s">
        <v>139</v>
      </c>
      <c r="E81" s="5" t="s">
        <v>457</v>
      </c>
      <c r="F81" s="6">
        <v>0</v>
      </c>
      <c r="G81" s="2" t="s">
        <v>61</v>
      </c>
    </row>
    <row r="82" spans="1:7" ht="15.75" customHeight="1">
      <c r="A82" s="2" t="s">
        <v>458</v>
      </c>
      <c r="B82" s="2">
        <v>46183</v>
      </c>
      <c r="C82" s="2" t="s">
        <v>309</v>
      </c>
      <c r="D82" s="2" t="s">
        <v>84</v>
      </c>
      <c r="E82" s="5" t="s">
        <v>152</v>
      </c>
      <c r="F82" s="6">
        <v>0.05</v>
      </c>
      <c r="G82" s="2" t="s">
        <v>216</v>
      </c>
    </row>
    <row r="83" spans="1:7" ht="15.75" customHeight="1">
      <c r="A83" s="2" t="s">
        <v>459</v>
      </c>
      <c r="B83" s="2">
        <v>46182</v>
      </c>
      <c r="C83" s="2" t="s">
        <v>211</v>
      </c>
      <c r="D83" s="2" t="s">
        <v>95</v>
      </c>
      <c r="E83" s="5" t="s">
        <v>90</v>
      </c>
      <c r="F83" s="6">
        <v>0</v>
      </c>
      <c r="G83" s="2" t="s">
        <v>49</v>
      </c>
    </row>
    <row r="84" spans="1:7" ht="15.75" customHeight="1">
      <c r="A84" s="2" t="s">
        <v>461</v>
      </c>
      <c r="B84" s="2">
        <v>46196</v>
      </c>
      <c r="C84" s="2" t="s">
        <v>290</v>
      </c>
      <c r="D84" s="2" t="s">
        <v>217</v>
      </c>
      <c r="E84" s="5" t="s">
        <v>97</v>
      </c>
      <c r="F84" s="6">
        <v>0.05</v>
      </c>
      <c r="G84" s="2" t="s">
        <v>61</v>
      </c>
    </row>
    <row r="85" spans="1:7" ht="15.75" customHeight="1">
      <c r="A85" s="2" t="s">
        <v>462</v>
      </c>
      <c r="B85" s="2">
        <v>46178</v>
      </c>
      <c r="C85" s="2" t="s">
        <v>93</v>
      </c>
      <c r="D85" s="2" t="s">
        <v>217</v>
      </c>
      <c r="E85" s="5" t="s">
        <v>335</v>
      </c>
      <c r="F85" s="6">
        <v>0</v>
      </c>
      <c r="G85" s="2" t="s">
        <v>61</v>
      </c>
    </row>
    <row r="86" spans="1:7" ht="15.75" customHeight="1">
      <c r="A86" s="2" t="s">
        <v>464</v>
      </c>
      <c r="B86" s="2">
        <v>46201</v>
      </c>
      <c r="C86" s="2" t="s">
        <v>283</v>
      </c>
      <c r="D86" s="2" t="s">
        <v>217</v>
      </c>
      <c r="E86" s="5" t="s">
        <v>191</v>
      </c>
      <c r="F86" s="6">
        <v>0</v>
      </c>
      <c r="G86" s="2" t="s">
        <v>61</v>
      </c>
    </row>
    <row r="87" spans="1:7" ht="15.75" customHeight="1">
      <c r="A87" s="2" t="s">
        <v>465</v>
      </c>
      <c r="B87" s="2">
        <v>46192</v>
      </c>
      <c r="C87" s="2" t="s">
        <v>246</v>
      </c>
      <c r="D87" s="2" t="s">
        <v>50</v>
      </c>
      <c r="E87" s="5" t="s">
        <v>59</v>
      </c>
      <c r="F87" s="6">
        <v>0.1</v>
      </c>
      <c r="G87" s="2" t="s">
        <v>61</v>
      </c>
    </row>
    <row r="88" spans="1:7" ht="15.75" customHeight="1">
      <c r="A88" s="2" t="s">
        <v>466</v>
      </c>
      <c r="B88" s="2">
        <v>46201</v>
      </c>
      <c r="C88" s="2" t="s">
        <v>120</v>
      </c>
      <c r="D88" s="2" t="s">
        <v>199</v>
      </c>
      <c r="E88" s="5" t="s">
        <v>453</v>
      </c>
      <c r="F88" s="6">
        <v>0.05</v>
      </c>
      <c r="G88" s="2" t="s">
        <v>61</v>
      </c>
    </row>
    <row r="89" spans="1:7" ht="15.75" customHeight="1">
      <c r="A89" s="2" t="s">
        <v>467</v>
      </c>
      <c r="B89" s="2">
        <v>46184</v>
      </c>
      <c r="C89" s="2" t="s">
        <v>261</v>
      </c>
      <c r="D89" s="2" t="s">
        <v>468</v>
      </c>
      <c r="E89" s="5" t="s">
        <v>223</v>
      </c>
      <c r="F89" s="6">
        <v>0.05</v>
      </c>
      <c r="G89" s="2" t="s">
        <v>49</v>
      </c>
    </row>
    <row r="90" spans="1:7" ht="15.75" customHeight="1">
      <c r="A90" s="2" t="s">
        <v>469</v>
      </c>
      <c r="B90" s="2">
        <v>46185</v>
      </c>
      <c r="C90" s="2" t="s">
        <v>75</v>
      </c>
      <c r="D90" s="2" t="s">
        <v>180</v>
      </c>
      <c r="E90" s="5" t="s">
        <v>351</v>
      </c>
      <c r="F90" s="6">
        <v>0</v>
      </c>
      <c r="G90" s="2" t="s">
        <v>61</v>
      </c>
    </row>
    <row r="91" spans="1:7" ht="15.75" customHeight="1">
      <c r="A91" s="2" t="s">
        <v>470</v>
      </c>
      <c r="B91" s="2">
        <v>46202</v>
      </c>
      <c r="C91" s="2" t="s">
        <v>177</v>
      </c>
      <c r="D91" s="2" t="s">
        <v>108</v>
      </c>
      <c r="E91" s="5" t="s">
        <v>471</v>
      </c>
      <c r="F91" s="6">
        <v>0</v>
      </c>
      <c r="G91" s="2" t="s">
        <v>61</v>
      </c>
    </row>
    <row r="92" spans="1:7" ht="15.75" customHeight="1">
      <c r="A92" s="2" t="s">
        <v>472</v>
      </c>
      <c r="B92" s="2">
        <v>46203</v>
      </c>
      <c r="C92" s="2" t="s">
        <v>283</v>
      </c>
      <c r="D92" s="2" t="s">
        <v>134</v>
      </c>
      <c r="E92" s="5" t="s">
        <v>335</v>
      </c>
      <c r="F92" s="6">
        <v>0</v>
      </c>
      <c r="G92" s="2" t="s">
        <v>61</v>
      </c>
    </row>
    <row r="93" spans="1:7" ht="15.75" customHeight="1">
      <c r="A93" s="2" t="s">
        <v>473</v>
      </c>
      <c r="B93" s="2">
        <v>46179</v>
      </c>
      <c r="C93" s="2" t="s">
        <v>135</v>
      </c>
      <c r="D93" s="2" t="s">
        <v>84</v>
      </c>
      <c r="E93" s="5" t="s">
        <v>253</v>
      </c>
      <c r="F93" s="6">
        <v>0</v>
      </c>
      <c r="G93" s="2" t="s">
        <v>61</v>
      </c>
    </row>
    <row r="94" spans="1:7" ht="15.75" customHeight="1">
      <c r="A94" s="2" t="s">
        <v>474</v>
      </c>
      <c r="B94" s="2">
        <v>46187</v>
      </c>
      <c r="C94" s="2" t="s">
        <v>144</v>
      </c>
      <c r="D94" s="2" t="s">
        <v>41</v>
      </c>
      <c r="E94" s="5" t="s">
        <v>457</v>
      </c>
      <c r="F94" s="6">
        <v>0</v>
      </c>
      <c r="G94" s="2" t="s">
        <v>61</v>
      </c>
    </row>
    <row r="95" spans="1:7" ht="15.75" customHeight="1">
      <c r="A95" s="2" t="s">
        <v>475</v>
      </c>
      <c r="B95" s="2">
        <v>46185</v>
      </c>
      <c r="C95" s="2" t="s">
        <v>192</v>
      </c>
      <c r="D95" s="2" t="s">
        <v>57</v>
      </c>
      <c r="E95" s="5" t="s">
        <v>476</v>
      </c>
      <c r="F95" s="6">
        <v>0.05</v>
      </c>
      <c r="G95" s="2" t="s">
        <v>61</v>
      </c>
    </row>
    <row r="96" spans="1:7" ht="15.75" customHeight="1">
      <c r="A96" s="2" t="s">
        <v>477</v>
      </c>
      <c r="B96" s="2">
        <v>46193</v>
      </c>
      <c r="C96" s="2" t="s">
        <v>158</v>
      </c>
      <c r="D96" s="2" t="s">
        <v>134</v>
      </c>
      <c r="E96" s="5" t="s">
        <v>162</v>
      </c>
      <c r="F96" s="6">
        <v>0</v>
      </c>
      <c r="G96" s="2" t="s">
        <v>61</v>
      </c>
    </row>
    <row r="97" spans="1:7" ht="15.75" customHeight="1">
      <c r="E97" s="5"/>
      <c r="F97" s="6"/>
    </row>
    <row r="98" spans="1:7" ht="15.75" customHeight="1">
      <c r="A98" s="2" t="s">
        <v>478</v>
      </c>
      <c r="B98" s="2">
        <v>46184</v>
      </c>
      <c r="C98" s="2" t="s">
        <v>261</v>
      </c>
      <c r="D98" s="2" t="s">
        <v>95</v>
      </c>
      <c r="E98" s="5" t="s">
        <v>79</v>
      </c>
      <c r="F98" s="6">
        <v>0.1</v>
      </c>
      <c r="G98" s="2" t="s">
        <v>61</v>
      </c>
    </row>
    <row r="99" spans="1:7" ht="15.75" customHeight="1">
      <c r="A99" s="2" t="s">
        <v>479</v>
      </c>
      <c r="B99" s="2">
        <v>46192</v>
      </c>
      <c r="C99" s="2" t="s">
        <v>270</v>
      </c>
      <c r="D99" s="2" t="s">
        <v>17</v>
      </c>
      <c r="E99" s="5" t="s">
        <v>480</v>
      </c>
      <c r="F99" s="6">
        <v>0</v>
      </c>
      <c r="G99" s="2" t="s">
        <v>49</v>
      </c>
    </row>
    <row r="100" spans="1:7" ht="15.75" customHeight="1">
      <c r="A100" s="2" t="s">
        <v>481</v>
      </c>
      <c r="B100" s="2">
        <v>46188</v>
      </c>
      <c r="C100" s="2" t="s">
        <v>113</v>
      </c>
      <c r="D100" s="2" t="s">
        <v>170</v>
      </c>
      <c r="E100" s="5" t="s">
        <v>285</v>
      </c>
      <c r="F100" s="6">
        <v>0</v>
      </c>
      <c r="G100" s="2" t="s">
        <v>61</v>
      </c>
    </row>
    <row r="101" spans="1:7" ht="15.75" customHeight="1">
      <c r="A101" s="2" t="s">
        <v>483</v>
      </c>
      <c r="B101" s="2">
        <v>46194</v>
      </c>
      <c r="C101" s="2" t="s">
        <v>93</v>
      </c>
      <c r="D101" s="2" t="s">
        <v>151</v>
      </c>
      <c r="E101" s="5" t="s">
        <v>484</v>
      </c>
      <c r="F101" s="6">
        <v>0</v>
      </c>
      <c r="G101" s="2" t="s">
        <v>61</v>
      </c>
    </row>
    <row r="102" spans="1:7" ht="15.75" customHeight="1">
      <c r="A102" s="2" t="s">
        <v>485</v>
      </c>
      <c r="B102" s="2">
        <v>46180</v>
      </c>
      <c r="C102" s="2" t="s">
        <v>344</v>
      </c>
      <c r="D102" s="2" t="s">
        <v>84</v>
      </c>
      <c r="E102" s="5" t="s">
        <v>409</v>
      </c>
      <c r="F102" s="6">
        <v>0</v>
      </c>
      <c r="G102" s="2" t="s">
        <v>440</v>
      </c>
    </row>
    <row r="103" spans="1:7" ht="15.75" customHeight="1">
      <c r="A103" s="2" t="s">
        <v>487</v>
      </c>
      <c r="B103" s="2">
        <v>46198</v>
      </c>
      <c r="C103" s="2" t="s">
        <v>165</v>
      </c>
      <c r="D103" s="2" t="s">
        <v>50</v>
      </c>
      <c r="E103" s="5" t="s">
        <v>263</v>
      </c>
      <c r="F103" s="6">
        <v>0</v>
      </c>
      <c r="G103" s="2" t="s">
        <v>216</v>
      </c>
    </row>
    <row r="104" spans="1:7" ht="15.75" customHeight="1">
      <c r="A104" s="2" t="s">
        <v>488</v>
      </c>
      <c r="B104" s="2">
        <v>46193</v>
      </c>
      <c r="C104" s="2" t="s">
        <v>246</v>
      </c>
      <c r="D104" s="2" t="s">
        <v>41</v>
      </c>
      <c r="E104" s="5" t="s">
        <v>335</v>
      </c>
      <c r="F104" s="6">
        <v>0.05</v>
      </c>
      <c r="G104" s="2" t="s">
        <v>61</v>
      </c>
    </row>
    <row r="105" spans="1:7" ht="15.75" customHeight="1">
      <c r="A105" s="2" t="s">
        <v>491</v>
      </c>
      <c r="B105" s="2">
        <v>46179</v>
      </c>
      <c r="C105" s="2" t="s">
        <v>190</v>
      </c>
      <c r="D105" s="2" t="s">
        <v>117</v>
      </c>
      <c r="E105" s="5" t="s">
        <v>323</v>
      </c>
      <c r="F105" s="6">
        <v>0.05</v>
      </c>
      <c r="G105" s="2" t="s">
        <v>61</v>
      </c>
    </row>
    <row r="106" spans="1:7" ht="15.75" customHeight="1">
      <c r="A106" s="2" t="s">
        <v>493</v>
      </c>
      <c r="B106" s="2">
        <v>46189</v>
      </c>
      <c r="C106" s="2" t="s">
        <v>56</v>
      </c>
      <c r="D106" s="2" t="s">
        <v>41</v>
      </c>
      <c r="E106" s="5" t="s">
        <v>361</v>
      </c>
      <c r="F106" s="6">
        <v>0</v>
      </c>
      <c r="G106" s="2" t="s">
        <v>61</v>
      </c>
    </row>
    <row r="107" spans="1:7" ht="15.75" customHeight="1">
      <c r="A107" s="2" t="s">
        <v>494</v>
      </c>
      <c r="B107" s="2">
        <v>46197</v>
      </c>
      <c r="C107" s="2" t="s">
        <v>241</v>
      </c>
      <c r="D107" s="2" t="s">
        <v>170</v>
      </c>
      <c r="E107" s="5" t="s">
        <v>415</v>
      </c>
      <c r="F107" s="6">
        <v>0</v>
      </c>
      <c r="G107" s="2" t="s">
        <v>61</v>
      </c>
    </row>
    <row r="108" spans="1:7" ht="15.75" customHeight="1">
      <c r="A108" s="2" t="s">
        <v>495</v>
      </c>
      <c r="B108" s="2">
        <v>46188</v>
      </c>
      <c r="C108" s="2" t="s">
        <v>211</v>
      </c>
      <c r="D108" s="2" t="s">
        <v>108</v>
      </c>
      <c r="E108" s="5" t="s">
        <v>162</v>
      </c>
      <c r="F108" s="6">
        <v>0.05</v>
      </c>
      <c r="G108" s="2" t="s">
        <v>61</v>
      </c>
    </row>
    <row r="109" spans="1:7" ht="15.75" customHeight="1">
      <c r="A109" s="2" t="s">
        <v>496</v>
      </c>
      <c r="B109" s="2">
        <v>46193</v>
      </c>
      <c r="C109" s="2" t="s">
        <v>214</v>
      </c>
      <c r="D109" s="2" t="s">
        <v>139</v>
      </c>
      <c r="E109" s="5" t="s">
        <v>442</v>
      </c>
      <c r="F109" s="6">
        <v>0</v>
      </c>
      <c r="G109" s="2" t="s">
        <v>61</v>
      </c>
    </row>
    <row r="110" spans="1:7" ht="15.75" customHeight="1">
      <c r="A110" s="2" t="s">
        <v>497</v>
      </c>
      <c r="B110" s="2">
        <v>46200</v>
      </c>
      <c r="C110" s="2" t="s">
        <v>257</v>
      </c>
      <c r="D110" s="2" t="s">
        <v>151</v>
      </c>
      <c r="E110" s="5" t="s">
        <v>285</v>
      </c>
      <c r="F110" s="6">
        <v>0.1</v>
      </c>
      <c r="G110" s="2" t="s">
        <v>61</v>
      </c>
    </row>
    <row r="111" spans="1:7" ht="15.75" customHeight="1">
      <c r="A111" s="2" t="s">
        <v>497</v>
      </c>
      <c r="B111" s="2">
        <v>46200</v>
      </c>
      <c r="C111" s="2" t="s">
        <v>257</v>
      </c>
      <c r="D111" s="2" t="s">
        <v>151</v>
      </c>
      <c r="E111" s="5" t="s">
        <v>285</v>
      </c>
      <c r="F111" s="6">
        <v>0.1</v>
      </c>
      <c r="G111" s="2" t="s">
        <v>61</v>
      </c>
    </row>
    <row r="112" spans="1:7" ht="15.75" customHeight="1">
      <c r="A112" s="2" t="s">
        <v>498</v>
      </c>
      <c r="B112" s="2">
        <v>46196</v>
      </c>
      <c r="C112" s="2" t="s">
        <v>143</v>
      </c>
      <c r="D112" s="2" t="s">
        <v>151</v>
      </c>
      <c r="E112" s="5" t="s">
        <v>442</v>
      </c>
      <c r="F112" s="6">
        <v>0</v>
      </c>
      <c r="G112" s="2" t="s">
        <v>61</v>
      </c>
    </row>
    <row r="113" spans="1:7" ht="15.75" customHeight="1">
      <c r="A113" s="2" t="s">
        <v>499</v>
      </c>
      <c r="B113" s="2">
        <v>46180</v>
      </c>
      <c r="C113" s="2" t="s">
        <v>221</v>
      </c>
      <c r="D113" s="2" t="s">
        <v>57</v>
      </c>
      <c r="E113" s="5" t="s">
        <v>335</v>
      </c>
      <c r="F113" s="6">
        <v>0</v>
      </c>
      <c r="G113" s="2" t="s">
        <v>61</v>
      </c>
    </row>
    <row r="114" spans="1:7" ht="15.75" customHeight="1">
      <c r="A114" s="2" t="s">
        <v>500</v>
      </c>
      <c r="B114" s="2">
        <v>46174</v>
      </c>
      <c r="C114" s="2" t="s">
        <v>312</v>
      </c>
      <c r="D114" s="2" t="s">
        <v>38</v>
      </c>
      <c r="E114" s="5" t="s">
        <v>308</v>
      </c>
      <c r="F114" s="6">
        <v>0</v>
      </c>
      <c r="G114" s="2" t="s">
        <v>61</v>
      </c>
    </row>
    <row r="115" spans="1:7" ht="15.75" customHeight="1">
      <c r="A115" s="2" t="s">
        <v>501</v>
      </c>
      <c r="B115" s="2">
        <v>46186</v>
      </c>
      <c r="C115" s="2" t="s">
        <v>312</v>
      </c>
      <c r="D115" s="2" t="s">
        <v>180</v>
      </c>
      <c r="E115" s="5" t="s">
        <v>471</v>
      </c>
      <c r="F115" s="6">
        <v>0.05</v>
      </c>
      <c r="G115" s="2" t="s">
        <v>49</v>
      </c>
    </row>
    <row r="116" spans="1:7" ht="15.75" customHeight="1">
      <c r="A116" s="2" t="s">
        <v>503</v>
      </c>
      <c r="B116" s="2">
        <v>46182</v>
      </c>
      <c r="C116" s="2" t="s">
        <v>148</v>
      </c>
      <c r="D116" s="2" t="s">
        <v>217</v>
      </c>
      <c r="E116" s="5" t="s">
        <v>471</v>
      </c>
      <c r="F116" s="6">
        <v>0.05</v>
      </c>
      <c r="G116" s="2" t="s">
        <v>61</v>
      </c>
    </row>
    <row r="117" spans="1:7" ht="15.75" customHeight="1">
      <c r="A117" s="2" t="s">
        <v>504</v>
      </c>
      <c r="B117" s="2">
        <v>46177</v>
      </c>
      <c r="C117" s="2" t="s">
        <v>407</v>
      </c>
      <c r="D117" s="2" t="s">
        <v>139</v>
      </c>
      <c r="E117" s="5" t="s">
        <v>505</v>
      </c>
      <c r="F117" s="6">
        <v>0</v>
      </c>
      <c r="G117" s="2" t="s">
        <v>61</v>
      </c>
    </row>
    <row r="118" spans="1:7" ht="15.75" customHeight="1">
      <c r="A118" s="2" t="s">
        <v>506</v>
      </c>
      <c r="B118" s="2">
        <v>46174</v>
      </c>
      <c r="C118" s="2" t="s">
        <v>144</v>
      </c>
      <c r="D118" s="2" t="s">
        <v>95</v>
      </c>
      <c r="E118" s="5" t="s">
        <v>427</v>
      </c>
      <c r="F118" s="6">
        <v>0</v>
      </c>
      <c r="G118" s="2" t="s">
        <v>61</v>
      </c>
    </row>
    <row r="119" spans="1:7" ht="15.75" customHeight="1">
      <c r="A119" s="2" t="s">
        <v>507</v>
      </c>
      <c r="B119" s="2">
        <v>46189</v>
      </c>
      <c r="C119" s="2" t="s">
        <v>349</v>
      </c>
      <c r="D119" s="2" t="s">
        <v>28</v>
      </c>
      <c r="E119" s="5" t="s">
        <v>223</v>
      </c>
      <c r="F119" s="6">
        <v>0</v>
      </c>
      <c r="G119" s="2" t="s">
        <v>61</v>
      </c>
    </row>
    <row r="120" spans="1:7" ht="15.75" customHeight="1">
      <c r="A120" s="2" t="s">
        <v>508</v>
      </c>
      <c r="B120" s="2">
        <v>46199</v>
      </c>
      <c r="C120" s="2" t="s">
        <v>270</v>
      </c>
      <c r="D120" s="2" t="s">
        <v>172</v>
      </c>
      <c r="E120" s="5" t="s">
        <v>415</v>
      </c>
      <c r="F120" s="6">
        <v>0.05</v>
      </c>
      <c r="G120" s="2" t="s">
        <v>61</v>
      </c>
    </row>
    <row r="121" spans="1:7" ht="15.75" customHeight="1">
      <c r="A121" s="2" t="s">
        <v>510</v>
      </c>
      <c r="B121" s="2">
        <v>46197</v>
      </c>
      <c r="C121" s="2" t="s">
        <v>348</v>
      </c>
      <c r="D121" s="2" t="s">
        <v>125</v>
      </c>
      <c r="E121" s="5" t="s">
        <v>285</v>
      </c>
      <c r="F121" s="6">
        <v>0</v>
      </c>
      <c r="G121" s="2" t="s">
        <v>61</v>
      </c>
    </row>
    <row r="122" spans="1:7" ht="15.75" customHeight="1">
      <c r="A122" s="2" t="s">
        <v>511</v>
      </c>
      <c r="B122" s="2">
        <v>46203</v>
      </c>
      <c r="C122" s="2" t="s">
        <v>76</v>
      </c>
      <c r="D122" s="2" t="s">
        <v>134</v>
      </c>
      <c r="E122" s="5" t="s">
        <v>308</v>
      </c>
      <c r="F122" s="6">
        <v>0.05</v>
      </c>
      <c r="G122" s="2" t="s">
        <v>61</v>
      </c>
    </row>
    <row r="123" spans="1:7" ht="15.75" customHeight="1">
      <c r="A123" s="2" t="s">
        <v>512</v>
      </c>
      <c r="B123" s="2">
        <v>46189</v>
      </c>
      <c r="C123" s="2" t="s">
        <v>133</v>
      </c>
      <c r="D123" s="2" t="s">
        <v>41</v>
      </c>
      <c r="E123" s="5" t="s">
        <v>514</v>
      </c>
      <c r="F123" s="6">
        <v>0</v>
      </c>
      <c r="G123" s="2" t="s">
        <v>49</v>
      </c>
    </row>
    <row r="124" spans="1:7" ht="15.75" customHeight="1">
      <c r="A124" s="2" t="s">
        <v>515</v>
      </c>
      <c r="B124" s="2">
        <v>46188</v>
      </c>
      <c r="C124" s="2" t="s">
        <v>87</v>
      </c>
      <c r="D124" s="2" t="s">
        <v>180</v>
      </c>
      <c r="E124" s="5" t="s">
        <v>67</v>
      </c>
      <c r="F124" s="6">
        <v>0</v>
      </c>
      <c r="G124" s="2" t="s">
        <v>216</v>
      </c>
    </row>
    <row r="125" spans="1:7" ht="15.75" customHeight="1">
      <c r="A125" s="2" t="s">
        <v>516</v>
      </c>
      <c r="B125" s="2">
        <v>46182</v>
      </c>
      <c r="C125" s="2" t="s">
        <v>182</v>
      </c>
      <c r="D125" s="2" t="s">
        <v>108</v>
      </c>
      <c r="E125" s="5" t="s">
        <v>430</v>
      </c>
      <c r="F125" s="6">
        <v>0.05</v>
      </c>
      <c r="G125" s="2" t="s">
        <v>61</v>
      </c>
    </row>
    <row r="126" spans="1:7" ht="15.75" customHeight="1">
      <c r="A126" s="2" t="s">
        <v>517</v>
      </c>
      <c r="B126" s="2">
        <v>46182</v>
      </c>
      <c r="C126" s="2" t="s">
        <v>165</v>
      </c>
      <c r="D126" s="2" t="s">
        <v>117</v>
      </c>
      <c r="E126" s="5" t="s">
        <v>518</v>
      </c>
      <c r="F126" s="6">
        <v>0</v>
      </c>
      <c r="G126" s="2" t="s">
        <v>61</v>
      </c>
    </row>
    <row r="127" spans="1:7" ht="15.75" customHeight="1">
      <c r="A127" s="2" t="s">
        <v>519</v>
      </c>
      <c r="B127" s="2">
        <v>46180</v>
      </c>
      <c r="C127" s="2" t="s">
        <v>176</v>
      </c>
      <c r="D127" s="2" t="s">
        <v>217</v>
      </c>
      <c r="E127" s="5" t="s">
        <v>427</v>
      </c>
      <c r="F127" s="6">
        <v>0.05</v>
      </c>
      <c r="G127" s="2" t="s">
        <v>61</v>
      </c>
    </row>
    <row r="128" spans="1:7" ht="15.75" customHeight="1">
      <c r="A128" s="2" t="s">
        <v>520</v>
      </c>
      <c r="B128" s="2">
        <v>46192</v>
      </c>
      <c r="C128" s="2" t="s">
        <v>158</v>
      </c>
      <c r="D128" s="2" t="s">
        <v>217</v>
      </c>
      <c r="E128" s="5" t="s">
        <v>442</v>
      </c>
      <c r="F128" s="6">
        <v>0</v>
      </c>
      <c r="G128" s="2" t="s">
        <v>61</v>
      </c>
    </row>
    <row r="129" spans="1:7" ht="15.75" customHeight="1">
      <c r="A129" s="2" t="s">
        <v>521</v>
      </c>
      <c r="B129" s="2">
        <v>46200</v>
      </c>
      <c r="C129" s="2" t="s">
        <v>407</v>
      </c>
      <c r="D129" s="2" t="s">
        <v>69</v>
      </c>
      <c r="E129" s="5" t="s">
        <v>233</v>
      </c>
      <c r="F129" s="6">
        <v>0.05</v>
      </c>
      <c r="G129" s="2" t="s">
        <v>49</v>
      </c>
    </row>
    <row r="130" spans="1:7" ht="15.75" customHeight="1">
      <c r="A130" s="2" t="s">
        <v>522</v>
      </c>
      <c r="B130" s="2">
        <v>46183</v>
      </c>
      <c r="C130" s="2" t="s">
        <v>114</v>
      </c>
      <c r="D130" s="2" t="s">
        <v>151</v>
      </c>
      <c r="E130" s="5" t="s">
        <v>449</v>
      </c>
      <c r="F130" s="6">
        <v>0</v>
      </c>
      <c r="G130" s="2" t="s">
        <v>61</v>
      </c>
    </row>
    <row r="131" spans="1:7" ht="15.75" customHeight="1">
      <c r="A131" s="2" t="s">
        <v>523</v>
      </c>
      <c r="B131" s="2">
        <v>46187</v>
      </c>
      <c r="C131" s="2" t="s">
        <v>290</v>
      </c>
      <c r="D131" s="2" t="s">
        <v>170</v>
      </c>
      <c r="E131" s="5" t="s">
        <v>484</v>
      </c>
      <c r="F131" s="6">
        <v>0</v>
      </c>
      <c r="G131" s="2" t="s">
        <v>61</v>
      </c>
    </row>
    <row r="132" spans="1:7" ht="15.75" customHeight="1">
      <c r="A132" s="2" t="s">
        <v>525</v>
      </c>
      <c r="B132" s="2">
        <v>46203</v>
      </c>
      <c r="C132" s="2" t="s">
        <v>293</v>
      </c>
      <c r="D132" s="2" t="s">
        <v>217</v>
      </c>
      <c r="E132" s="5" t="s">
        <v>484</v>
      </c>
      <c r="F132" s="6">
        <v>0</v>
      </c>
      <c r="G132" s="2" t="s">
        <v>61</v>
      </c>
    </row>
    <row r="133" spans="1:7" ht="15.75" customHeight="1">
      <c r="A133" s="2" t="s">
        <v>526</v>
      </c>
      <c r="B133" s="2">
        <v>46185</v>
      </c>
      <c r="C133" s="2" t="s">
        <v>359</v>
      </c>
      <c r="D133" s="2" t="s">
        <v>180</v>
      </c>
      <c r="E133" s="5" t="s">
        <v>308</v>
      </c>
      <c r="F133" s="6">
        <v>0.05</v>
      </c>
      <c r="G133" s="2" t="s">
        <v>61</v>
      </c>
    </row>
    <row r="134" spans="1:7" ht="15.75" customHeight="1">
      <c r="A134" s="2" t="s">
        <v>527</v>
      </c>
      <c r="B134" s="2">
        <v>46196</v>
      </c>
      <c r="C134" s="2" t="s">
        <v>56</v>
      </c>
      <c r="D134" s="2" t="s">
        <v>217</v>
      </c>
      <c r="E134" s="5" t="s">
        <v>45</v>
      </c>
      <c r="F134" s="6">
        <v>0.05</v>
      </c>
      <c r="G134" s="2" t="s">
        <v>61</v>
      </c>
    </row>
    <row r="135" spans="1:7" ht="15.75" customHeight="1">
      <c r="A135" s="2" t="s">
        <v>529</v>
      </c>
      <c r="B135" s="2">
        <v>46199</v>
      </c>
      <c r="C135" s="2" t="s">
        <v>231</v>
      </c>
      <c r="D135" s="2" t="s">
        <v>151</v>
      </c>
      <c r="E135" s="5" t="s">
        <v>330</v>
      </c>
      <c r="F135" s="6">
        <v>0</v>
      </c>
      <c r="G135" s="2" t="s">
        <v>61</v>
      </c>
    </row>
    <row r="136" spans="1:7" ht="15.75" customHeight="1">
      <c r="A136" s="2" t="s">
        <v>530</v>
      </c>
      <c r="B136" s="2">
        <v>46202</v>
      </c>
      <c r="C136" s="2" t="s">
        <v>402</v>
      </c>
      <c r="D136" s="2" t="s">
        <v>117</v>
      </c>
      <c r="E136" s="5" t="s">
        <v>162</v>
      </c>
      <c r="F136" s="6">
        <v>0</v>
      </c>
      <c r="G136" s="2" t="s">
        <v>440</v>
      </c>
    </row>
    <row r="137" spans="1:7" ht="15.75" customHeight="1">
      <c r="A137" s="2" t="s">
        <v>531</v>
      </c>
      <c r="B137" s="2">
        <v>46184</v>
      </c>
      <c r="C137" s="2" t="s">
        <v>160</v>
      </c>
      <c r="D137" s="2" t="s">
        <v>17</v>
      </c>
      <c r="E137" s="5" t="s">
        <v>107</v>
      </c>
      <c r="F137" s="6">
        <v>0</v>
      </c>
      <c r="G137" s="2" t="s">
        <v>49</v>
      </c>
    </row>
    <row r="138" spans="1:7" ht="15.75" customHeight="1">
      <c r="A138" s="2" t="s">
        <v>532</v>
      </c>
      <c r="B138" s="2">
        <v>46177</v>
      </c>
      <c r="C138" s="2" t="s">
        <v>176</v>
      </c>
      <c r="D138" s="2" t="s">
        <v>139</v>
      </c>
      <c r="E138" s="5" t="s">
        <v>484</v>
      </c>
      <c r="F138" s="6">
        <v>0</v>
      </c>
      <c r="G138" s="2" t="s">
        <v>61</v>
      </c>
    </row>
    <row r="139" spans="1:7" ht="15.75" customHeight="1">
      <c r="A139" s="2" t="s">
        <v>533</v>
      </c>
      <c r="B139" s="2">
        <v>46195</v>
      </c>
      <c r="C139" s="2" t="s">
        <v>342</v>
      </c>
      <c r="D139" s="2" t="s">
        <v>139</v>
      </c>
      <c r="E139" s="5" t="s">
        <v>480</v>
      </c>
      <c r="F139" s="6">
        <v>0</v>
      </c>
      <c r="G139" s="2" t="s">
        <v>61</v>
      </c>
    </row>
    <row r="140" spans="1:7" ht="15.75" customHeight="1">
      <c r="A140" s="2" t="s">
        <v>534</v>
      </c>
      <c r="B140" s="2">
        <v>46183</v>
      </c>
      <c r="C140" s="2" t="s">
        <v>76</v>
      </c>
      <c r="D140" s="2" t="s">
        <v>95</v>
      </c>
      <c r="E140" s="5" t="s">
        <v>197</v>
      </c>
      <c r="F140" s="6">
        <v>0</v>
      </c>
      <c r="G140" s="2" t="s">
        <v>61</v>
      </c>
    </row>
    <row r="141" spans="1:7" ht="15.75" customHeight="1">
      <c r="A141" s="2" t="s">
        <v>535</v>
      </c>
      <c r="B141" s="2">
        <v>46201</v>
      </c>
      <c r="C141" s="2" t="s">
        <v>185</v>
      </c>
      <c r="D141" s="2" t="s">
        <v>125</v>
      </c>
      <c r="E141" s="5" t="s">
        <v>415</v>
      </c>
      <c r="F141" s="6">
        <v>0</v>
      </c>
      <c r="G141" s="2" t="s">
        <v>61</v>
      </c>
    </row>
    <row r="142" spans="1:7" ht="15.75" customHeight="1">
      <c r="A142" s="2" t="s">
        <v>536</v>
      </c>
      <c r="B142" s="2">
        <v>46179</v>
      </c>
      <c r="C142" s="2" t="s">
        <v>127</v>
      </c>
      <c r="D142" s="2" t="s">
        <v>134</v>
      </c>
      <c r="E142" s="5" t="s">
        <v>126</v>
      </c>
      <c r="F142" s="6">
        <v>0.05</v>
      </c>
      <c r="G142" s="2" t="s">
        <v>61</v>
      </c>
    </row>
    <row r="143" spans="1:7" ht="15.75" customHeight="1">
      <c r="A143" s="2" t="s">
        <v>537</v>
      </c>
      <c r="B143" s="2">
        <v>46183</v>
      </c>
      <c r="C143" s="2" t="s">
        <v>127</v>
      </c>
      <c r="D143" s="2" t="s">
        <v>28</v>
      </c>
      <c r="E143" s="5" t="s">
        <v>449</v>
      </c>
      <c r="F143" s="6">
        <v>0</v>
      </c>
      <c r="G143" s="2" t="s">
        <v>61</v>
      </c>
    </row>
    <row r="144" spans="1:7" ht="15.75" customHeight="1">
      <c r="A144" s="2" t="s">
        <v>539</v>
      </c>
      <c r="B144" s="2">
        <v>46197</v>
      </c>
      <c r="C144" s="2" t="s">
        <v>221</v>
      </c>
      <c r="D144" s="2" t="s">
        <v>84</v>
      </c>
      <c r="E144" s="5" t="s">
        <v>518</v>
      </c>
      <c r="F144" s="6">
        <v>0</v>
      </c>
      <c r="G144" s="2" t="s">
        <v>540</v>
      </c>
    </row>
    <row r="145" spans="1:7" ht="15.75" customHeight="1">
      <c r="A145" s="2" t="s">
        <v>541</v>
      </c>
      <c r="B145" s="2">
        <v>46177</v>
      </c>
      <c r="C145" s="2" t="s">
        <v>120</v>
      </c>
      <c r="D145" s="2" t="s">
        <v>50</v>
      </c>
      <c r="E145" s="5" t="s">
        <v>518</v>
      </c>
      <c r="F145" s="6">
        <v>0</v>
      </c>
      <c r="G145" s="2" t="s">
        <v>49</v>
      </c>
    </row>
    <row r="146" spans="1:7" ht="15.75" customHeight="1">
      <c r="A146" s="2" t="s">
        <v>542</v>
      </c>
      <c r="B146" s="2">
        <v>46190</v>
      </c>
      <c r="C146" s="2" t="s">
        <v>165</v>
      </c>
      <c r="D146" s="2" t="s">
        <v>217</v>
      </c>
      <c r="E146" s="5" t="s">
        <v>233</v>
      </c>
      <c r="F146" s="6">
        <v>0</v>
      </c>
      <c r="G146" s="2" t="s">
        <v>61</v>
      </c>
    </row>
    <row r="147" spans="1:7" ht="15.75" customHeight="1">
      <c r="A147" s="2" t="s">
        <v>543</v>
      </c>
      <c r="B147" s="2">
        <v>46201</v>
      </c>
      <c r="C147" s="2" t="s">
        <v>160</v>
      </c>
      <c r="D147" s="2" t="s">
        <v>95</v>
      </c>
      <c r="E147" s="5" t="s">
        <v>409</v>
      </c>
      <c r="F147" s="6">
        <v>0</v>
      </c>
      <c r="G147" s="2" t="s">
        <v>61</v>
      </c>
    </row>
    <row r="148" spans="1:7" ht="15.75" customHeight="1">
      <c r="A148" s="2" t="s">
        <v>544</v>
      </c>
      <c r="B148" s="2">
        <v>46198</v>
      </c>
      <c r="C148" s="2" t="s">
        <v>260</v>
      </c>
      <c r="D148" s="2" t="s">
        <v>84</v>
      </c>
      <c r="E148" s="5" t="s">
        <v>126</v>
      </c>
      <c r="F148" s="6">
        <v>0</v>
      </c>
      <c r="G148" s="2" t="s">
        <v>61</v>
      </c>
    </row>
    <row r="149" spans="1:7" ht="15.75" customHeight="1">
      <c r="A149" s="2" t="s">
        <v>545</v>
      </c>
      <c r="B149" s="2">
        <v>46174</v>
      </c>
      <c r="C149" s="2" t="s">
        <v>246</v>
      </c>
      <c r="D149" s="2" t="s">
        <v>139</v>
      </c>
      <c r="E149" s="5" t="s">
        <v>45</v>
      </c>
      <c r="F149" s="6">
        <v>0.05</v>
      </c>
      <c r="G149" s="2" t="s">
        <v>61</v>
      </c>
    </row>
    <row r="150" spans="1:7" ht="15.75" customHeight="1">
      <c r="A150" s="2" t="s">
        <v>546</v>
      </c>
      <c r="B150" s="2">
        <v>46202</v>
      </c>
      <c r="C150" s="2" t="s">
        <v>272</v>
      </c>
      <c r="D150" s="2" t="s">
        <v>199</v>
      </c>
      <c r="E150" s="5" t="s">
        <v>471</v>
      </c>
      <c r="F150" s="6">
        <v>0.05</v>
      </c>
      <c r="G150" s="2" t="s">
        <v>61</v>
      </c>
    </row>
    <row r="151" spans="1:7" ht="15.75" customHeight="1">
      <c r="A151" s="2" t="s">
        <v>547</v>
      </c>
      <c r="B151" s="2">
        <v>46201</v>
      </c>
      <c r="C151" s="2" t="s">
        <v>402</v>
      </c>
      <c r="D151" s="2" t="s">
        <v>108</v>
      </c>
      <c r="E151" s="5" t="s">
        <v>233</v>
      </c>
      <c r="F151" s="6">
        <v>0</v>
      </c>
      <c r="G151" s="2" t="s">
        <v>61</v>
      </c>
    </row>
    <row r="152" spans="1:7" ht="15.75" customHeight="1">
      <c r="A152" s="2" t="s">
        <v>548</v>
      </c>
      <c r="B152" s="2">
        <v>46201</v>
      </c>
      <c r="C152" s="2" t="s">
        <v>221</v>
      </c>
      <c r="D152" s="2" t="s">
        <v>170</v>
      </c>
      <c r="E152" s="5" t="s">
        <v>191</v>
      </c>
      <c r="F152" s="6">
        <v>0.1</v>
      </c>
      <c r="G152" s="2" t="s">
        <v>61</v>
      </c>
    </row>
    <row r="153" spans="1:7" ht="15.75" customHeight="1">
      <c r="A153" s="2" t="s">
        <v>549</v>
      </c>
      <c r="B153" s="2">
        <v>46192</v>
      </c>
      <c r="C153" s="2" t="s">
        <v>400</v>
      </c>
      <c r="D153" s="2" t="s">
        <v>17</v>
      </c>
      <c r="E153" s="5" t="s">
        <v>550</v>
      </c>
      <c r="F153" s="6">
        <v>0</v>
      </c>
      <c r="G153" s="2" t="s">
        <v>49</v>
      </c>
    </row>
    <row r="154" spans="1:7" ht="15.75" customHeight="1">
      <c r="A154" s="2" t="s">
        <v>551</v>
      </c>
      <c r="B154" s="2">
        <v>46184</v>
      </c>
      <c r="C154" s="2" t="s">
        <v>86</v>
      </c>
      <c r="D154" s="2" t="s">
        <v>84</v>
      </c>
      <c r="E154" s="5" t="s">
        <v>126</v>
      </c>
      <c r="F154" s="6">
        <v>0</v>
      </c>
      <c r="G154" s="2" t="s">
        <v>49</v>
      </c>
    </row>
    <row r="155" spans="1:7" ht="15.75" customHeight="1">
      <c r="A155" s="2" t="s">
        <v>552</v>
      </c>
      <c r="B155" s="2">
        <v>46176</v>
      </c>
      <c r="C155" s="2" t="s">
        <v>344</v>
      </c>
      <c r="D155" s="2" t="s">
        <v>134</v>
      </c>
      <c r="E155" s="5" t="s">
        <v>518</v>
      </c>
      <c r="F155" s="6">
        <v>0</v>
      </c>
      <c r="G155" s="2" t="s">
        <v>61</v>
      </c>
    </row>
    <row r="156" spans="1:7" ht="15.75" customHeight="1">
      <c r="A156" s="2" t="s">
        <v>553</v>
      </c>
      <c r="B156" s="2">
        <v>46194</v>
      </c>
      <c r="C156" s="2" t="s">
        <v>227</v>
      </c>
      <c r="D156" s="2" t="s">
        <v>69</v>
      </c>
      <c r="E156" s="5" t="s">
        <v>205</v>
      </c>
      <c r="F156" s="6">
        <v>0</v>
      </c>
      <c r="G156" s="2" t="s">
        <v>61</v>
      </c>
    </row>
    <row r="157" spans="1:7" ht="15.75" customHeight="1">
      <c r="E157" s="5"/>
      <c r="F157" s="6"/>
    </row>
    <row r="158" spans="1:7" ht="15.75" customHeight="1">
      <c r="E158" s="5"/>
      <c r="F158" s="6"/>
    </row>
    <row r="159" spans="1:7" ht="15.75" customHeight="1">
      <c r="A159" s="2" t="s">
        <v>555</v>
      </c>
      <c r="B159" s="2">
        <v>46202</v>
      </c>
      <c r="C159" s="2" t="s">
        <v>298</v>
      </c>
      <c r="D159" s="2" t="s">
        <v>134</v>
      </c>
      <c r="E159" s="5" t="s">
        <v>480</v>
      </c>
      <c r="F159" s="6">
        <v>0</v>
      </c>
      <c r="G159" s="2" t="s">
        <v>49</v>
      </c>
    </row>
    <row r="160" spans="1:7" ht="15.75" customHeight="1">
      <c r="A160" s="2" t="s">
        <v>556</v>
      </c>
      <c r="B160" s="2">
        <v>46175</v>
      </c>
      <c r="C160" s="2" t="s">
        <v>336</v>
      </c>
      <c r="D160" s="2" t="s">
        <v>172</v>
      </c>
      <c r="E160" s="5" t="s">
        <v>415</v>
      </c>
      <c r="F160" s="6">
        <v>0</v>
      </c>
      <c r="G160" s="2" t="s">
        <v>61</v>
      </c>
    </row>
    <row r="161" spans="1:7" ht="15.75" customHeight="1">
      <c r="A161" s="2" t="s">
        <v>557</v>
      </c>
      <c r="B161" s="2">
        <v>46180</v>
      </c>
      <c r="C161" s="2" t="s">
        <v>306</v>
      </c>
      <c r="D161" s="2" t="s">
        <v>217</v>
      </c>
      <c r="E161" s="5" t="s">
        <v>107</v>
      </c>
      <c r="F161" s="6">
        <v>0.1</v>
      </c>
      <c r="G161" s="2" t="s">
        <v>61</v>
      </c>
    </row>
    <row r="162" spans="1:7" ht="15.75" customHeight="1">
      <c r="A162" s="2" t="s">
        <v>558</v>
      </c>
      <c r="B162" s="2">
        <v>46174</v>
      </c>
      <c r="C162" s="2" t="s">
        <v>270</v>
      </c>
      <c r="D162" s="2" t="s">
        <v>17</v>
      </c>
      <c r="E162" s="5" t="s">
        <v>107</v>
      </c>
      <c r="F162" s="6">
        <v>0</v>
      </c>
      <c r="G162" s="2" t="s">
        <v>49</v>
      </c>
    </row>
    <row r="163" spans="1:7" ht="15.75" customHeight="1">
      <c r="A163" s="2" t="s">
        <v>559</v>
      </c>
      <c r="B163" s="2">
        <v>46203</v>
      </c>
      <c r="C163" s="2" t="s">
        <v>342</v>
      </c>
      <c r="D163" s="2" t="s">
        <v>117</v>
      </c>
      <c r="E163" s="5" t="s">
        <v>233</v>
      </c>
      <c r="F163" s="6">
        <v>0.05</v>
      </c>
      <c r="G163" s="2" t="s">
        <v>179</v>
      </c>
    </row>
    <row r="164" spans="1:7" ht="15.75" customHeight="1">
      <c r="A164" s="2" t="s">
        <v>560</v>
      </c>
      <c r="B164" s="2">
        <v>46188</v>
      </c>
      <c r="C164" s="2" t="s">
        <v>37</v>
      </c>
      <c r="D164" s="2" t="s">
        <v>125</v>
      </c>
      <c r="E164" s="5" t="s">
        <v>79</v>
      </c>
      <c r="F164" s="6">
        <v>0.05</v>
      </c>
      <c r="G164" s="2" t="s">
        <v>49</v>
      </c>
    </row>
    <row r="165" spans="1:7" ht="15.75" customHeight="1">
      <c r="A165" s="2" t="s">
        <v>561</v>
      </c>
      <c r="B165" s="2">
        <v>46177</v>
      </c>
      <c r="C165" s="2" t="s">
        <v>135</v>
      </c>
      <c r="D165" s="2" t="s">
        <v>170</v>
      </c>
      <c r="E165" s="5" t="s">
        <v>438</v>
      </c>
      <c r="F165" s="6">
        <v>0</v>
      </c>
      <c r="G165" s="2" t="s">
        <v>61</v>
      </c>
    </row>
    <row r="166" spans="1:7" ht="15.75" customHeight="1">
      <c r="A166" s="2" t="s">
        <v>563</v>
      </c>
      <c r="B166" s="2">
        <v>46195</v>
      </c>
      <c r="C166" s="2" t="s">
        <v>190</v>
      </c>
      <c r="D166" s="2" t="s">
        <v>57</v>
      </c>
      <c r="E166" s="5" t="s">
        <v>550</v>
      </c>
      <c r="F166" s="6">
        <v>0</v>
      </c>
      <c r="G166" s="2" t="s">
        <v>564</v>
      </c>
    </row>
    <row r="167" spans="1:7" ht="15.75" customHeight="1">
      <c r="A167" s="2" t="s">
        <v>565</v>
      </c>
      <c r="B167" s="2">
        <v>46181</v>
      </c>
      <c r="C167" s="2" t="s">
        <v>420</v>
      </c>
      <c r="D167" s="2" t="s">
        <v>50</v>
      </c>
      <c r="E167" s="5" t="s">
        <v>285</v>
      </c>
      <c r="F167" s="6">
        <v>0.05</v>
      </c>
      <c r="G167" s="2" t="s">
        <v>208</v>
      </c>
    </row>
    <row r="168" spans="1:7" ht="15.75" customHeight="1">
      <c r="A168" s="2" t="s">
        <v>567</v>
      </c>
      <c r="B168" s="2">
        <v>46194</v>
      </c>
      <c r="C168" s="2" t="s">
        <v>93</v>
      </c>
      <c r="D168" s="2" t="s">
        <v>41</v>
      </c>
      <c r="E168" s="5" t="s">
        <v>205</v>
      </c>
      <c r="F168" s="6">
        <v>0</v>
      </c>
      <c r="G168" s="2" t="s">
        <v>337</v>
      </c>
    </row>
    <row r="169" spans="1:7" ht="15.75" customHeight="1">
      <c r="A169" s="2" t="s">
        <v>568</v>
      </c>
      <c r="B169" s="2">
        <v>46201</v>
      </c>
      <c r="C169" s="2" t="s">
        <v>55</v>
      </c>
      <c r="D169" s="2" t="s">
        <v>17</v>
      </c>
      <c r="E169" s="5" t="s">
        <v>107</v>
      </c>
      <c r="F169" s="6">
        <v>0.05</v>
      </c>
      <c r="G169" s="2" t="s">
        <v>61</v>
      </c>
    </row>
    <row r="170" spans="1:7" ht="15.75" customHeight="1">
      <c r="A170" s="2" t="s">
        <v>569</v>
      </c>
      <c r="B170" s="2">
        <v>46178</v>
      </c>
      <c r="C170" s="2" t="s">
        <v>190</v>
      </c>
      <c r="D170" s="2" t="s">
        <v>170</v>
      </c>
      <c r="E170" s="5" t="s">
        <v>289</v>
      </c>
      <c r="F170" s="6">
        <v>0</v>
      </c>
      <c r="G170" s="2" t="s">
        <v>61</v>
      </c>
    </row>
    <row r="171" spans="1:7" ht="15.75" customHeight="1">
      <c r="A171" s="2" t="s">
        <v>570</v>
      </c>
      <c r="B171" s="2">
        <v>46180</v>
      </c>
      <c r="C171" s="2" t="s">
        <v>376</v>
      </c>
      <c r="D171" s="2" t="s">
        <v>170</v>
      </c>
      <c r="E171" s="5" t="s">
        <v>361</v>
      </c>
      <c r="F171" s="6">
        <v>0.1</v>
      </c>
      <c r="G171" s="2" t="s">
        <v>440</v>
      </c>
    </row>
    <row r="172" spans="1:7" ht="15.75" customHeight="1">
      <c r="A172" s="2" t="s">
        <v>571</v>
      </c>
      <c r="B172" s="2">
        <v>46184</v>
      </c>
      <c r="C172" s="2" t="s">
        <v>40</v>
      </c>
      <c r="D172" s="2" t="s">
        <v>170</v>
      </c>
      <c r="E172" s="5" t="s">
        <v>453</v>
      </c>
      <c r="F172" s="6">
        <v>0.1</v>
      </c>
      <c r="G172" s="2" t="s">
        <v>61</v>
      </c>
    </row>
    <row r="173" spans="1:7" ht="15.75" customHeight="1">
      <c r="A173" s="2" t="s">
        <v>572</v>
      </c>
      <c r="B173" s="2">
        <v>46185</v>
      </c>
      <c r="C173" s="2" t="s">
        <v>124</v>
      </c>
      <c r="D173" s="2" t="s">
        <v>170</v>
      </c>
      <c r="E173" s="5" t="s">
        <v>263</v>
      </c>
      <c r="F173" s="6">
        <v>0.05</v>
      </c>
      <c r="G173" s="2" t="s">
        <v>61</v>
      </c>
    </row>
    <row r="174" spans="1:7" ht="15.75" customHeight="1">
      <c r="A174" s="2" t="s">
        <v>573</v>
      </c>
      <c r="B174" s="2">
        <v>46200</v>
      </c>
      <c r="C174" s="2" t="s">
        <v>148</v>
      </c>
      <c r="D174" s="2" t="s">
        <v>172</v>
      </c>
      <c r="E174" s="5" t="s">
        <v>205</v>
      </c>
      <c r="F174" s="6">
        <v>0.05</v>
      </c>
      <c r="G174" s="2" t="s">
        <v>61</v>
      </c>
    </row>
    <row r="175" spans="1:7" ht="15.75" customHeight="1">
      <c r="A175" s="2" t="s">
        <v>574</v>
      </c>
      <c r="B175" s="2">
        <v>46188</v>
      </c>
      <c r="C175" s="2" t="s">
        <v>148</v>
      </c>
      <c r="D175" s="2" t="s">
        <v>57</v>
      </c>
      <c r="E175" s="5" t="s">
        <v>323</v>
      </c>
      <c r="F175" s="6">
        <v>0.05</v>
      </c>
      <c r="G175" s="2" t="s">
        <v>61</v>
      </c>
    </row>
    <row r="176" spans="1:7" ht="15.75" customHeight="1">
      <c r="A176" s="2" t="s">
        <v>575</v>
      </c>
      <c r="B176" s="2">
        <v>46197</v>
      </c>
      <c r="C176" s="2" t="s">
        <v>270</v>
      </c>
      <c r="D176" s="2" t="s">
        <v>199</v>
      </c>
      <c r="E176" s="5" t="s">
        <v>457</v>
      </c>
      <c r="F176" s="6">
        <v>0</v>
      </c>
      <c r="G176" s="2" t="s">
        <v>61</v>
      </c>
    </row>
    <row r="177" spans="1:7" ht="15.75" customHeight="1">
      <c r="A177" s="2" t="s">
        <v>576</v>
      </c>
      <c r="B177" s="2">
        <v>46186</v>
      </c>
      <c r="C177" s="2" t="s">
        <v>279</v>
      </c>
      <c r="D177" s="2" t="s">
        <v>57</v>
      </c>
      <c r="E177" s="5" t="s">
        <v>233</v>
      </c>
      <c r="F177" s="6">
        <v>0</v>
      </c>
      <c r="G177" s="2" t="s">
        <v>61</v>
      </c>
    </row>
    <row r="178" spans="1:7" ht="15.75" customHeight="1">
      <c r="A178" s="2" t="s">
        <v>576</v>
      </c>
      <c r="B178" s="2">
        <v>46186</v>
      </c>
      <c r="C178" s="2" t="s">
        <v>279</v>
      </c>
      <c r="D178" s="2" t="s">
        <v>57</v>
      </c>
      <c r="E178" s="5" t="s">
        <v>233</v>
      </c>
      <c r="F178" s="6">
        <v>0</v>
      </c>
      <c r="G178" s="2" t="s">
        <v>61</v>
      </c>
    </row>
    <row r="179" spans="1:7" ht="15.75" customHeight="1">
      <c r="A179" s="2" t="s">
        <v>577</v>
      </c>
      <c r="B179" s="2">
        <v>46198</v>
      </c>
      <c r="C179" s="2" t="s">
        <v>376</v>
      </c>
      <c r="D179" s="2" t="s">
        <v>125</v>
      </c>
      <c r="E179" s="5" t="s">
        <v>351</v>
      </c>
      <c r="F179" s="6">
        <v>0.05</v>
      </c>
      <c r="G179" s="2" t="s">
        <v>61</v>
      </c>
    </row>
    <row r="180" spans="1:7" ht="15.75" customHeight="1">
      <c r="A180" s="2" t="s">
        <v>578</v>
      </c>
      <c r="B180" s="2">
        <v>46198</v>
      </c>
      <c r="C180" s="2" t="s">
        <v>283</v>
      </c>
      <c r="D180" s="2" t="s">
        <v>199</v>
      </c>
      <c r="E180" s="5" t="s">
        <v>438</v>
      </c>
      <c r="F180" s="6">
        <v>0</v>
      </c>
      <c r="G180" s="2" t="s">
        <v>61</v>
      </c>
    </row>
    <row r="181" spans="1:7" ht="15.75" customHeight="1">
      <c r="A181" s="2" t="s">
        <v>579</v>
      </c>
      <c r="B181" s="2">
        <v>46179</v>
      </c>
      <c r="C181" s="2" t="s">
        <v>397</v>
      </c>
      <c r="D181" s="2" t="s">
        <v>69</v>
      </c>
      <c r="E181" s="5" t="s">
        <v>430</v>
      </c>
      <c r="F181" s="6">
        <v>0</v>
      </c>
      <c r="G181" s="2" t="s">
        <v>61</v>
      </c>
    </row>
    <row r="182" spans="1:7" ht="15.75" customHeight="1">
      <c r="A182" s="2" t="s">
        <v>580</v>
      </c>
      <c r="B182" s="2">
        <v>46190</v>
      </c>
      <c r="C182" s="2" t="s">
        <v>276</v>
      </c>
      <c r="D182" s="2" t="s">
        <v>95</v>
      </c>
      <c r="E182" s="5" t="s">
        <v>67</v>
      </c>
      <c r="F182" s="6">
        <v>0.05</v>
      </c>
      <c r="G182" s="2" t="s">
        <v>61</v>
      </c>
    </row>
    <row r="183" spans="1:7" ht="15.75" customHeight="1">
      <c r="A183" s="2" t="s">
        <v>581</v>
      </c>
      <c r="B183" s="2">
        <v>46181</v>
      </c>
      <c r="C183" s="2" t="s">
        <v>176</v>
      </c>
      <c r="D183" s="2" t="s">
        <v>172</v>
      </c>
      <c r="E183" s="5" t="s">
        <v>191</v>
      </c>
      <c r="F183" s="6">
        <v>0.05</v>
      </c>
      <c r="G183" s="2" t="s">
        <v>49</v>
      </c>
    </row>
    <row r="184" spans="1:7" ht="15.75" customHeight="1">
      <c r="A184" s="2" t="s">
        <v>582</v>
      </c>
      <c r="B184" s="2">
        <v>46193</v>
      </c>
      <c r="C184" s="2" t="s">
        <v>204</v>
      </c>
      <c r="D184" s="2" t="s">
        <v>151</v>
      </c>
      <c r="E184" s="5" t="s">
        <v>427</v>
      </c>
      <c r="F184" s="6">
        <v>0</v>
      </c>
      <c r="G184" s="2" t="s">
        <v>61</v>
      </c>
    </row>
    <row r="185" spans="1:7" ht="15.75" customHeight="1">
      <c r="A185" s="2" t="s">
        <v>583</v>
      </c>
      <c r="B185" s="2">
        <v>46203</v>
      </c>
      <c r="C185" s="2" t="s">
        <v>261</v>
      </c>
      <c r="D185" s="2" t="s">
        <v>172</v>
      </c>
      <c r="E185" s="5" t="s">
        <v>505</v>
      </c>
      <c r="F185" s="6">
        <v>0</v>
      </c>
      <c r="G185" s="2" t="s">
        <v>61</v>
      </c>
    </row>
    <row r="186" spans="1:7" ht="15.75" customHeight="1">
      <c r="A186" s="2" t="s">
        <v>584</v>
      </c>
      <c r="B186" s="2">
        <v>46178</v>
      </c>
      <c r="C186" s="2" t="s">
        <v>165</v>
      </c>
      <c r="D186" s="2" t="s">
        <v>84</v>
      </c>
      <c r="E186" s="5" t="s">
        <v>263</v>
      </c>
      <c r="F186" s="6">
        <v>0</v>
      </c>
      <c r="G186" s="2" t="s">
        <v>61</v>
      </c>
    </row>
    <row r="187" spans="1:7" ht="15.75" customHeight="1">
      <c r="A187" s="2" t="s">
        <v>585</v>
      </c>
      <c r="B187" s="2">
        <v>46193</v>
      </c>
      <c r="C187" s="2" t="s">
        <v>120</v>
      </c>
      <c r="D187" s="2" t="s">
        <v>139</v>
      </c>
      <c r="E187" s="5" t="s">
        <v>191</v>
      </c>
      <c r="F187" s="6">
        <v>0</v>
      </c>
      <c r="G187" s="2" t="s">
        <v>216</v>
      </c>
    </row>
    <row r="188" spans="1:7" ht="15.75" customHeight="1">
      <c r="A188" s="2" t="s">
        <v>586</v>
      </c>
      <c r="B188" s="2">
        <v>46187</v>
      </c>
      <c r="C188" s="2" t="s">
        <v>277</v>
      </c>
      <c r="D188" s="2" t="s">
        <v>38</v>
      </c>
      <c r="E188" s="5" t="s">
        <v>438</v>
      </c>
      <c r="F188" s="6">
        <v>0</v>
      </c>
      <c r="G188" s="2" t="s">
        <v>61</v>
      </c>
    </row>
    <row r="189" spans="1:7" ht="15.75" customHeight="1">
      <c r="A189" s="2" t="s">
        <v>587</v>
      </c>
      <c r="B189" s="2">
        <v>46193</v>
      </c>
      <c r="C189" s="2" t="s">
        <v>276</v>
      </c>
      <c r="D189" s="2" t="s">
        <v>95</v>
      </c>
      <c r="E189" s="5" t="s">
        <v>351</v>
      </c>
      <c r="F189" s="6">
        <v>0</v>
      </c>
      <c r="G189" s="2" t="s">
        <v>61</v>
      </c>
    </row>
    <row r="190" spans="1:7" ht="15.75" customHeight="1">
      <c r="A190" s="2" t="s">
        <v>588</v>
      </c>
      <c r="B190" s="2">
        <v>46191</v>
      </c>
      <c r="C190" s="2" t="s">
        <v>143</v>
      </c>
      <c r="D190" s="2" t="s">
        <v>125</v>
      </c>
      <c r="E190" s="5" t="s">
        <v>415</v>
      </c>
      <c r="F190" s="6">
        <v>0</v>
      </c>
      <c r="G190" s="2" t="s">
        <v>61</v>
      </c>
    </row>
    <row r="191" spans="1:7" ht="15.75" customHeight="1">
      <c r="A191" s="2" t="s">
        <v>589</v>
      </c>
      <c r="B191" s="2">
        <v>46192</v>
      </c>
      <c r="C191" s="2" t="s">
        <v>40</v>
      </c>
      <c r="D191" s="2" t="s">
        <v>38</v>
      </c>
      <c r="E191" s="5" t="s">
        <v>518</v>
      </c>
      <c r="F191" s="6">
        <v>0</v>
      </c>
      <c r="G191" s="2" t="s">
        <v>49</v>
      </c>
    </row>
    <row r="192" spans="1:7" ht="15.75" customHeight="1">
      <c r="A192" s="2" t="s">
        <v>590</v>
      </c>
      <c r="B192" s="2">
        <v>46175</v>
      </c>
      <c r="C192" s="2" t="s">
        <v>239</v>
      </c>
      <c r="D192" s="2" t="s">
        <v>41</v>
      </c>
      <c r="E192" s="5" t="s">
        <v>90</v>
      </c>
      <c r="F192" s="6">
        <v>0</v>
      </c>
      <c r="G192" s="2" t="s">
        <v>49</v>
      </c>
    </row>
    <row r="193" spans="1:7" ht="15.75" customHeight="1">
      <c r="A193" s="2" t="s">
        <v>591</v>
      </c>
      <c r="B193" s="2">
        <v>46201</v>
      </c>
      <c r="C193" s="2" t="s">
        <v>12</v>
      </c>
      <c r="D193" s="2" t="s">
        <v>217</v>
      </c>
      <c r="E193" s="5" t="s">
        <v>136</v>
      </c>
      <c r="F193" s="6">
        <v>0.05</v>
      </c>
      <c r="G193" s="2" t="s">
        <v>49</v>
      </c>
    </row>
    <row r="194" spans="1:7" ht="15.75" customHeight="1">
      <c r="A194" s="2" t="s">
        <v>592</v>
      </c>
      <c r="B194" s="2">
        <v>46185</v>
      </c>
      <c r="C194" s="2" t="s">
        <v>76</v>
      </c>
      <c r="D194" s="2" t="s">
        <v>180</v>
      </c>
      <c r="E194" s="5" t="s">
        <v>330</v>
      </c>
      <c r="F194" s="6">
        <v>0.05</v>
      </c>
      <c r="G194" s="2" t="s">
        <v>61</v>
      </c>
    </row>
    <row r="195" spans="1:7" ht="15.75" customHeight="1">
      <c r="A195" s="2" t="s">
        <v>593</v>
      </c>
      <c r="B195" s="2">
        <v>46194</v>
      </c>
      <c r="C195" s="2" t="s">
        <v>22</v>
      </c>
      <c r="D195" s="2" t="s">
        <v>17</v>
      </c>
      <c r="E195" s="5" t="s">
        <v>45</v>
      </c>
      <c r="F195" s="6">
        <v>0</v>
      </c>
      <c r="G195" s="2" t="s">
        <v>49</v>
      </c>
    </row>
    <row r="196" spans="1:7" ht="15.75" customHeight="1">
      <c r="A196" s="2" t="s">
        <v>594</v>
      </c>
      <c r="B196" s="2">
        <v>46196</v>
      </c>
      <c r="C196" s="2" t="s">
        <v>106</v>
      </c>
      <c r="D196" s="2" t="s">
        <v>125</v>
      </c>
      <c r="E196" s="5" t="s">
        <v>514</v>
      </c>
      <c r="F196" s="6">
        <v>0.05</v>
      </c>
      <c r="G196" s="2" t="s">
        <v>179</v>
      </c>
    </row>
    <row r="197" spans="1:7" ht="15.75" customHeight="1">
      <c r="A197" s="2" t="s">
        <v>595</v>
      </c>
      <c r="B197" s="2">
        <v>46180</v>
      </c>
      <c r="C197" s="2" t="s">
        <v>306</v>
      </c>
      <c r="D197" s="2" t="s">
        <v>170</v>
      </c>
      <c r="E197" s="5" t="s">
        <v>116</v>
      </c>
      <c r="F197" s="6">
        <v>0.05</v>
      </c>
      <c r="G197" s="2" t="s">
        <v>61</v>
      </c>
    </row>
    <row r="198" spans="1:7" ht="15.75" customHeight="1">
      <c r="A198" s="2" t="s">
        <v>596</v>
      </c>
      <c r="B198" s="2">
        <v>46179</v>
      </c>
      <c r="C198" s="2" t="s">
        <v>241</v>
      </c>
      <c r="D198" s="2" t="s">
        <v>69</v>
      </c>
      <c r="E198" s="5" t="s">
        <v>550</v>
      </c>
      <c r="F198" s="6">
        <v>0</v>
      </c>
      <c r="G198" s="2" t="s">
        <v>61</v>
      </c>
    </row>
    <row r="199" spans="1:7" ht="15.75" customHeight="1">
      <c r="A199" s="2" t="s">
        <v>597</v>
      </c>
      <c r="B199" s="2">
        <v>46186</v>
      </c>
      <c r="C199" s="2" t="s">
        <v>267</v>
      </c>
      <c r="D199" s="2" t="s">
        <v>50</v>
      </c>
      <c r="E199" s="5" t="s">
        <v>136</v>
      </c>
      <c r="F199" s="6">
        <v>0</v>
      </c>
      <c r="G199" s="2" t="s">
        <v>61</v>
      </c>
    </row>
    <row r="200" spans="1:7" ht="15.75" customHeight="1">
      <c r="A200" s="2" t="s">
        <v>598</v>
      </c>
      <c r="B200" s="2">
        <v>46187</v>
      </c>
      <c r="C200" s="2" t="s">
        <v>30</v>
      </c>
      <c r="D200" s="2" t="s">
        <v>28</v>
      </c>
      <c r="E200" s="5" t="s">
        <v>442</v>
      </c>
      <c r="F200" s="6">
        <v>0</v>
      </c>
      <c r="G200" s="2" t="s">
        <v>61</v>
      </c>
    </row>
    <row r="201" spans="1:7" ht="15.75" customHeight="1">
      <c r="A201" s="2" t="s">
        <v>599</v>
      </c>
      <c r="B201" s="2">
        <v>46197</v>
      </c>
      <c r="C201" s="2" t="s">
        <v>352</v>
      </c>
      <c r="D201" s="2" t="s">
        <v>57</v>
      </c>
      <c r="E201" s="5" t="s">
        <v>449</v>
      </c>
      <c r="F201" s="6">
        <v>0</v>
      </c>
      <c r="G201" s="2" t="s">
        <v>61</v>
      </c>
    </row>
    <row r="202" spans="1:7" ht="15.75" customHeight="1">
      <c r="A202" s="2" t="s">
        <v>600</v>
      </c>
      <c r="B202" s="2">
        <v>46181</v>
      </c>
      <c r="C202" s="2" t="s">
        <v>40</v>
      </c>
      <c r="D202" s="2" t="s">
        <v>84</v>
      </c>
      <c r="E202" s="5" t="s">
        <v>285</v>
      </c>
      <c r="F202" s="6">
        <v>0</v>
      </c>
      <c r="G202" s="2" t="s">
        <v>61</v>
      </c>
    </row>
    <row r="203" spans="1:7" ht="15.75" customHeight="1">
      <c r="A203" s="2" t="s">
        <v>601</v>
      </c>
      <c r="B203" s="2">
        <v>46192</v>
      </c>
      <c r="C203" s="2" t="s">
        <v>267</v>
      </c>
      <c r="D203" s="2" t="s">
        <v>117</v>
      </c>
      <c r="E203" s="5" t="s">
        <v>223</v>
      </c>
      <c r="F203" s="6">
        <v>0</v>
      </c>
      <c r="G203" s="2" t="s">
        <v>61</v>
      </c>
    </row>
    <row r="204" spans="1:7" ht="15.75" customHeight="1">
      <c r="A204" s="2" t="s">
        <v>602</v>
      </c>
      <c r="B204" s="2">
        <v>46199</v>
      </c>
      <c r="C204" s="2" t="s">
        <v>93</v>
      </c>
      <c r="D204" s="2" t="s">
        <v>50</v>
      </c>
      <c r="E204" s="5" t="s">
        <v>427</v>
      </c>
      <c r="F204" s="6">
        <v>0</v>
      </c>
      <c r="G204" s="2" t="s">
        <v>61</v>
      </c>
    </row>
    <row r="205" spans="1:7" ht="15.75" customHeight="1">
      <c r="A205" s="2" t="s">
        <v>603</v>
      </c>
      <c r="B205" s="2">
        <v>46198</v>
      </c>
      <c r="C205" s="2" t="s">
        <v>93</v>
      </c>
      <c r="D205" s="2" t="s">
        <v>95</v>
      </c>
      <c r="E205" s="5" t="s">
        <v>59</v>
      </c>
      <c r="F205" s="6">
        <v>0</v>
      </c>
      <c r="G205" s="2" t="s">
        <v>440</v>
      </c>
    </row>
    <row r="206" spans="1:7" ht="15.75" customHeight="1">
      <c r="A206" s="2" t="s">
        <v>604</v>
      </c>
      <c r="B206" s="2">
        <v>46195</v>
      </c>
      <c r="C206" s="2" t="s">
        <v>12</v>
      </c>
      <c r="D206" s="2" t="s">
        <v>172</v>
      </c>
      <c r="E206" s="5" t="s">
        <v>197</v>
      </c>
      <c r="F206" s="6">
        <v>0</v>
      </c>
      <c r="G206" s="2" t="s">
        <v>61</v>
      </c>
    </row>
    <row r="207" spans="1:7" ht="15.75" customHeight="1">
      <c r="A207" s="2" t="s">
        <v>605</v>
      </c>
      <c r="B207" s="2">
        <v>46198</v>
      </c>
      <c r="C207" s="2" t="s">
        <v>192</v>
      </c>
      <c r="D207" s="2" t="s">
        <v>28</v>
      </c>
      <c r="E207" s="5" t="s">
        <v>457</v>
      </c>
      <c r="F207" s="6">
        <v>0.05</v>
      </c>
      <c r="G207" s="2" t="s">
        <v>606</v>
      </c>
    </row>
    <row r="208" spans="1:7" ht="15.75" customHeight="1">
      <c r="A208" s="2" t="s">
        <v>607</v>
      </c>
      <c r="B208" s="2">
        <v>46185</v>
      </c>
      <c r="C208" s="2" t="s">
        <v>257</v>
      </c>
      <c r="D208" s="2" t="s">
        <v>17</v>
      </c>
      <c r="E208" s="5" t="s">
        <v>442</v>
      </c>
      <c r="F208" s="6">
        <v>0.1</v>
      </c>
      <c r="G208" s="2" t="s">
        <v>49</v>
      </c>
    </row>
    <row r="209" spans="1:7" ht="15.75" customHeight="1">
      <c r="A209" s="2" t="s">
        <v>608</v>
      </c>
      <c r="B209" s="2">
        <v>46203</v>
      </c>
      <c r="C209" s="2" t="s">
        <v>371</v>
      </c>
      <c r="D209" s="2" t="s">
        <v>170</v>
      </c>
      <c r="E209" s="5" t="s">
        <v>253</v>
      </c>
      <c r="F209" s="6">
        <v>0</v>
      </c>
      <c r="G209" s="2" t="s">
        <v>49</v>
      </c>
    </row>
    <row r="210" spans="1:7" ht="15.75" customHeight="1">
      <c r="A210" s="2" t="s">
        <v>608</v>
      </c>
      <c r="B210" s="2">
        <v>46203</v>
      </c>
      <c r="C210" s="2" t="s">
        <v>371</v>
      </c>
      <c r="D210" s="2" t="s">
        <v>170</v>
      </c>
      <c r="E210" s="5" t="s">
        <v>253</v>
      </c>
      <c r="F210" s="6">
        <v>0</v>
      </c>
      <c r="G210" s="2" t="s">
        <v>49</v>
      </c>
    </row>
    <row r="211" spans="1:7" ht="15.75" customHeight="1">
      <c r="A211" s="2" t="s">
        <v>609</v>
      </c>
      <c r="B211" s="2">
        <v>46190</v>
      </c>
      <c r="C211" s="2" t="s">
        <v>306</v>
      </c>
      <c r="D211" s="2" t="s">
        <v>17</v>
      </c>
      <c r="E211" s="5" t="s">
        <v>457</v>
      </c>
      <c r="F211" s="6">
        <v>0</v>
      </c>
      <c r="G211" s="2" t="s">
        <v>61</v>
      </c>
    </row>
    <row r="212" spans="1:7" ht="15.75" customHeight="1">
      <c r="A212" s="2" t="s">
        <v>610</v>
      </c>
      <c r="B212" s="2">
        <v>46193</v>
      </c>
      <c r="C212" s="2" t="s">
        <v>114</v>
      </c>
      <c r="D212" s="2" t="s">
        <v>108</v>
      </c>
      <c r="E212" s="5" t="s">
        <v>330</v>
      </c>
      <c r="F212" s="6">
        <v>0</v>
      </c>
      <c r="G212" s="2" t="s">
        <v>61</v>
      </c>
    </row>
    <row r="213" spans="1:7" ht="15.75" customHeight="1">
      <c r="A213" s="2" t="s">
        <v>611</v>
      </c>
      <c r="B213" s="2">
        <v>46179</v>
      </c>
      <c r="C213" s="2" t="s">
        <v>362</v>
      </c>
      <c r="D213" s="2" t="s">
        <v>95</v>
      </c>
      <c r="E213" s="5" t="s">
        <v>126</v>
      </c>
      <c r="F213" s="6">
        <v>0</v>
      </c>
      <c r="G213" s="2" t="s">
        <v>49</v>
      </c>
    </row>
    <row r="214" spans="1:7" ht="15.75" customHeight="1">
      <c r="A214" s="2" t="s">
        <v>612</v>
      </c>
      <c r="B214" s="2">
        <v>46194</v>
      </c>
      <c r="C214" s="2" t="s">
        <v>65</v>
      </c>
      <c r="D214" s="2" t="s">
        <v>108</v>
      </c>
      <c r="E214" s="5" t="s">
        <v>476</v>
      </c>
      <c r="F214" s="6">
        <v>0.1</v>
      </c>
      <c r="G214" s="2" t="s">
        <v>61</v>
      </c>
    </row>
    <row r="215" spans="1:7" ht="15.75" customHeight="1">
      <c r="A215" s="2" t="s">
        <v>613</v>
      </c>
      <c r="B215" s="2">
        <v>46197</v>
      </c>
      <c r="C215" s="2" t="s">
        <v>246</v>
      </c>
      <c r="D215" s="2" t="s">
        <v>17</v>
      </c>
      <c r="E215" s="5" t="s">
        <v>59</v>
      </c>
      <c r="F215" s="6">
        <v>0</v>
      </c>
      <c r="G215" s="2" t="s">
        <v>61</v>
      </c>
    </row>
    <row r="216" spans="1:7" ht="15.75" customHeight="1">
      <c r="A216" s="2" t="s">
        <v>614</v>
      </c>
      <c r="B216" s="2">
        <v>46185</v>
      </c>
      <c r="C216" s="2" t="s">
        <v>261</v>
      </c>
      <c r="D216" s="2" t="s">
        <v>151</v>
      </c>
      <c r="E216" s="5" t="s">
        <v>285</v>
      </c>
      <c r="F216" s="6">
        <v>0.05</v>
      </c>
      <c r="G216" s="2" t="s">
        <v>61</v>
      </c>
    </row>
    <row r="217" spans="1:7" ht="15.75" customHeight="1">
      <c r="A217" s="2" t="s">
        <v>615</v>
      </c>
      <c r="B217" s="2">
        <v>46197</v>
      </c>
      <c r="C217" s="2" t="s">
        <v>352</v>
      </c>
      <c r="D217" s="2" t="s">
        <v>69</v>
      </c>
      <c r="E217" s="5" t="s">
        <v>152</v>
      </c>
      <c r="F217" s="6">
        <v>0</v>
      </c>
      <c r="G217" s="2" t="s">
        <v>49</v>
      </c>
    </row>
    <row r="218" spans="1:7" ht="15.75" customHeight="1">
      <c r="A218" s="2" t="s">
        <v>616</v>
      </c>
      <c r="B218" s="2">
        <v>46202</v>
      </c>
      <c r="C218" s="2" t="s">
        <v>371</v>
      </c>
      <c r="D218" s="2" t="s">
        <v>57</v>
      </c>
      <c r="E218" s="5" t="s">
        <v>415</v>
      </c>
      <c r="F218" s="6">
        <v>0</v>
      </c>
      <c r="G218" s="2" t="s">
        <v>61</v>
      </c>
    </row>
    <row r="219" spans="1:7" ht="15.75" customHeight="1">
      <c r="A219" s="2" t="s">
        <v>617</v>
      </c>
      <c r="B219" s="2">
        <v>46198</v>
      </c>
      <c r="C219" s="2" t="s">
        <v>246</v>
      </c>
      <c r="D219" s="2" t="s">
        <v>95</v>
      </c>
      <c r="E219" s="5" t="s">
        <v>79</v>
      </c>
      <c r="F219" s="6">
        <v>0</v>
      </c>
      <c r="G219" s="2" t="s">
        <v>61</v>
      </c>
    </row>
    <row r="220" spans="1:7" ht="15.75" customHeight="1">
      <c r="A220" s="2" t="s">
        <v>618</v>
      </c>
      <c r="B220" s="2">
        <v>46191</v>
      </c>
      <c r="C220" s="2" t="s">
        <v>133</v>
      </c>
      <c r="D220" s="2" t="s">
        <v>134</v>
      </c>
      <c r="E220" s="5" t="s">
        <v>480</v>
      </c>
      <c r="F220" s="6">
        <v>0</v>
      </c>
      <c r="G220" s="2" t="s">
        <v>61</v>
      </c>
    </row>
    <row r="221" spans="1:7" ht="15.75" customHeight="1">
      <c r="A221" s="2" t="s">
        <v>619</v>
      </c>
      <c r="B221" s="2">
        <v>46203</v>
      </c>
      <c r="C221" s="2" t="s">
        <v>190</v>
      </c>
      <c r="D221" s="2" t="s">
        <v>95</v>
      </c>
      <c r="E221" s="5" t="s">
        <v>233</v>
      </c>
      <c r="F221" s="6">
        <v>0</v>
      </c>
      <c r="G221" s="2" t="s">
        <v>61</v>
      </c>
    </row>
    <row r="222" spans="1:7" ht="15.75" customHeight="1">
      <c r="A222" s="2" t="s">
        <v>620</v>
      </c>
      <c r="B222" s="2">
        <v>46183</v>
      </c>
      <c r="C222" s="2" t="s">
        <v>299</v>
      </c>
      <c r="D222" s="2" t="s">
        <v>134</v>
      </c>
      <c r="E222" s="5" t="s">
        <v>453</v>
      </c>
      <c r="F222" s="6">
        <v>0</v>
      </c>
      <c r="G222" s="2" t="s">
        <v>61</v>
      </c>
    </row>
    <row r="223" spans="1:7" ht="15.75" customHeight="1">
      <c r="A223" s="2" t="s">
        <v>621</v>
      </c>
      <c r="B223" s="2">
        <v>46177</v>
      </c>
      <c r="C223" s="2" t="s">
        <v>64</v>
      </c>
      <c r="D223" s="2" t="s">
        <v>50</v>
      </c>
      <c r="E223" s="5" t="s">
        <v>514</v>
      </c>
      <c r="F223" s="6">
        <v>0</v>
      </c>
      <c r="G223" s="2" t="s">
        <v>61</v>
      </c>
    </row>
    <row r="224" spans="1:7" ht="15.75" customHeight="1">
      <c r="A224" s="2" t="s">
        <v>622</v>
      </c>
      <c r="B224" s="2">
        <v>46186</v>
      </c>
      <c r="C224" s="2" t="s">
        <v>312</v>
      </c>
      <c r="D224" s="2" t="s">
        <v>41</v>
      </c>
      <c r="E224" s="5" t="s">
        <v>107</v>
      </c>
      <c r="F224" s="6">
        <v>0</v>
      </c>
      <c r="G224" s="2" t="s">
        <v>61</v>
      </c>
    </row>
    <row r="225" spans="1:7" ht="15.75" customHeight="1">
      <c r="A225" s="2" t="s">
        <v>623</v>
      </c>
      <c r="B225" s="2">
        <v>46190</v>
      </c>
      <c r="C225" s="2" t="s">
        <v>267</v>
      </c>
      <c r="D225" s="2" t="s">
        <v>151</v>
      </c>
      <c r="E225" s="5" t="s">
        <v>409</v>
      </c>
      <c r="F225" s="6">
        <v>0</v>
      </c>
      <c r="G225" s="2" t="s">
        <v>49</v>
      </c>
    </row>
    <row r="226" spans="1:7" ht="15.75" customHeight="1">
      <c r="A226" s="2" t="s">
        <v>624</v>
      </c>
      <c r="B226" s="2">
        <v>46183</v>
      </c>
      <c r="C226" s="2" t="s">
        <v>306</v>
      </c>
      <c r="D226" s="2" t="s">
        <v>95</v>
      </c>
      <c r="E226" s="5" t="s">
        <v>453</v>
      </c>
      <c r="F226" s="6">
        <v>0.05</v>
      </c>
      <c r="G226" s="2" t="s">
        <v>61</v>
      </c>
    </row>
    <row r="227" spans="1:7" ht="15.75" customHeight="1">
      <c r="A227" s="2" t="s">
        <v>625</v>
      </c>
      <c r="B227" s="2">
        <v>46199</v>
      </c>
      <c r="C227" s="2" t="s">
        <v>388</v>
      </c>
      <c r="D227" s="2" t="s">
        <v>117</v>
      </c>
      <c r="E227" s="5" t="s">
        <v>191</v>
      </c>
      <c r="F227" s="6">
        <v>0</v>
      </c>
      <c r="G227" s="2" t="s">
        <v>61</v>
      </c>
    </row>
    <row r="228" spans="1:7" ht="15.75" customHeight="1">
      <c r="A228" s="2" t="s">
        <v>626</v>
      </c>
      <c r="B228" s="2">
        <v>46186</v>
      </c>
      <c r="C228" s="2" t="s">
        <v>368</v>
      </c>
      <c r="D228" s="2" t="s">
        <v>117</v>
      </c>
      <c r="E228" s="5" t="s">
        <v>480</v>
      </c>
      <c r="F228" s="6">
        <v>0.05</v>
      </c>
      <c r="G228" s="2" t="s">
        <v>216</v>
      </c>
    </row>
    <row r="229" spans="1:7" ht="15.75" customHeight="1">
      <c r="A229" s="2" t="s">
        <v>627</v>
      </c>
      <c r="B229" s="2">
        <v>46178</v>
      </c>
      <c r="C229" s="2" t="s">
        <v>352</v>
      </c>
      <c r="D229" s="2" t="s">
        <v>134</v>
      </c>
      <c r="E229" s="5" t="s">
        <v>457</v>
      </c>
      <c r="F229" s="6">
        <v>0.1</v>
      </c>
      <c r="G229" s="2" t="s">
        <v>61</v>
      </c>
    </row>
    <row r="230" spans="1:7" ht="15.75" customHeight="1">
      <c r="A230" s="2" t="s">
        <v>628</v>
      </c>
      <c r="B230" s="2">
        <v>46178</v>
      </c>
      <c r="C230" s="2" t="s">
        <v>407</v>
      </c>
      <c r="D230" s="2" t="s">
        <v>139</v>
      </c>
      <c r="E230" s="5" t="s">
        <v>476</v>
      </c>
      <c r="F230" s="6">
        <v>0</v>
      </c>
      <c r="G230" s="2" t="s">
        <v>49</v>
      </c>
    </row>
    <row r="231" spans="1:7" ht="15.75" customHeight="1">
      <c r="A231" s="2" t="s">
        <v>629</v>
      </c>
      <c r="B231" s="2">
        <v>46201</v>
      </c>
      <c r="C231" s="2" t="s">
        <v>293</v>
      </c>
      <c r="D231" s="2" t="s">
        <v>50</v>
      </c>
      <c r="E231" s="5" t="s">
        <v>90</v>
      </c>
      <c r="F231" s="6">
        <v>0</v>
      </c>
      <c r="G231" s="2" t="s">
        <v>61</v>
      </c>
    </row>
    <row r="232" spans="1:7" ht="15.75" customHeight="1">
      <c r="A232" s="2" t="s">
        <v>630</v>
      </c>
      <c r="B232" s="2">
        <v>46176</v>
      </c>
      <c r="C232" s="2" t="s">
        <v>12</v>
      </c>
      <c r="D232" s="2" t="s">
        <v>217</v>
      </c>
      <c r="E232" s="5" t="s">
        <v>409</v>
      </c>
      <c r="F232" s="6">
        <v>0</v>
      </c>
      <c r="G232" s="2" t="s">
        <v>61</v>
      </c>
    </row>
    <row r="233" spans="1:7" ht="15.75" customHeight="1">
      <c r="A233" s="2" t="s">
        <v>631</v>
      </c>
      <c r="B233" s="2">
        <v>46199</v>
      </c>
      <c r="C233" s="2" t="s">
        <v>158</v>
      </c>
      <c r="D233" s="2" t="s">
        <v>108</v>
      </c>
      <c r="E233" s="5" t="s">
        <v>514</v>
      </c>
      <c r="F233" s="6">
        <v>0</v>
      </c>
      <c r="G233" s="2" t="s">
        <v>49</v>
      </c>
    </row>
    <row r="234" spans="1:7" ht="15.75" customHeight="1">
      <c r="A234" s="2" t="s">
        <v>632</v>
      </c>
      <c r="B234" s="2">
        <v>46189</v>
      </c>
      <c r="C234" s="2" t="s">
        <v>368</v>
      </c>
      <c r="D234" s="2" t="s">
        <v>84</v>
      </c>
      <c r="E234" s="5" t="s">
        <v>152</v>
      </c>
      <c r="F234" s="6">
        <v>0.05</v>
      </c>
      <c r="G234" s="2" t="s">
        <v>61</v>
      </c>
    </row>
    <row r="235" spans="1:7" ht="15.75" customHeight="1">
      <c r="A235" s="2" t="s">
        <v>633</v>
      </c>
      <c r="B235" s="2">
        <v>46185</v>
      </c>
      <c r="C235" s="2" t="s">
        <v>344</v>
      </c>
      <c r="D235" s="2" t="s">
        <v>217</v>
      </c>
      <c r="E235" s="5" t="s">
        <v>285</v>
      </c>
      <c r="F235" s="6">
        <v>0.05</v>
      </c>
      <c r="G235" s="2" t="s">
        <v>61</v>
      </c>
    </row>
    <row r="236" spans="1:7" ht="15.75" customHeight="1">
      <c r="A236" s="2" t="s">
        <v>634</v>
      </c>
      <c r="B236" s="2">
        <v>46190</v>
      </c>
      <c r="C236" s="2" t="s">
        <v>397</v>
      </c>
      <c r="D236" s="2" t="s">
        <v>170</v>
      </c>
      <c r="E236" s="5" t="s">
        <v>409</v>
      </c>
      <c r="F236" s="6">
        <v>0.1</v>
      </c>
      <c r="G236" s="2" t="s">
        <v>49</v>
      </c>
    </row>
    <row r="237" spans="1:7" ht="15.75" customHeight="1">
      <c r="A237" s="2" t="s">
        <v>635</v>
      </c>
      <c r="B237" s="2">
        <v>46192</v>
      </c>
      <c r="C237" s="2" t="s">
        <v>76</v>
      </c>
      <c r="D237" s="2" t="s">
        <v>28</v>
      </c>
      <c r="E237" s="5" t="s">
        <v>289</v>
      </c>
      <c r="F237" s="6">
        <v>0</v>
      </c>
      <c r="G237" s="2" t="s">
        <v>61</v>
      </c>
    </row>
    <row r="238" spans="1:7" ht="15.75" customHeight="1">
      <c r="A238" s="2" t="s">
        <v>636</v>
      </c>
      <c r="B238" s="2">
        <v>46203</v>
      </c>
      <c r="C238" s="2" t="s">
        <v>211</v>
      </c>
      <c r="D238" s="2" t="s">
        <v>134</v>
      </c>
      <c r="E238" s="5" t="s">
        <v>457</v>
      </c>
      <c r="F238" s="6">
        <v>0</v>
      </c>
      <c r="G238" s="2" t="s">
        <v>61</v>
      </c>
    </row>
    <row r="239" spans="1:7" ht="15.75" customHeight="1">
      <c r="A239" s="2" t="s">
        <v>637</v>
      </c>
      <c r="B239" s="2">
        <v>46185</v>
      </c>
      <c r="C239" s="2" t="s">
        <v>221</v>
      </c>
      <c r="D239" s="2" t="s">
        <v>134</v>
      </c>
      <c r="E239" s="5" t="s">
        <v>67</v>
      </c>
      <c r="F239" s="6">
        <v>0.05</v>
      </c>
      <c r="G239" s="2" t="s">
        <v>440</v>
      </c>
    </row>
    <row r="240" spans="1:7" ht="15.75" customHeight="1">
      <c r="A240" s="2" t="s">
        <v>638</v>
      </c>
      <c r="B240" s="2">
        <v>46201</v>
      </c>
      <c r="C240" s="2" t="s">
        <v>362</v>
      </c>
      <c r="D240" s="2" t="s">
        <v>217</v>
      </c>
      <c r="E240" s="5" t="s">
        <v>152</v>
      </c>
      <c r="F240" s="6">
        <v>0.1</v>
      </c>
      <c r="G240" s="2" t="s">
        <v>61</v>
      </c>
    </row>
    <row r="241" spans="1:7" ht="15.75" customHeight="1">
      <c r="A241" s="2" t="s">
        <v>639</v>
      </c>
      <c r="B241" s="2">
        <v>46190</v>
      </c>
      <c r="C241" s="2" t="s">
        <v>40</v>
      </c>
      <c r="D241" s="2" t="s">
        <v>199</v>
      </c>
      <c r="E241" s="5" t="s">
        <v>147</v>
      </c>
      <c r="F241" s="6">
        <v>0.1</v>
      </c>
      <c r="G241" s="2" t="s">
        <v>61</v>
      </c>
    </row>
    <row r="242" spans="1:7" ht="15.75" customHeight="1">
      <c r="A242" s="2" t="s">
        <v>640</v>
      </c>
      <c r="B242" s="2">
        <v>46179</v>
      </c>
      <c r="C242" s="2" t="s">
        <v>227</v>
      </c>
      <c r="D242" s="2" t="s">
        <v>57</v>
      </c>
      <c r="E242" s="5" t="s">
        <v>59</v>
      </c>
      <c r="F242" s="6">
        <v>0</v>
      </c>
      <c r="G242" s="2" t="s">
        <v>61</v>
      </c>
    </row>
    <row r="243" spans="1:7" ht="15.75" customHeight="1">
      <c r="A243" s="2" t="s">
        <v>641</v>
      </c>
      <c r="B243" s="2">
        <v>46177</v>
      </c>
      <c r="C243" s="2" t="s">
        <v>86</v>
      </c>
      <c r="D243" s="2" t="s">
        <v>41</v>
      </c>
      <c r="E243" s="5" t="s">
        <v>427</v>
      </c>
      <c r="F243" s="6">
        <v>0</v>
      </c>
      <c r="G243" s="2" t="s">
        <v>49</v>
      </c>
    </row>
    <row r="244" spans="1:7" ht="15.75" customHeight="1">
      <c r="A244" s="2" t="s">
        <v>642</v>
      </c>
      <c r="B244" s="2">
        <v>46177</v>
      </c>
      <c r="C244" s="2" t="s">
        <v>299</v>
      </c>
      <c r="D244" s="2" t="s">
        <v>95</v>
      </c>
      <c r="E244" s="5" t="s">
        <v>285</v>
      </c>
      <c r="F244" s="6">
        <v>0</v>
      </c>
      <c r="G244" s="2" t="s">
        <v>61</v>
      </c>
    </row>
    <row r="245" spans="1:7" ht="15.75" customHeight="1">
      <c r="A245" s="2" t="s">
        <v>643</v>
      </c>
      <c r="B245" s="2">
        <v>46185</v>
      </c>
      <c r="C245" s="2" t="s">
        <v>336</v>
      </c>
      <c r="D245" s="2" t="s">
        <v>134</v>
      </c>
      <c r="E245" s="5" t="s">
        <v>253</v>
      </c>
      <c r="F245" s="6">
        <v>0</v>
      </c>
      <c r="G245" s="2" t="s">
        <v>61</v>
      </c>
    </row>
    <row r="246" spans="1:7" ht="15.75" customHeight="1">
      <c r="A246" s="2" t="s">
        <v>644</v>
      </c>
      <c r="B246" s="2">
        <v>46194</v>
      </c>
      <c r="C246" s="2" t="s">
        <v>198</v>
      </c>
      <c r="D246" s="2" t="s">
        <v>151</v>
      </c>
      <c r="E246" s="5" t="s">
        <v>223</v>
      </c>
      <c r="F246" s="6">
        <v>0</v>
      </c>
      <c r="G246" s="2" t="s">
        <v>49</v>
      </c>
    </row>
    <row r="247" spans="1:7" ht="15.75" customHeight="1">
      <c r="A247" s="2" t="s">
        <v>645</v>
      </c>
      <c r="B247" s="2">
        <v>46184</v>
      </c>
      <c r="C247" s="2" t="s">
        <v>298</v>
      </c>
      <c r="D247" s="2" t="s">
        <v>170</v>
      </c>
      <c r="E247" s="5" t="s">
        <v>136</v>
      </c>
      <c r="F247" s="6">
        <v>0</v>
      </c>
      <c r="G247" s="2" t="s">
        <v>61</v>
      </c>
    </row>
    <row r="248" spans="1:7" ht="15.75" customHeight="1">
      <c r="A248" s="2" t="s">
        <v>646</v>
      </c>
      <c r="B248" s="2">
        <v>46184</v>
      </c>
      <c r="C248" s="2" t="s">
        <v>313</v>
      </c>
      <c r="D248" s="2" t="s">
        <v>69</v>
      </c>
      <c r="E248" s="5" t="s">
        <v>97</v>
      </c>
      <c r="F248" s="6">
        <v>0.05</v>
      </c>
      <c r="G248" s="2" t="s">
        <v>216</v>
      </c>
    </row>
    <row r="249" spans="1:7" ht="15.75" customHeight="1">
      <c r="A249" s="2" t="s">
        <v>647</v>
      </c>
      <c r="B249" s="2">
        <v>46187</v>
      </c>
      <c r="C249" s="2" t="s">
        <v>198</v>
      </c>
      <c r="D249" s="2" t="s">
        <v>125</v>
      </c>
      <c r="E249" s="5" t="s">
        <v>147</v>
      </c>
      <c r="F249" s="6">
        <v>0</v>
      </c>
      <c r="G249" s="2" t="s">
        <v>49</v>
      </c>
    </row>
    <row r="250" spans="1:7" ht="15.75" customHeight="1">
      <c r="A250" s="2" t="s">
        <v>648</v>
      </c>
      <c r="B250" s="2">
        <v>46195</v>
      </c>
      <c r="C250" s="2" t="s">
        <v>133</v>
      </c>
      <c r="D250" s="2" t="s">
        <v>134</v>
      </c>
      <c r="E250" s="5" t="s">
        <v>361</v>
      </c>
      <c r="F250" s="6">
        <v>0.1</v>
      </c>
      <c r="G250" s="2" t="s">
        <v>61</v>
      </c>
    </row>
    <row r="251" spans="1:7" ht="15.75" customHeight="1">
      <c r="A251" s="2" t="s">
        <v>649</v>
      </c>
      <c r="B251" s="2">
        <v>46191</v>
      </c>
      <c r="C251" s="2" t="s">
        <v>64</v>
      </c>
      <c r="D251" s="2" t="s">
        <v>50</v>
      </c>
      <c r="E251" s="5" t="s">
        <v>152</v>
      </c>
      <c r="F251" s="6">
        <v>0</v>
      </c>
      <c r="G251" s="2" t="s">
        <v>61</v>
      </c>
    </row>
    <row r="252" spans="1:7" ht="15.75" customHeight="1">
      <c r="A252" s="2" t="s">
        <v>650</v>
      </c>
      <c r="B252" s="2">
        <v>46199</v>
      </c>
      <c r="C252" s="2" t="s">
        <v>299</v>
      </c>
      <c r="D252" s="2" t="s">
        <v>41</v>
      </c>
      <c r="E252" s="5" t="s">
        <v>471</v>
      </c>
      <c r="F252" s="6">
        <v>0</v>
      </c>
      <c r="G252" s="2" t="s">
        <v>49</v>
      </c>
    </row>
    <row r="253" spans="1:7" ht="15.75" customHeight="1">
      <c r="A253" s="2" t="s">
        <v>650</v>
      </c>
      <c r="B253" s="2">
        <v>46199</v>
      </c>
      <c r="C253" s="2" t="s">
        <v>299</v>
      </c>
      <c r="D253" s="2" t="s">
        <v>41</v>
      </c>
      <c r="E253" s="5" t="s">
        <v>471</v>
      </c>
      <c r="F253" s="6">
        <v>0</v>
      </c>
      <c r="G253" s="2" t="s">
        <v>49</v>
      </c>
    </row>
    <row r="254" spans="1:7" ht="15.75" customHeight="1">
      <c r="A254" s="2" t="s">
        <v>651</v>
      </c>
      <c r="B254" s="2">
        <v>46179</v>
      </c>
      <c r="C254" s="2" t="s">
        <v>12</v>
      </c>
      <c r="D254" s="2" t="s">
        <v>139</v>
      </c>
      <c r="E254" s="5" t="s">
        <v>438</v>
      </c>
      <c r="F254" s="6">
        <v>0</v>
      </c>
      <c r="G254" s="2" t="s">
        <v>61</v>
      </c>
    </row>
    <row r="255" spans="1:7" ht="15.75" customHeight="1">
      <c r="A255" s="2" t="s">
        <v>652</v>
      </c>
      <c r="B255" s="2">
        <v>46194</v>
      </c>
      <c r="C255" s="2" t="s">
        <v>290</v>
      </c>
      <c r="D255" s="2" t="s">
        <v>125</v>
      </c>
      <c r="E255" s="5" t="s">
        <v>484</v>
      </c>
      <c r="F255" s="6">
        <v>0</v>
      </c>
      <c r="G255" s="2" t="s">
        <v>653</v>
      </c>
    </row>
    <row r="256" spans="1:7" ht="15.75" customHeight="1">
      <c r="A256" s="2" t="s">
        <v>654</v>
      </c>
      <c r="B256" s="2">
        <v>46182</v>
      </c>
      <c r="C256" s="2" t="s">
        <v>106</v>
      </c>
      <c r="D256" s="2" t="s">
        <v>17</v>
      </c>
      <c r="E256" s="5" t="s">
        <v>453</v>
      </c>
      <c r="F256" s="6">
        <v>0</v>
      </c>
      <c r="G256" s="2" t="s">
        <v>61</v>
      </c>
    </row>
    <row r="257" spans="1:7" ht="15.75" customHeight="1">
      <c r="A257" s="2" t="s">
        <v>655</v>
      </c>
      <c r="B257" s="2">
        <v>46189</v>
      </c>
      <c r="C257" s="2" t="s">
        <v>279</v>
      </c>
      <c r="D257" s="2" t="s">
        <v>125</v>
      </c>
      <c r="E257" s="5" t="s">
        <v>380</v>
      </c>
      <c r="F257" s="6">
        <v>0</v>
      </c>
      <c r="G257" s="2" t="s">
        <v>61</v>
      </c>
    </row>
    <row r="258" spans="1:7" ht="15.75" customHeight="1">
      <c r="A258" s="2" t="s">
        <v>656</v>
      </c>
      <c r="B258" s="2">
        <v>46182</v>
      </c>
      <c r="C258" s="2" t="s">
        <v>143</v>
      </c>
      <c r="D258" s="2" t="s">
        <v>139</v>
      </c>
      <c r="E258" s="5" t="s">
        <v>79</v>
      </c>
      <c r="F258" s="6">
        <v>0</v>
      </c>
      <c r="G258" s="2" t="s">
        <v>61</v>
      </c>
    </row>
    <row r="259" spans="1:7" ht="15.75" customHeight="1">
      <c r="A259" s="2" t="s">
        <v>657</v>
      </c>
      <c r="B259" s="2">
        <v>46179</v>
      </c>
      <c r="C259" s="2" t="s">
        <v>214</v>
      </c>
      <c r="D259" s="2" t="s">
        <v>69</v>
      </c>
      <c r="E259" s="5" t="s">
        <v>480</v>
      </c>
      <c r="F259" s="6">
        <v>0</v>
      </c>
      <c r="G259" s="2" t="s">
        <v>61</v>
      </c>
    </row>
    <row r="260" spans="1:7" ht="15.75" customHeight="1">
      <c r="A260" s="2" t="s">
        <v>658</v>
      </c>
      <c r="B260" s="2">
        <v>46190</v>
      </c>
      <c r="C260" s="2" t="s">
        <v>135</v>
      </c>
      <c r="D260" s="2" t="s">
        <v>69</v>
      </c>
      <c r="E260" s="5" t="s">
        <v>152</v>
      </c>
      <c r="F260" s="6">
        <v>0</v>
      </c>
      <c r="G260" s="2" t="s">
        <v>61</v>
      </c>
    </row>
    <row r="261" spans="1:7" ht="15.75" customHeight="1">
      <c r="E261" s="5"/>
      <c r="F261" s="6"/>
    </row>
    <row r="262" spans="1:7" ht="15.75" customHeight="1">
      <c r="E262" s="5"/>
      <c r="F262" s="6"/>
    </row>
    <row r="263" spans="1:7" ht="15.75" customHeight="1">
      <c r="E263" s="5"/>
      <c r="F263" s="6"/>
    </row>
    <row r="264" spans="1:7" ht="15.75" customHeight="1">
      <c r="E264" s="5"/>
      <c r="F264" s="6"/>
    </row>
    <row r="265" spans="1:7" ht="15.75" customHeight="1">
      <c r="E265" s="5"/>
      <c r="F265" s="6"/>
    </row>
    <row r="266" spans="1:7" ht="15.75" customHeight="1">
      <c r="E266" s="5"/>
      <c r="F266" s="6"/>
    </row>
    <row r="267" spans="1:7" ht="15.75" customHeight="1">
      <c r="E267" s="5"/>
      <c r="F267" s="6"/>
    </row>
    <row r="268" spans="1:7" ht="15.75" customHeight="1">
      <c r="E268" s="5"/>
      <c r="F268" s="6"/>
    </row>
    <row r="269" spans="1:7" ht="15.75" customHeight="1">
      <c r="E269" s="5"/>
      <c r="F269" s="6"/>
    </row>
    <row r="270" spans="1:7" ht="15.75" customHeight="1">
      <c r="E270" s="5"/>
      <c r="F270" s="6"/>
    </row>
    <row r="271" spans="1:7" ht="15.75" customHeight="1">
      <c r="E271" s="5"/>
      <c r="F271" s="6"/>
    </row>
    <row r="272" spans="1:7" ht="15.75" customHeight="1">
      <c r="E272" s="5"/>
      <c r="F272" s="6"/>
    </row>
    <row r="273" spans="5:6" ht="15.75" customHeight="1">
      <c r="E273" s="5"/>
      <c r="F273" s="6"/>
    </row>
    <row r="274" spans="5:6" ht="15.75" customHeight="1">
      <c r="E274" s="5"/>
      <c r="F274" s="6"/>
    </row>
    <row r="275" spans="5:6" ht="15.75" customHeight="1">
      <c r="E275" s="5"/>
      <c r="F275" s="6"/>
    </row>
    <row r="276" spans="5:6" ht="15.75" customHeight="1">
      <c r="E276" s="5"/>
      <c r="F276" s="6"/>
    </row>
    <row r="277" spans="5:6" ht="15.75" customHeight="1">
      <c r="E277" s="5"/>
      <c r="F277" s="6"/>
    </row>
    <row r="278" spans="5:6" ht="15.75" customHeight="1">
      <c r="E278" s="5"/>
      <c r="F278" s="6"/>
    </row>
    <row r="279" spans="5:6" ht="15.75" customHeight="1">
      <c r="E279" s="5"/>
      <c r="F279" s="6"/>
    </row>
    <row r="280" spans="5:6" ht="15.75" customHeight="1">
      <c r="E280" s="5"/>
      <c r="F280" s="6"/>
    </row>
    <row r="281" spans="5:6" ht="15.75" customHeight="1">
      <c r="E281" s="5"/>
      <c r="F281" s="6"/>
    </row>
    <row r="282" spans="5:6" ht="15.75" customHeight="1">
      <c r="E282" s="5"/>
      <c r="F282" s="6"/>
    </row>
    <row r="283" spans="5:6" ht="15.75" customHeight="1">
      <c r="E283" s="5"/>
      <c r="F283" s="6"/>
    </row>
    <row r="284" spans="5:6" ht="15.75" customHeight="1">
      <c r="E284" s="5"/>
      <c r="F284" s="6"/>
    </row>
    <row r="285" spans="5:6" ht="15.75" customHeight="1">
      <c r="E285" s="5"/>
      <c r="F285" s="6"/>
    </row>
    <row r="286" spans="5:6" ht="15.75" customHeight="1">
      <c r="E286" s="5"/>
      <c r="F286" s="6"/>
    </row>
    <row r="287" spans="5:6" ht="15.75" customHeight="1">
      <c r="E287" s="5"/>
      <c r="F287" s="6"/>
    </row>
    <row r="288" spans="5:6" ht="15.75" customHeight="1">
      <c r="E288" s="5"/>
      <c r="F288" s="6"/>
    </row>
    <row r="289" spans="5:6" ht="15.75" customHeight="1">
      <c r="E289" s="5"/>
      <c r="F289" s="6"/>
    </row>
    <row r="290" spans="5:6" ht="15.75" customHeight="1">
      <c r="E290" s="5"/>
      <c r="F290" s="6"/>
    </row>
    <row r="291" spans="5:6" ht="15.75" customHeight="1">
      <c r="E291" s="5"/>
      <c r="F291" s="6"/>
    </row>
    <row r="292" spans="5:6" ht="15.75" customHeight="1">
      <c r="E292" s="5"/>
      <c r="F292" s="6"/>
    </row>
    <row r="293" spans="5:6" ht="15.75" customHeight="1">
      <c r="E293" s="5"/>
      <c r="F293" s="6"/>
    </row>
    <row r="294" spans="5:6" ht="15.75" customHeight="1">
      <c r="E294" s="5"/>
      <c r="F294" s="6"/>
    </row>
    <row r="295" spans="5:6" ht="15.75" customHeight="1">
      <c r="E295" s="5"/>
      <c r="F295" s="6"/>
    </row>
    <row r="296" spans="5:6" ht="15.75" customHeight="1">
      <c r="E296" s="5"/>
      <c r="F296" s="6"/>
    </row>
    <row r="297" spans="5:6" ht="15.75" customHeight="1">
      <c r="E297" s="5"/>
      <c r="F297" s="6"/>
    </row>
    <row r="298" spans="5:6" ht="15.75" customHeight="1">
      <c r="E298" s="5"/>
      <c r="F298" s="6"/>
    </row>
    <row r="299" spans="5:6" ht="15.75" customHeight="1">
      <c r="E299" s="5"/>
      <c r="F299" s="6"/>
    </row>
    <row r="300" spans="5:6" ht="15.75" customHeight="1">
      <c r="E300" s="5"/>
      <c r="F300" s="6"/>
    </row>
    <row r="301" spans="5:6" ht="15.75" customHeight="1">
      <c r="E301" s="5"/>
      <c r="F301" s="6"/>
    </row>
    <row r="302" spans="5:6" ht="15.75" customHeight="1">
      <c r="E302" s="5"/>
      <c r="F302" s="6"/>
    </row>
    <row r="303" spans="5:6" ht="15.75" customHeight="1">
      <c r="E303" s="5"/>
      <c r="F303" s="6"/>
    </row>
    <row r="304" spans="5:6" ht="15.75" customHeight="1">
      <c r="E304" s="5"/>
      <c r="F304" s="6"/>
    </row>
    <row r="305" spans="5:6" ht="15.75" customHeight="1">
      <c r="E305" s="5"/>
      <c r="F305" s="6"/>
    </row>
    <row r="306" spans="5:6" ht="15.75" customHeight="1">
      <c r="E306" s="5"/>
      <c r="F306" s="6"/>
    </row>
    <row r="307" spans="5:6" ht="15.75" customHeight="1">
      <c r="E307" s="5"/>
      <c r="F307" s="6"/>
    </row>
    <row r="308" spans="5:6" ht="15.75" customHeight="1">
      <c r="E308" s="5"/>
      <c r="F308" s="6"/>
    </row>
    <row r="309" spans="5:6" ht="15.75" customHeight="1">
      <c r="E309" s="5"/>
      <c r="F309" s="6"/>
    </row>
    <row r="310" spans="5:6" ht="15.75" customHeight="1">
      <c r="E310" s="5"/>
      <c r="F310" s="6"/>
    </row>
    <row r="311" spans="5:6" ht="15.75" customHeight="1">
      <c r="E311" s="5"/>
      <c r="F311" s="6"/>
    </row>
    <row r="312" spans="5:6" ht="15.75" customHeight="1">
      <c r="E312" s="5"/>
      <c r="F312" s="6"/>
    </row>
    <row r="313" spans="5:6" ht="15.75" customHeight="1">
      <c r="E313" s="5"/>
      <c r="F313" s="6"/>
    </row>
    <row r="314" spans="5:6" ht="15.75" customHeight="1">
      <c r="E314" s="5"/>
      <c r="F314" s="6"/>
    </row>
    <row r="315" spans="5:6" ht="15.75" customHeight="1">
      <c r="E315" s="5"/>
      <c r="F315" s="6"/>
    </row>
    <row r="316" spans="5:6" ht="15.75" customHeight="1">
      <c r="E316" s="5"/>
      <c r="F316" s="6"/>
    </row>
    <row r="317" spans="5:6" ht="15.75" customHeight="1">
      <c r="E317" s="5"/>
      <c r="F317" s="6"/>
    </row>
    <row r="318" spans="5:6" ht="15.75" customHeight="1">
      <c r="E318" s="5"/>
      <c r="F318" s="6"/>
    </row>
    <row r="319" spans="5:6" ht="15.75" customHeight="1">
      <c r="E319" s="5"/>
      <c r="F319" s="6"/>
    </row>
    <row r="320" spans="5:6" ht="15.75" customHeight="1">
      <c r="E320" s="5"/>
      <c r="F320" s="6"/>
    </row>
    <row r="321" spans="5:6" ht="15.75" customHeight="1">
      <c r="E321" s="5"/>
      <c r="F321" s="6"/>
    </row>
    <row r="322" spans="5:6" ht="15.75" customHeight="1">
      <c r="E322" s="5"/>
      <c r="F322" s="6"/>
    </row>
    <row r="323" spans="5:6" ht="15.75" customHeight="1">
      <c r="E323" s="5"/>
      <c r="F323" s="6"/>
    </row>
    <row r="324" spans="5:6" ht="15.75" customHeight="1">
      <c r="E324" s="5"/>
      <c r="F324" s="6"/>
    </row>
    <row r="325" spans="5:6" ht="15.75" customHeight="1">
      <c r="E325" s="5"/>
      <c r="F325" s="6"/>
    </row>
    <row r="326" spans="5:6" ht="15.75" customHeight="1">
      <c r="E326" s="5"/>
      <c r="F326" s="6"/>
    </row>
    <row r="327" spans="5:6" ht="15.75" customHeight="1">
      <c r="E327" s="5"/>
      <c r="F327" s="6"/>
    </row>
    <row r="328" spans="5:6" ht="15.75" customHeight="1">
      <c r="E328" s="5"/>
      <c r="F328" s="6"/>
    </row>
    <row r="329" spans="5:6" ht="15.75" customHeight="1">
      <c r="E329" s="5"/>
      <c r="F329" s="6"/>
    </row>
    <row r="330" spans="5:6" ht="15.75" customHeight="1">
      <c r="E330" s="5"/>
      <c r="F330" s="6"/>
    </row>
    <row r="331" spans="5:6" ht="15.75" customHeight="1">
      <c r="E331" s="5"/>
      <c r="F331" s="6"/>
    </row>
    <row r="332" spans="5:6" ht="15.75" customHeight="1">
      <c r="E332" s="5"/>
      <c r="F332" s="6"/>
    </row>
    <row r="333" spans="5:6" ht="15.75" customHeight="1">
      <c r="E333" s="5"/>
      <c r="F333" s="6"/>
    </row>
    <row r="334" spans="5:6" ht="15.75" customHeight="1">
      <c r="E334" s="5"/>
      <c r="F334" s="6"/>
    </row>
    <row r="335" spans="5:6" ht="15.75" customHeight="1">
      <c r="E335" s="5"/>
      <c r="F335" s="6"/>
    </row>
    <row r="336" spans="5:6" ht="15.75" customHeight="1">
      <c r="E336" s="5"/>
      <c r="F336" s="6"/>
    </row>
    <row r="337" spans="5:6" ht="15.75" customHeight="1">
      <c r="E337" s="5"/>
      <c r="F337" s="6"/>
    </row>
    <row r="338" spans="5:6" ht="15.75" customHeight="1">
      <c r="E338" s="5"/>
      <c r="F338" s="6"/>
    </row>
    <row r="339" spans="5:6" ht="15.75" customHeight="1">
      <c r="E339" s="5"/>
      <c r="F339" s="6"/>
    </row>
    <row r="340" spans="5:6" ht="15.75" customHeight="1">
      <c r="E340" s="5"/>
      <c r="F340" s="6"/>
    </row>
    <row r="341" spans="5:6" ht="15.75" customHeight="1">
      <c r="E341" s="5"/>
      <c r="F341" s="6"/>
    </row>
    <row r="342" spans="5:6" ht="15.75" customHeight="1">
      <c r="E342" s="5"/>
      <c r="F342" s="6"/>
    </row>
    <row r="343" spans="5:6" ht="15.75" customHeight="1">
      <c r="E343" s="5"/>
      <c r="F343" s="6"/>
    </row>
    <row r="344" spans="5:6" ht="15.75" customHeight="1">
      <c r="E344" s="5"/>
      <c r="F344" s="6"/>
    </row>
    <row r="345" spans="5:6" ht="15.75" customHeight="1">
      <c r="E345" s="5"/>
      <c r="F345" s="6"/>
    </row>
    <row r="346" spans="5:6" ht="15.75" customHeight="1">
      <c r="E346" s="5"/>
      <c r="F346" s="6"/>
    </row>
    <row r="347" spans="5:6" ht="15.75" customHeight="1">
      <c r="E347" s="5"/>
      <c r="F347" s="6"/>
    </row>
    <row r="348" spans="5:6" ht="15.75" customHeight="1">
      <c r="E348" s="5"/>
      <c r="F348" s="6"/>
    </row>
    <row r="349" spans="5:6" ht="15.75" customHeight="1">
      <c r="E349" s="5"/>
      <c r="F349" s="6"/>
    </row>
    <row r="350" spans="5:6" ht="15.75" customHeight="1">
      <c r="E350" s="5"/>
      <c r="F350" s="6"/>
    </row>
    <row r="351" spans="5:6" ht="15.75" customHeight="1">
      <c r="E351" s="5"/>
      <c r="F351" s="6"/>
    </row>
    <row r="352" spans="5:6" ht="15.75" customHeight="1">
      <c r="E352" s="5"/>
      <c r="F352" s="6"/>
    </row>
    <row r="353" spans="5:6" ht="15.75" customHeight="1">
      <c r="E353" s="5"/>
      <c r="F353" s="6"/>
    </row>
    <row r="354" spans="5:6" ht="15.75" customHeight="1">
      <c r="E354" s="5"/>
      <c r="F354" s="6"/>
    </row>
    <row r="355" spans="5:6" ht="15.75" customHeight="1">
      <c r="E355" s="5"/>
      <c r="F355" s="6"/>
    </row>
    <row r="356" spans="5:6" ht="15.75" customHeight="1">
      <c r="E356" s="5"/>
      <c r="F356" s="6"/>
    </row>
    <row r="357" spans="5:6" ht="15.75" customHeight="1">
      <c r="E357" s="5"/>
      <c r="F357" s="6"/>
    </row>
    <row r="358" spans="5:6" ht="15.75" customHeight="1">
      <c r="E358" s="5"/>
      <c r="F358" s="6"/>
    </row>
    <row r="359" spans="5:6" ht="15.75" customHeight="1">
      <c r="E359" s="5"/>
      <c r="F359" s="6"/>
    </row>
    <row r="360" spans="5:6" ht="15.75" customHeight="1">
      <c r="E360" s="5"/>
      <c r="F360" s="6"/>
    </row>
    <row r="361" spans="5:6" ht="15.75" customHeight="1">
      <c r="E361" s="5"/>
      <c r="F361" s="6"/>
    </row>
    <row r="362" spans="5:6" ht="15.75" customHeight="1">
      <c r="E362" s="5"/>
      <c r="F362" s="6"/>
    </row>
    <row r="363" spans="5:6" ht="15.75" customHeight="1">
      <c r="E363" s="5"/>
      <c r="F363" s="6"/>
    </row>
    <row r="364" spans="5:6" ht="15.75" customHeight="1">
      <c r="E364" s="5"/>
      <c r="F364" s="6"/>
    </row>
    <row r="365" spans="5:6" ht="15.75" customHeight="1">
      <c r="E365" s="5"/>
      <c r="F365" s="6"/>
    </row>
    <row r="366" spans="5:6" ht="15.75" customHeight="1">
      <c r="E366" s="5"/>
      <c r="F366" s="6"/>
    </row>
    <row r="367" spans="5:6" ht="15.75" customHeight="1">
      <c r="E367" s="5"/>
      <c r="F367" s="6"/>
    </row>
    <row r="368" spans="5:6" ht="15.75" customHeight="1">
      <c r="E368" s="5"/>
      <c r="F368" s="6"/>
    </row>
    <row r="369" spans="5:6" ht="15.75" customHeight="1">
      <c r="E369" s="5"/>
      <c r="F369" s="6"/>
    </row>
    <row r="370" spans="5:6" ht="15.75" customHeight="1">
      <c r="E370" s="5"/>
      <c r="F370" s="6"/>
    </row>
    <row r="371" spans="5:6" ht="15.75" customHeight="1">
      <c r="E371" s="5"/>
      <c r="F371" s="6"/>
    </row>
    <row r="372" spans="5:6" ht="15.75" customHeight="1">
      <c r="E372" s="5"/>
      <c r="F372" s="6"/>
    </row>
    <row r="373" spans="5:6" ht="15.75" customHeight="1">
      <c r="E373" s="5"/>
      <c r="F373" s="6"/>
    </row>
    <row r="374" spans="5:6" ht="15.75" customHeight="1">
      <c r="E374" s="5"/>
      <c r="F374" s="6"/>
    </row>
    <row r="375" spans="5:6" ht="15.75" customHeight="1">
      <c r="E375" s="5"/>
      <c r="F375" s="6"/>
    </row>
    <row r="376" spans="5:6" ht="15.75" customHeight="1">
      <c r="E376" s="5"/>
      <c r="F376" s="6"/>
    </row>
    <row r="377" spans="5:6" ht="15.75" customHeight="1">
      <c r="E377" s="5"/>
      <c r="F377" s="6"/>
    </row>
    <row r="378" spans="5:6" ht="15.75" customHeight="1">
      <c r="E378" s="5"/>
      <c r="F378" s="6"/>
    </row>
    <row r="379" spans="5:6" ht="15.75" customHeight="1">
      <c r="E379" s="5"/>
      <c r="F379" s="6"/>
    </row>
    <row r="380" spans="5:6" ht="15.75" customHeight="1">
      <c r="E380" s="5"/>
      <c r="F380" s="6"/>
    </row>
    <row r="381" spans="5:6" ht="15.75" customHeight="1">
      <c r="E381" s="5"/>
      <c r="F381" s="6"/>
    </row>
    <row r="382" spans="5:6" ht="15.75" customHeight="1">
      <c r="E382" s="5"/>
      <c r="F382" s="6"/>
    </row>
    <row r="383" spans="5:6" ht="15.75" customHeight="1">
      <c r="E383" s="5"/>
      <c r="F383" s="6"/>
    </row>
    <row r="384" spans="5:6" ht="15.75" customHeight="1">
      <c r="E384" s="5"/>
      <c r="F384" s="6"/>
    </row>
    <row r="385" spans="5:6" ht="15.75" customHeight="1">
      <c r="E385" s="5"/>
      <c r="F385" s="6"/>
    </row>
    <row r="386" spans="5:6" ht="15.75" customHeight="1">
      <c r="E386" s="5"/>
      <c r="F386" s="6"/>
    </row>
    <row r="387" spans="5:6" ht="15.75" customHeight="1">
      <c r="E387" s="5"/>
      <c r="F387" s="6"/>
    </row>
    <row r="388" spans="5:6" ht="15.75" customHeight="1">
      <c r="E388" s="5"/>
      <c r="F388" s="6"/>
    </row>
    <row r="389" spans="5:6" ht="15.75" customHeight="1">
      <c r="E389" s="5"/>
      <c r="F389" s="6"/>
    </row>
    <row r="390" spans="5:6" ht="15.75" customHeight="1">
      <c r="E390" s="5"/>
      <c r="F390" s="6"/>
    </row>
    <row r="391" spans="5:6" ht="15.75" customHeight="1">
      <c r="E391" s="5"/>
      <c r="F391" s="6"/>
    </row>
    <row r="392" spans="5:6" ht="15.75" customHeight="1">
      <c r="E392" s="5"/>
      <c r="F392" s="6"/>
    </row>
    <row r="393" spans="5:6" ht="15.75" customHeight="1">
      <c r="E393" s="5"/>
      <c r="F393" s="6"/>
    </row>
    <row r="394" spans="5:6" ht="15.75" customHeight="1">
      <c r="E394" s="5"/>
      <c r="F394" s="6"/>
    </row>
    <row r="395" spans="5:6" ht="15.75" customHeight="1">
      <c r="E395" s="5"/>
      <c r="F395" s="6"/>
    </row>
    <row r="396" spans="5:6" ht="15.75" customHeight="1">
      <c r="E396" s="5"/>
      <c r="F396" s="6"/>
    </row>
    <row r="397" spans="5:6" ht="15.75" customHeight="1">
      <c r="E397" s="5"/>
      <c r="F397" s="6"/>
    </row>
    <row r="398" spans="5:6" ht="15.75" customHeight="1">
      <c r="E398" s="5"/>
      <c r="F398" s="6"/>
    </row>
    <row r="399" spans="5:6" ht="15.75" customHeight="1">
      <c r="E399" s="5"/>
      <c r="F399" s="6"/>
    </row>
    <row r="400" spans="5:6" ht="15.75" customHeight="1">
      <c r="E400" s="5"/>
      <c r="F400" s="6"/>
    </row>
    <row r="401" spans="5:6" ht="15.75" customHeight="1">
      <c r="E401" s="5"/>
      <c r="F401" s="6"/>
    </row>
    <row r="402" spans="5:6" ht="15.75" customHeight="1">
      <c r="E402" s="5"/>
      <c r="F402" s="6"/>
    </row>
    <row r="403" spans="5:6" ht="15.75" customHeight="1">
      <c r="E403" s="5"/>
      <c r="F403" s="6"/>
    </row>
    <row r="404" spans="5:6" ht="15.75" customHeight="1">
      <c r="E404" s="5"/>
      <c r="F404" s="6"/>
    </row>
    <row r="405" spans="5:6" ht="15.75" customHeight="1">
      <c r="E405" s="5"/>
      <c r="F405" s="6"/>
    </row>
    <row r="406" spans="5:6" ht="15.75" customHeight="1">
      <c r="E406" s="5"/>
      <c r="F406" s="6"/>
    </row>
    <row r="407" spans="5:6" ht="15.75" customHeight="1">
      <c r="E407" s="5"/>
      <c r="F407" s="6"/>
    </row>
    <row r="408" spans="5:6" ht="15.75" customHeight="1">
      <c r="E408" s="5"/>
      <c r="F408" s="6"/>
    </row>
    <row r="409" spans="5:6" ht="15.75" customHeight="1">
      <c r="E409" s="5"/>
      <c r="F409" s="6"/>
    </row>
    <row r="410" spans="5:6" ht="15.75" customHeight="1">
      <c r="E410" s="5"/>
      <c r="F410" s="6"/>
    </row>
    <row r="411" spans="5:6" ht="15.75" customHeight="1">
      <c r="E411" s="5"/>
      <c r="F411" s="6"/>
    </row>
    <row r="412" spans="5:6" ht="15.75" customHeight="1">
      <c r="E412" s="5"/>
      <c r="F412" s="6"/>
    </row>
    <row r="413" spans="5:6" ht="15.75" customHeight="1">
      <c r="E413" s="5"/>
      <c r="F413" s="6"/>
    </row>
    <row r="414" spans="5:6" ht="15.75" customHeight="1">
      <c r="E414" s="5"/>
      <c r="F414" s="6"/>
    </row>
    <row r="415" spans="5:6" ht="15.75" customHeight="1">
      <c r="E415" s="5"/>
      <c r="F415" s="6"/>
    </row>
    <row r="416" spans="5:6" ht="15.75" customHeight="1">
      <c r="E416" s="5"/>
      <c r="F416" s="6"/>
    </row>
    <row r="417" spans="5:6" ht="15.75" customHeight="1">
      <c r="E417" s="5"/>
      <c r="F417" s="6"/>
    </row>
    <row r="418" spans="5:6" ht="15.75" customHeight="1">
      <c r="E418" s="5"/>
      <c r="F418" s="6"/>
    </row>
    <row r="419" spans="5:6" ht="15.75" customHeight="1">
      <c r="E419" s="5"/>
      <c r="F419" s="6"/>
    </row>
    <row r="420" spans="5:6" ht="15.75" customHeight="1">
      <c r="E420" s="5"/>
      <c r="F420" s="6"/>
    </row>
    <row r="421" spans="5:6" ht="15.75" customHeight="1">
      <c r="E421" s="5"/>
      <c r="F421" s="6"/>
    </row>
    <row r="422" spans="5:6" ht="15.75" customHeight="1">
      <c r="E422" s="5"/>
      <c r="F422" s="6"/>
    </row>
    <row r="423" spans="5:6" ht="15.75" customHeight="1">
      <c r="E423" s="5"/>
      <c r="F423" s="6"/>
    </row>
    <row r="424" spans="5:6" ht="15.75" customHeight="1">
      <c r="E424" s="5"/>
      <c r="F424" s="6"/>
    </row>
    <row r="425" spans="5:6" ht="15.75" customHeight="1">
      <c r="E425" s="5"/>
      <c r="F425" s="6"/>
    </row>
    <row r="426" spans="5:6" ht="15.75" customHeight="1">
      <c r="E426" s="5"/>
      <c r="F426" s="6"/>
    </row>
    <row r="427" spans="5:6" ht="15.75" customHeight="1">
      <c r="E427" s="5"/>
      <c r="F427" s="6"/>
    </row>
    <row r="428" spans="5:6" ht="15.75" customHeight="1">
      <c r="E428" s="5"/>
      <c r="F428" s="6"/>
    </row>
    <row r="429" spans="5:6" ht="15.75" customHeight="1">
      <c r="E429" s="5"/>
      <c r="F429" s="6"/>
    </row>
    <row r="430" spans="5:6" ht="15.75" customHeight="1">
      <c r="E430" s="5"/>
      <c r="F430" s="6"/>
    </row>
    <row r="431" spans="5:6" ht="15.75" customHeight="1">
      <c r="E431" s="5"/>
      <c r="F431" s="6"/>
    </row>
    <row r="432" spans="5:6" ht="15.75" customHeight="1">
      <c r="E432" s="5"/>
      <c r="F432" s="6"/>
    </row>
    <row r="433" spans="5:6" ht="15.75" customHeight="1">
      <c r="E433" s="5"/>
      <c r="F433" s="6"/>
    </row>
    <row r="434" spans="5:6" ht="15.75" customHeight="1">
      <c r="E434" s="5"/>
      <c r="F434" s="6"/>
    </row>
    <row r="435" spans="5:6" ht="15.75" customHeight="1">
      <c r="E435" s="5"/>
      <c r="F435" s="6"/>
    </row>
    <row r="436" spans="5:6" ht="15.75" customHeight="1">
      <c r="E436" s="5"/>
      <c r="F436" s="6"/>
    </row>
    <row r="437" spans="5:6" ht="15.75" customHeight="1">
      <c r="E437" s="5"/>
      <c r="F437" s="6"/>
    </row>
    <row r="438" spans="5:6" ht="15.75" customHeight="1">
      <c r="E438" s="5"/>
      <c r="F438" s="6"/>
    </row>
    <row r="439" spans="5:6" ht="15.75" customHeight="1">
      <c r="E439" s="5"/>
      <c r="F439" s="6"/>
    </row>
    <row r="440" spans="5:6" ht="15.75" customHeight="1">
      <c r="E440" s="5"/>
      <c r="F440" s="6"/>
    </row>
    <row r="441" spans="5:6" ht="15.75" customHeight="1">
      <c r="E441" s="5"/>
      <c r="F441" s="6"/>
    </row>
    <row r="442" spans="5:6" ht="15.75" customHeight="1">
      <c r="E442" s="5"/>
      <c r="F442" s="6"/>
    </row>
    <row r="443" spans="5:6" ht="15.75" customHeight="1">
      <c r="E443" s="5"/>
      <c r="F443" s="6"/>
    </row>
    <row r="444" spans="5:6" ht="15.75" customHeight="1">
      <c r="E444" s="5"/>
      <c r="F444" s="6"/>
    </row>
    <row r="445" spans="5:6" ht="15.75" customHeight="1">
      <c r="E445" s="5"/>
      <c r="F445" s="6"/>
    </row>
    <row r="446" spans="5:6" ht="15.75" customHeight="1">
      <c r="E446" s="5"/>
      <c r="F446" s="6"/>
    </row>
    <row r="447" spans="5:6" ht="15.75" customHeight="1">
      <c r="E447" s="5"/>
      <c r="F447" s="6"/>
    </row>
    <row r="448" spans="5:6" ht="15.75" customHeight="1">
      <c r="E448" s="5"/>
      <c r="F448" s="6"/>
    </row>
    <row r="449" spans="5:6" ht="15.75" customHeight="1">
      <c r="E449" s="5"/>
      <c r="F449" s="6"/>
    </row>
    <row r="450" spans="5:6" ht="15.75" customHeight="1">
      <c r="E450" s="5"/>
      <c r="F450" s="6"/>
    </row>
    <row r="451" spans="5:6" ht="15.75" customHeight="1">
      <c r="E451" s="5"/>
      <c r="F451" s="6"/>
    </row>
    <row r="452" spans="5:6" ht="15.75" customHeight="1">
      <c r="E452" s="5"/>
      <c r="F452" s="6"/>
    </row>
    <row r="453" spans="5:6" ht="15.75" customHeight="1">
      <c r="E453" s="5"/>
      <c r="F453" s="6"/>
    </row>
    <row r="454" spans="5:6" ht="15.75" customHeight="1">
      <c r="E454" s="5"/>
      <c r="F454" s="6"/>
    </row>
    <row r="455" spans="5:6" ht="15.75" customHeight="1">
      <c r="E455" s="5"/>
      <c r="F455" s="6"/>
    </row>
    <row r="456" spans="5:6" ht="15.75" customHeight="1">
      <c r="E456" s="5"/>
      <c r="F456" s="6"/>
    </row>
    <row r="457" spans="5:6" ht="15.75" customHeight="1">
      <c r="E457" s="5"/>
      <c r="F457" s="6"/>
    </row>
    <row r="458" spans="5:6" ht="15.75" customHeight="1">
      <c r="E458" s="5"/>
      <c r="F458" s="6"/>
    </row>
    <row r="459" spans="5:6" ht="15.75" customHeight="1">
      <c r="E459" s="5"/>
      <c r="F459" s="6"/>
    </row>
    <row r="460" spans="5:6" ht="15.75" customHeight="1">
      <c r="E460" s="5"/>
      <c r="F460" s="6"/>
    </row>
    <row r="461" spans="5:6" ht="15.75" customHeight="1">
      <c r="E461" s="5"/>
      <c r="F461" s="6"/>
    </row>
    <row r="462" spans="5:6" ht="15.75" customHeight="1">
      <c r="E462" s="5"/>
      <c r="F462" s="6"/>
    </row>
    <row r="463" spans="5:6" ht="15.75" customHeight="1">
      <c r="E463" s="5"/>
      <c r="F463" s="6"/>
    </row>
    <row r="464" spans="5:6" ht="15.75" customHeight="1">
      <c r="E464" s="5"/>
      <c r="F464" s="6"/>
    </row>
    <row r="465" spans="5:6" ht="15.75" customHeight="1">
      <c r="E465" s="5"/>
      <c r="F465" s="6"/>
    </row>
    <row r="466" spans="5:6" ht="15.75" customHeight="1">
      <c r="E466" s="5"/>
      <c r="F466" s="6"/>
    </row>
    <row r="467" spans="5:6" ht="15.75" customHeight="1">
      <c r="E467" s="5"/>
      <c r="F467" s="6"/>
    </row>
    <row r="468" spans="5:6" ht="15.75" customHeight="1">
      <c r="E468" s="5"/>
      <c r="F468" s="6"/>
    </row>
    <row r="469" spans="5:6" ht="15.75" customHeight="1">
      <c r="E469" s="5"/>
      <c r="F469" s="6"/>
    </row>
    <row r="470" spans="5:6" ht="15.75" customHeight="1">
      <c r="E470" s="5"/>
      <c r="F470" s="6"/>
    </row>
    <row r="471" spans="5:6" ht="15.75" customHeight="1">
      <c r="E471" s="5"/>
      <c r="F471" s="6"/>
    </row>
    <row r="472" spans="5:6" ht="15.75" customHeight="1">
      <c r="E472" s="5"/>
      <c r="F472" s="6"/>
    </row>
    <row r="473" spans="5:6" ht="15.75" customHeight="1">
      <c r="E473" s="5"/>
      <c r="F473" s="6"/>
    </row>
    <row r="474" spans="5:6" ht="15.75" customHeight="1">
      <c r="E474" s="5"/>
      <c r="F474" s="6"/>
    </row>
    <row r="475" spans="5:6" ht="15.75" customHeight="1">
      <c r="E475" s="5"/>
      <c r="F475" s="6"/>
    </row>
    <row r="476" spans="5:6" ht="15.75" customHeight="1">
      <c r="E476" s="5"/>
      <c r="F476" s="6"/>
    </row>
    <row r="477" spans="5:6" ht="15.75" customHeight="1">
      <c r="E477" s="5"/>
      <c r="F477" s="6"/>
    </row>
    <row r="478" spans="5:6" ht="15.75" customHeight="1">
      <c r="E478" s="5"/>
      <c r="F478" s="6"/>
    </row>
    <row r="479" spans="5:6" ht="15.75" customHeight="1">
      <c r="E479" s="5"/>
      <c r="F479" s="6"/>
    </row>
    <row r="480" spans="5:6" ht="15.75" customHeight="1">
      <c r="E480" s="5"/>
      <c r="F480" s="6"/>
    </row>
    <row r="481" spans="5:6" ht="15.75" customHeight="1">
      <c r="E481" s="5"/>
      <c r="F481" s="6"/>
    </row>
    <row r="482" spans="5:6" ht="15.75" customHeight="1">
      <c r="E482" s="5"/>
      <c r="F482" s="6"/>
    </row>
    <row r="483" spans="5:6" ht="15.75" customHeight="1">
      <c r="E483" s="5"/>
      <c r="F483" s="6"/>
    </row>
    <row r="484" spans="5:6" ht="15.75" customHeight="1">
      <c r="E484" s="5"/>
      <c r="F484" s="6"/>
    </row>
    <row r="485" spans="5:6" ht="15.75" customHeight="1">
      <c r="E485" s="5"/>
      <c r="F485" s="6"/>
    </row>
    <row r="486" spans="5:6" ht="15.75" customHeight="1">
      <c r="E486" s="5"/>
      <c r="F486" s="6"/>
    </row>
    <row r="487" spans="5:6" ht="15.75" customHeight="1">
      <c r="E487" s="5"/>
      <c r="F487" s="6"/>
    </row>
    <row r="488" spans="5:6" ht="15.75" customHeight="1">
      <c r="E488" s="5"/>
      <c r="F488" s="6"/>
    </row>
    <row r="489" spans="5:6" ht="15.75" customHeight="1">
      <c r="E489" s="5"/>
      <c r="F489" s="6"/>
    </row>
    <row r="490" spans="5:6" ht="15.75" customHeight="1">
      <c r="E490" s="5"/>
      <c r="F490" s="6"/>
    </row>
    <row r="491" spans="5:6" ht="15.75" customHeight="1">
      <c r="E491" s="5"/>
      <c r="F491" s="6"/>
    </row>
    <row r="492" spans="5:6" ht="15.75" customHeight="1">
      <c r="E492" s="5"/>
      <c r="F492" s="6"/>
    </row>
    <row r="493" spans="5:6" ht="15.75" customHeight="1">
      <c r="E493" s="5"/>
      <c r="F493" s="6"/>
    </row>
    <row r="494" spans="5:6" ht="15.75" customHeight="1">
      <c r="E494" s="5"/>
      <c r="F494" s="6"/>
    </row>
    <row r="495" spans="5:6" ht="15.75" customHeight="1">
      <c r="E495" s="5"/>
      <c r="F495" s="6"/>
    </row>
    <row r="496" spans="5:6" ht="15.75" customHeight="1">
      <c r="E496" s="5"/>
      <c r="F496" s="6"/>
    </row>
    <row r="497" spans="5:6" ht="15.75" customHeight="1">
      <c r="E497" s="5"/>
      <c r="F497" s="6"/>
    </row>
    <row r="498" spans="5:6" ht="15.75" customHeight="1">
      <c r="E498" s="5"/>
      <c r="F498" s="6"/>
    </row>
    <row r="499" spans="5:6" ht="15.75" customHeight="1">
      <c r="E499" s="5"/>
      <c r="F499" s="6"/>
    </row>
    <row r="500" spans="5:6" ht="15.75" customHeight="1">
      <c r="E500" s="5"/>
      <c r="F500" s="6"/>
    </row>
    <row r="501" spans="5:6" ht="15.75" customHeight="1">
      <c r="E501" s="5"/>
      <c r="F501" s="6"/>
    </row>
    <row r="502" spans="5:6" ht="15.75" customHeight="1">
      <c r="E502" s="5"/>
      <c r="F502" s="6"/>
    </row>
    <row r="503" spans="5:6" ht="15.75" customHeight="1">
      <c r="E503" s="5"/>
      <c r="F503" s="6"/>
    </row>
    <row r="504" spans="5:6" ht="15.75" customHeight="1">
      <c r="E504" s="5"/>
      <c r="F504" s="6"/>
    </row>
    <row r="505" spans="5:6" ht="15.75" customHeight="1">
      <c r="E505" s="5"/>
      <c r="F505" s="6"/>
    </row>
    <row r="506" spans="5:6" ht="15.75" customHeight="1">
      <c r="E506" s="5"/>
      <c r="F506" s="6"/>
    </row>
    <row r="507" spans="5:6" ht="15.75" customHeight="1">
      <c r="E507" s="5"/>
      <c r="F507" s="6"/>
    </row>
    <row r="508" spans="5:6" ht="15.75" customHeight="1">
      <c r="E508" s="5"/>
      <c r="F508" s="6"/>
    </row>
    <row r="509" spans="5:6" ht="15.75" customHeight="1">
      <c r="E509" s="5"/>
      <c r="F509" s="6"/>
    </row>
    <row r="510" spans="5:6" ht="15.75" customHeight="1">
      <c r="E510" s="5"/>
      <c r="F510" s="6"/>
    </row>
    <row r="511" spans="5:6" ht="15.75" customHeight="1">
      <c r="E511" s="5"/>
      <c r="F511" s="6"/>
    </row>
    <row r="512" spans="5:6" ht="15.75" customHeight="1">
      <c r="E512" s="5"/>
      <c r="F512" s="6"/>
    </row>
    <row r="513" spans="5:6" ht="15.75" customHeight="1">
      <c r="E513" s="5"/>
      <c r="F513" s="6"/>
    </row>
    <row r="514" spans="5:6" ht="15.75" customHeight="1">
      <c r="E514" s="5"/>
      <c r="F514" s="6"/>
    </row>
    <row r="515" spans="5:6" ht="15.75" customHeight="1">
      <c r="E515" s="5"/>
      <c r="F515" s="6"/>
    </row>
    <row r="516" spans="5:6" ht="15.75" customHeight="1">
      <c r="E516" s="5"/>
      <c r="F516" s="6"/>
    </row>
    <row r="517" spans="5:6" ht="15.75" customHeight="1">
      <c r="E517" s="5"/>
      <c r="F517" s="6"/>
    </row>
    <row r="518" spans="5:6" ht="15.75" customHeight="1">
      <c r="E518" s="5"/>
      <c r="F518" s="6"/>
    </row>
    <row r="519" spans="5:6" ht="15.75" customHeight="1">
      <c r="E519" s="5"/>
      <c r="F519" s="6"/>
    </row>
    <row r="520" spans="5:6" ht="15.75" customHeight="1">
      <c r="E520" s="5"/>
      <c r="F520" s="6"/>
    </row>
    <row r="521" spans="5:6" ht="15.75" customHeight="1">
      <c r="E521" s="5"/>
      <c r="F521" s="6"/>
    </row>
    <row r="522" spans="5:6" ht="15.75" customHeight="1">
      <c r="E522" s="5"/>
      <c r="F522" s="6"/>
    </row>
    <row r="523" spans="5:6" ht="15.75" customHeight="1">
      <c r="E523" s="5"/>
      <c r="F523" s="6"/>
    </row>
    <row r="524" spans="5:6" ht="15.75" customHeight="1">
      <c r="E524" s="5"/>
      <c r="F524" s="6"/>
    </row>
    <row r="525" spans="5:6" ht="15.75" customHeight="1">
      <c r="E525" s="5"/>
      <c r="F525" s="6"/>
    </row>
    <row r="526" spans="5:6" ht="15.75" customHeight="1">
      <c r="E526" s="5"/>
      <c r="F526" s="6"/>
    </row>
    <row r="527" spans="5:6" ht="15.75" customHeight="1">
      <c r="E527" s="5"/>
      <c r="F527" s="6"/>
    </row>
    <row r="528" spans="5:6" ht="15.75" customHeight="1">
      <c r="E528" s="5"/>
      <c r="F528" s="6"/>
    </row>
    <row r="529" spans="5:6" ht="15.75" customHeight="1">
      <c r="E529" s="5"/>
      <c r="F529" s="6"/>
    </row>
    <row r="530" spans="5:6" ht="15.75" customHeight="1">
      <c r="E530" s="5"/>
      <c r="F530" s="6"/>
    </row>
    <row r="531" spans="5:6" ht="15.75" customHeight="1">
      <c r="E531" s="5"/>
      <c r="F531" s="6"/>
    </row>
    <row r="532" spans="5:6" ht="15.75" customHeight="1">
      <c r="E532" s="5"/>
      <c r="F532" s="6"/>
    </row>
    <row r="533" spans="5:6" ht="15.75" customHeight="1">
      <c r="E533" s="5"/>
      <c r="F533" s="6"/>
    </row>
    <row r="534" spans="5:6" ht="15.75" customHeight="1">
      <c r="E534" s="5"/>
      <c r="F534" s="6"/>
    </row>
    <row r="535" spans="5:6" ht="15.75" customHeight="1">
      <c r="E535" s="5"/>
      <c r="F535" s="6"/>
    </row>
    <row r="536" spans="5:6" ht="15.75" customHeight="1">
      <c r="E536" s="5"/>
      <c r="F536" s="6"/>
    </row>
    <row r="537" spans="5:6" ht="15.75" customHeight="1">
      <c r="E537" s="5"/>
      <c r="F537" s="6"/>
    </row>
    <row r="538" spans="5:6" ht="15.75" customHeight="1">
      <c r="E538" s="5"/>
      <c r="F538" s="6"/>
    </row>
    <row r="539" spans="5:6" ht="15.75" customHeight="1">
      <c r="E539" s="5"/>
      <c r="F539" s="6"/>
    </row>
    <row r="540" spans="5:6" ht="15.75" customHeight="1">
      <c r="E540" s="5"/>
      <c r="F540" s="6"/>
    </row>
    <row r="541" spans="5:6" ht="15.75" customHeight="1">
      <c r="E541" s="5"/>
      <c r="F541" s="6"/>
    </row>
    <row r="542" spans="5:6" ht="15.75" customHeight="1">
      <c r="E542" s="5"/>
      <c r="F542" s="6"/>
    </row>
    <row r="543" spans="5:6" ht="15.75" customHeight="1">
      <c r="E543" s="5"/>
      <c r="F543" s="6"/>
    </row>
    <row r="544" spans="5:6" ht="15.75" customHeight="1">
      <c r="E544" s="5"/>
      <c r="F544" s="6"/>
    </row>
    <row r="545" spans="5:6" ht="15.75" customHeight="1">
      <c r="E545" s="5"/>
      <c r="F545" s="6"/>
    </row>
    <row r="546" spans="5:6" ht="15.75" customHeight="1">
      <c r="E546" s="5"/>
      <c r="F546" s="6"/>
    </row>
    <row r="547" spans="5:6" ht="15.75" customHeight="1">
      <c r="E547" s="5"/>
      <c r="F547" s="6"/>
    </row>
    <row r="548" spans="5:6" ht="15.75" customHeight="1">
      <c r="E548" s="5"/>
      <c r="F548" s="6"/>
    </row>
    <row r="549" spans="5:6" ht="15.75" customHeight="1">
      <c r="E549" s="5"/>
      <c r="F549" s="6"/>
    </row>
    <row r="550" spans="5:6" ht="15.75" customHeight="1">
      <c r="E550" s="5"/>
      <c r="F550" s="6"/>
    </row>
    <row r="551" spans="5:6" ht="15.75" customHeight="1">
      <c r="E551" s="5"/>
      <c r="F551" s="6"/>
    </row>
    <row r="552" spans="5:6" ht="15.75" customHeight="1">
      <c r="E552" s="5"/>
      <c r="F552" s="6"/>
    </row>
    <row r="553" spans="5:6" ht="15.75" customHeight="1">
      <c r="E553" s="5"/>
      <c r="F553" s="6"/>
    </row>
    <row r="554" spans="5:6" ht="15.75" customHeight="1">
      <c r="E554" s="5"/>
      <c r="F554" s="6"/>
    </row>
    <row r="555" spans="5:6" ht="15.75" customHeight="1">
      <c r="E555" s="5"/>
      <c r="F555" s="6"/>
    </row>
    <row r="556" spans="5:6" ht="15.75" customHeight="1">
      <c r="E556" s="5"/>
      <c r="F556" s="6"/>
    </row>
    <row r="557" spans="5:6" ht="15.75" customHeight="1">
      <c r="E557" s="5"/>
      <c r="F557" s="6"/>
    </row>
    <row r="558" spans="5:6" ht="15.75" customHeight="1">
      <c r="E558" s="5"/>
      <c r="F558" s="6"/>
    </row>
    <row r="559" spans="5:6" ht="15.75" customHeight="1">
      <c r="E559" s="5"/>
      <c r="F559" s="6"/>
    </row>
    <row r="560" spans="5:6" ht="15.75" customHeight="1">
      <c r="E560" s="5"/>
      <c r="F560" s="6"/>
    </row>
    <row r="561" spans="5:6" ht="15.75" customHeight="1">
      <c r="E561" s="5"/>
      <c r="F561" s="6"/>
    </row>
    <row r="562" spans="5:6" ht="15.75" customHeight="1">
      <c r="E562" s="5"/>
      <c r="F562" s="6"/>
    </row>
    <row r="563" spans="5:6" ht="15.75" customHeight="1">
      <c r="E563" s="5"/>
      <c r="F563" s="6"/>
    </row>
    <row r="564" spans="5:6" ht="15.75" customHeight="1">
      <c r="E564" s="5"/>
      <c r="F564" s="6"/>
    </row>
    <row r="565" spans="5:6" ht="15.75" customHeight="1">
      <c r="E565" s="5"/>
      <c r="F565" s="6"/>
    </row>
    <row r="566" spans="5:6" ht="15.75" customHeight="1">
      <c r="E566" s="5"/>
      <c r="F566" s="6"/>
    </row>
    <row r="567" spans="5:6" ht="15.75" customHeight="1">
      <c r="E567" s="5"/>
      <c r="F567" s="6"/>
    </row>
    <row r="568" spans="5:6" ht="15.75" customHeight="1">
      <c r="E568" s="5"/>
      <c r="F568" s="6"/>
    </row>
    <row r="569" spans="5:6" ht="15.75" customHeight="1">
      <c r="E569" s="5"/>
      <c r="F569" s="6"/>
    </row>
    <row r="570" spans="5:6" ht="15.75" customHeight="1">
      <c r="E570" s="5"/>
      <c r="F570" s="6"/>
    </row>
    <row r="571" spans="5:6" ht="15.75" customHeight="1">
      <c r="E571" s="5"/>
      <c r="F571" s="6"/>
    </row>
    <row r="572" spans="5:6" ht="15.75" customHeight="1">
      <c r="E572" s="5"/>
      <c r="F572" s="6"/>
    </row>
    <row r="573" spans="5:6" ht="15.75" customHeight="1">
      <c r="E573" s="5"/>
      <c r="F573" s="6"/>
    </row>
    <row r="574" spans="5:6" ht="15.75" customHeight="1">
      <c r="E574" s="5"/>
      <c r="F574" s="6"/>
    </row>
    <row r="575" spans="5:6" ht="15.75" customHeight="1">
      <c r="E575" s="5"/>
      <c r="F575" s="6"/>
    </row>
    <row r="576" spans="5:6" ht="15.75" customHeight="1">
      <c r="E576" s="5"/>
      <c r="F576" s="6"/>
    </row>
    <row r="577" spans="5:6" ht="15.75" customHeight="1">
      <c r="E577" s="5"/>
      <c r="F577" s="6"/>
    </row>
    <row r="578" spans="5:6" ht="15.75" customHeight="1">
      <c r="E578" s="5"/>
      <c r="F578" s="6"/>
    </row>
    <row r="579" spans="5:6" ht="15.75" customHeight="1">
      <c r="E579" s="5"/>
      <c r="F579" s="6"/>
    </row>
    <row r="580" spans="5:6" ht="15.75" customHeight="1">
      <c r="E580" s="5"/>
      <c r="F580" s="6"/>
    </row>
    <row r="581" spans="5:6" ht="15.75" customHeight="1">
      <c r="E581" s="5"/>
      <c r="F581" s="6"/>
    </row>
    <row r="582" spans="5:6" ht="15.75" customHeight="1">
      <c r="E582" s="5"/>
      <c r="F582" s="6"/>
    </row>
    <row r="583" spans="5:6" ht="15.75" customHeight="1">
      <c r="E583" s="5"/>
      <c r="F583" s="6"/>
    </row>
    <row r="584" spans="5:6" ht="15.75" customHeight="1">
      <c r="E584" s="5"/>
      <c r="F584" s="6"/>
    </row>
    <row r="585" spans="5:6" ht="15.75" customHeight="1">
      <c r="E585" s="5"/>
      <c r="F585" s="6"/>
    </row>
    <row r="586" spans="5:6" ht="15.75" customHeight="1">
      <c r="E586" s="5"/>
      <c r="F586" s="6"/>
    </row>
    <row r="587" spans="5:6" ht="15.75" customHeight="1">
      <c r="E587" s="5"/>
      <c r="F587" s="6"/>
    </row>
    <row r="588" spans="5:6" ht="15.75" customHeight="1">
      <c r="E588" s="5"/>
      <c r="F588" s="6"/>
    </row>
    <row r="589" spans="5:6" ht="15.75" customHeight="1">
      <c r="E589" s="5"/>
      <c r="F589" s="6"/>
    </row>
    <row r="590" spans="5:6" ht="15.75" customHeight="1">
      <c r="E590" s="5"/>
      <c r="F590" s="6"/>
    </row>
    <row r="591" spans="5:6" ht="15.75" customHeight="1">
      <c r="E591" s="5"/>
      <c r="F591" s="6"/>
    </row>
    <row r="592" spans="5:6" ht="15.75" customHeight="1">
      <c r="E592" s="5"/>
      <c r="F592" s="6"/>
    </row>
    <row r="593" spans="5:6" ht="15.75" customHeight="1">
      <c r="E593" s="5"/>
      <c r="F593" s="6"/>
    </row>
    <row r="594" spans="5:6" ht="15.75" customHeight="1">
      <c r="E594" s="5"/>
      <c r="F594" s="6"/>
    </row>
    <row r="595" spans="5:6" ht="15.75" customHeight="1">
      <c r="E595" s="5"/>
      <c r="F595" s="6"/>
    </row>
    <row r="596" spans="5:6" ht="15.75" customHeight="1">
      <c r="E596" s="5"/>
      <c r="F596" s="6"/>
    </row>
    <row r="597" spans="5:6" ht="15.75" customHeight="1">
      <c r="E597" s="5"/>
      <c r="F597" s="6"/>
    </row>
    <row r="598" spans="5:6" ht="15.75" customHeight="1">
      <c r="E598" s="5"/>
      <c r="F598" s="6"/>
    </row>
    <row r="599" spans="5:6" ht="15.75" customHeight="1">
      <c r="E599" s="5"/>
      <c r="F599" s="6"/>
    </row>
    <row r="600" spans="5:6" ht="15.75" customHeight="1">
      <c r="E600" s="5"/>
      <c r="F600" s="6"/>
    </row>
    <row r="601" spans="5:6" ht="15.75" customHeight="1">
      <c r="E601" s="5"/>
      <c r="F601" s="6"/>
    </row>
    <row r="602" spans="5:6" ht="15.75" customHeight="1">
      <c r="E602" s="5"/>
      <c r="F602" s="6"/>
    </row>
    <row r="603" spans="5:6" ht="15.75" customHeight="1">
      <c r="E603" s="5"/>
      <c r="F603" s="6"/>
    </row>
    <row r="604" spans="5:6" ht="15.75" customHeight="1">
      <c r="E604" s="5"/>
      <c r="F604" s="6"/>
    </row>
    <row r="605" spans="5:6" ht="15.75" customHeight="1">
      <c r="E605" s="5"/>
      <c r="F605" s="6"/>
    </row>
    <row r="606" spans="5:6" ht="15.75" customHeight="1">
      <c r="E606" s="5"/>
      <c r="F606" s="6"/>
    </row>
    <row r="607" spans="5:6" ht="15.75" customHeight="1">
      <c r="E607" s="5"/>
      <c r="F607" s="6"/>
    </row>
    <row r="608" spans="5:6" ht="15.75" customHeight="1">
      <c r="E608" s="5"/>
      <c r="F608" s="6"/>
    </row>
    <row r="609" spans="5:6" ht="15.75" customHeight="1">
      <c r="E609" s="5"/>
      <c r="F609" s="6"/>
    </row>
    <row r="610" spans="5:6" ht="15.75" customHeight="1">
      <c r="E610" s="5"/>
      <c r="F610" s="6"/>
    </row>
    <row r="611" spans="5:6" ht="15.75" customHeight="1">
      <c r="E611" s="5"/>
      <c r="F611" s="6"/>
    </row>
    <row r="612" spans="5:6" ht="15.75" customHeight="1">
      <c r="E612" s="5"/>
      <c r="F612" s="6"/>
    </row>
    <row r="613" spans="5:6" ht="15.75" customHeight="1">
      <c r="E613" s="5"/>
      <c r="F613" s="6"/>
    </row>
    <row r="614" spans="5:6" ht="15.75" customHeight="1">
      <c r="E614" s="5"/>
      <c r="F614" s="6"/>
    </row>
    <row r="615" spans="5:6" ht="15.75" customHeight="1">
      <c r="E615" s="5"/>
      <c r="F615" s="6"/>
    </row>
    <row r="616" spans="5:6" ht="15.75" customHeight="1">
      <c r="E616" s="5"/>
      <c r="F616" s="6"/>
    </row>
    <row r="617" spans="5:6" ht="15.75" customHeight="1">
      <c r="E617" s="5"/>
      <c r="F617" s="6"/>
    </row>
    <row r="618" spans="5:6" ht="15.75" customHeight="1">
      <c r="E618" s="5"/>
      <c r="F618" s="6"/>
    </row>
    <row r="619" spans="5:6" ht="15.75" customHeight="1">
      <c r="E619" s="5"/>
      <c r="F619" s="6"/>
    </row>
    <row r="620" spans="5:6" ht="15.75" customHeight="1">
      <c r="E620" s="5"/>
      <c r="F620" s="6"/>
    </row>
    <row r="621" spans="5:6" ht="15.75" customHeight="1">
      <c r="E621" s="5"/>
      <c r="F621" s="6"/>
    </row>
    <row r="622" spans="5:6" ht="15.75" customHeight="1">
      <c r="E622" s="5"/>
      <c r="F622" s="6"/>
    </row>
    <row r="623" spans="5:6" ht="15.75" customHeight="1">
      <c r="E623" s="5"/>
      <c r="F623" s="6"/>
    </row>
    <row r="624" spans="5:6" ht="15.75" customHeight="1">
      <c r="E624" s="5"/>
      <c r="F624" s="6"/>
    </row>
    <row r="625" spans="5:6" ht="15.75" customHeight="1">
      <c r="E625" s="5"/>
      <c r="F625" s="6"/>
    </row>
    <row r="626" spans="5:6" ht="15.75" customHeight="1">
      <c r="E626" s="5"/>
      <c r="F626" s="6"/>
    </row>
    <row r="627" spans="5:6" ht="15.75" customHeight="1">
      <c r="E627" s="5"/>
      <c r="F627" s="6"/>
    </row>
    <row r="628" spans="5:6" ht="15.75" customHeight="1">
      <c r="E628" s="5"/>
      <c r="F628" s="6"/>
    </row>
    <row r="629" spans="5:6" ht="15.75" customHeight="1">
      <c r="E629" s="5"/>
      <c r="F629" s="6"/>
    </row>
    <row r="630" spans="5:6" ht="15.75" customHeight="1">
      <c r="E630" s="5"/>
      <c r="F630" s="6"/>
    </row>
    <row r="631" spans="5:6" ht="15.75" customHeight="1">
      <c r="E631" s="5"/>
      <c r="F631" s="6"/>
    </row>
    <row r="632" spans="5:6" ht="15.75" customHeight="1">
      <c r="E632" s="5"/>
      <c r="F632" s="6"/>
    </row>
    <row r="633" spans="5:6" ht="15.75" customHeight="1">
      <c r="E633" s="5"/>
      <c r="F633" s="6"/>
    </row>
    <row r="634" spans="5:6" ht="15.75" customHeight="1">
      <c r="E634" s="5"/>
      <c r="F634" s="6"/>
    </row>
    <row r="635" spans="5:6" ht="15.75" customHeight="1">
      <c r="E635" s="5"/>
      <c r="F635" s="6"/>
    </row>
    <row r="636" spans="5:6" ht="15.75" customHeight="1">
      <c r="E636" s="5"/>
      <c r="F636" s="6"/>
    </row>
    <row r="637" spans="5:6" ht="15.75" customHeight="1">
      <c r="E637" s="5"/>
      <c r="F637" s="6"/>
    </row>
    <row r="638" spans="5:6" ht="15.75" customHeight="1">
      <c r="E638" s="5"/>
      <c r="F638" s="6"/>
    </row>
    <row r="639" spans="5:6" ht="15.75" customHeight="1">
      <c r="E639" s="5"/>
      <c r="F639" s="6"/>
    </row>
    <row r="640" spans="5:6" ht="15.75" customHeight="1">
      <c r="E640" s="5"/>
      <c r="F640" s="6"/>
    </row>
    <row r="641" spans="5:6" ht="15.75" customHeight="1">
      <c r="E641" s="5"/>
      <c r="F641" s="6"/>
    </row>
    <row r="642" spans="5:6" ht="15.75" customHeight="1">
      <c r="E642" s="5"/>
      <c r="F642" s="6"/>
    </row>
    <row r="643" spans="5:6" ht="15.75" customHeight="1">
      <c r="E643" s="5"/>
      <c r="F643" s="6"/>
    </row>
    <row r="644" spans="5:6" ht="15.75" customHeight="1">
      <c r="E644" s="5"/>
      <c r="F644" s="6"/>
    </row>
    <row r="645" spans="5:6" ht="15.75" customHeight="1">
      <c r="E645" s="5"/>
      <c r="F645" s="6"/>
    </row>
    <row r="646" spans="5:6" ht="15.75" customHeight="1">
      <c r="E646" s="5"/>
      <c r="F646" s="6"/>
    </row>
    <row r="647" spans="5:6" ht="15.75" customHeight="1">
      <c r="E647" s="5"/>
      <c r="F647" s="6"/>
    </row>
    <row r="648" spans="5:6" ht="15.75" customHeight="1">
      <c r="E648" s="5"/>
      <c r="F648" s="6"/>
    </row>
    <row r="649" spans="5:6" ht="15.75" customHeight="1">
      <c r="E649" s="5"/>
      <c r="F649" s="6"/>
    </row>
    <row r="650" spans="5:6" ht="15.75" customHeight="1">
      <c r="E650" s="5"/>
      <c r="F650" s="6"/>
    </row>
    <row r="651" spans="5:6" ht="15.75" customHeight="1">
      <c r="E651" s="5"/>
      <c r="F651" s="6"/>
    </row>
    <row r="652" spans="5:6" ht="15.75" customHeight="1">
      <c r="E652" s="5"/>
      <c r="F652" s="6"/>
    </row>
    <row r="653" spans="5:6" ht="15.75" customHeight="1">
      <c r="E653" s="5"/>
      <c r="F653" s="6"/>
    </row>
    <row r="654" spans="5:6" ht="15.75" customHeight="1">
      <c r="E654" s="5"/>
      <c r="F654" s="6"/>
    </row>
    <row r="655" spans="5:6" ht="15.75" customHeight="1">
      <c r="E655" s="5"/>
      <c r="F655" s="6"/>
    </row>
    <row r="656" spans="5:6" ht="15.75" customHeight="1">
      <c r="E656" s="5"/>
      <c r="F656" s="6"/>
    </row>
    <row r="657" spans="5:6" ht="15.75" customHeight="1">
      <c r="E657" s="5"/>
      <c r="F657" s="6"/>
    </row>
    <row r="658" spans="5:6" ht="15.75" customHeight="1">
      <c r="E658" s="5"/>
      <c r="F658" s="6"/>
    </row>
    <row r="659" spans="5:6" ht="15.75" customHeight="1">
      <c r="E659" s="5"/>
      <c r="F659" s="6"/>
    </row>
    <row r="660" spans="5:6" ht="15.75" customHeight="1">
      <c r="E660" s="5"/>
      <c r="F660" s="6"/>
    </row>
    <row r="661" spans="5:6" ht="15.75" customHeight="1">
      <c r="E661" s="5"/>
      <c r="F661" s="6"/>
    </row>
    <row r="662" spans="5:6" ht="15.75" customHeight="1">
      <c r="E662" s="5"/>
      <c r="F662" s="6"/>
    </row>
    <row r="663" spans="5:6" ht="15.75" customHeight="1">
      <c r="E663" s="5"/>
      <c r="F663" s="6"/>
    </row>
    <row r="664" spans="5:6" ht="15.75" customHeight="1">
      <c r="E664" s="5"/>
      <c r="F664" s="6"/>
    </row>
    <row r="665" spans="5:6" ht="15.75" customHeight="1">
      <c r="E665" s="5"/>
      <c r="F665" s="6"/>
    </row>
    <row r="666" spans="5:6" ht="15.75" customHeight="1">
      <c r="E666" s="5"/>
      <c r="F666" s="6"/>
    </row>
    <row r="667" spans="5:6" ht="15.75" customHeight="1">
      <c r="E667" s="5"/>
      <c r="F667" s="6"/>
    </row>
    <row r="668" spans="5:6" ht="15.75" customHeight="1">
      <c r="E668" s="5"/>
      <c r="F668" s="6"/>
    </row>
    <row r="669" spans="5:6" ht="15.75" customHeight="1">
      <c r="E669" s="5"/>
      <c r="F669" s="6"/>
    </row>
    <row r="670" spans="5:6" ht="15.75" customHeight="1">
      <c r="E670" s="5"/>
      <c r="F670" s="6"/>
    </row>
    <row r="671" spans="5:6" ht="15.75" customHeight="1">
      <c r="E671" s="5"/>
      <c r="F671" s="6"/>
    </row>
    <row r="672" spans="5:6" ht="15.75" customHeight="1">
      <c r="E672" s="5"/>
      <c r="F672" s="6"/>
    </row>
    <row r="673" spans="5:6" ht="15.75" customHeight="1">
      <c r="E673" s="5"/>
      <c r="F673" s="6"/>
    </row>
    <row r="674" spans="5:6" ht="15.75" customHeight="1">
      <c r="E674" s="5"/>
      <c r="F674" s="6"/>
    </row>
    <row r="675" spans="5:6" ht="15.75" customHeight="1">
      <c r="E675" s="5"/>
      <c r="F675" s="6"/>
    </row>
    <row r="676" spans="5:6" ht="15.75" customHeight="1">
      <c r="E676" s="5"/>
      <c r="F676" s="6"/>
    </row>
    <row r="677" spans="5:6" ht="15.75" customHeight="1">
      <c r="E677" s="5"/>
      <c r="F677" s="6"/>
    </row>
    <row r="678" spans="5:6" ht="15.75" customHeight="1">
      <c r="E678" s="5"/>
      <c r="F678" s="6"/>
    </row>
    <row r="679" spans="5:6" ht="15.75" customHeight="1">
      <c r="E679" s="5"/>
      <c r="F679" s="6"/>
    </row>
    <row r="680" spans="5:6" ht="15.75" customHeight="1">
      <c r="E680" s="5"/>
      <c r="F680" s="6"/>
    </row>
    <row r="681" spans="5:6" ht="15.75" customHeight="1">
      <c r="E681" s="5"/>
      <c r="F681" s="6"/>
    </row>
    <row r="682" spans="5:6" ht="15.75" customHeight="1">
      <c r="E682" s="5"/>
      <c r="F682" s="6"/>
    </row>
    <row r="683" spans="5:6" ht="15.75" customHeight="1">
      <c r="E683" s="5"/>
      <c r="F683" s="6"/>
    </row>
    <row r="684" spans="5:6" ht="15.75" customHeight="1">
      <c r="E684" s="5"/>
      <c r="F684" s="6"/>
    </row>
    <row r="685" spans="5:6" ht="15.75" customHeight="1">
      <c r="E685" s="5"/>
      <c r="F685" s="6"/>
    </row>
    <row r="686" spans="5:6" ht="15.75" customHeight="1">
      <c r="E686" s="5"/>
      <c r="F686" s="6"/>
    </row>
    <row r="687" spans="5:6" ht="15.75" customHeight="1">
      <c r="E687" s="5"/>
      <c r="F687" s="6"/>
    </row>
    <row r="688" spans="5:6" ht="15.75" customHeight="1">
      <c r="E688" s="5"/>
      <c r="F688" s="6"/>
    </row>
    <row r="689" spans="5:6" ht="15.75" customHeight="1">
      <c r="E689" s="5"/>
      <c r="F689" s="6"/>
    </row>
    <row r="690" spans="5:6" ht="15.75" customHeight="1">
      <c r="E690" s="5"/>
      <c r="F690" s="6"/>
    </row>
    <row r="691" spans="5:6" ht="15.75" customHeight="1">
      <c r="E691" s="5"/>
      <c r="F691" s="6"/>
    </row>
    <row r="692" spans="5:6" ht="15.75" customHeight="1">
      <c r="E692" s="5"/>
      <c r="F692" s="6"/>
    </row>
    <row r="693" spans="5:6" ht="15.75" customHeight="1">
      <c r="E693" s="5"/>
      <c r="F693" s="6"/>
    </row>
    <row r="694" spans="5:6" ht="15.75" customHeight="1">
      <c r="E694" s="5"/>
      <c r="F694" s="6"/>
    </row>
    <row r="695" spans="5:6" ht="15.75" customHeight="1">
      <c r="E695" s="5"/>
      <c r="F695" s="6"/>
    </row>
    <row r="696" spans="5:6" ht="15.75" customHeight="1">
      <c r="E696" s="5"/>
      <c r="F696" s="6"/>
    </row>
    <row r="697" spans="5:6" ht="15.75" customHeight="1">
      <c r="E697" s="5"/>
      <c r="F697" s="6"/>
    </row>
    <row r="698" spans="5:6" ht="15.75" customHeight="1">
      <c r="E698" s="5"/>
      <c r="F698" s="6"/>
    </row>
    <row r="699" spans="5:6" ht="15.75" customHeight="1">
      <c r="E699" s="5"/>
      <c r="F699" s="6"/>
    </row>
    <row r="700" spans="5:6" ht="15.75" customHeight="1">
      <c r="E700" s="5"/>
      <c r="F700" s="6"/>
    </row>
    <row r="701" spans="5:6" ht="15.75" customHeight="1">
      <c r="E701" s="5"/>
      <c r="F701" s="6"/>
    </row>
    <row r="702" spans="5:6" ht="15.75" customHeight="1">
      <c r="E702" s="5"/>
      <c r="F702" s="6"/>
    </row>
    <row r="703" spans="5:6" ht="15.75" customHeight="1">
      <c r="E703" s="5"/>
      <c r="F703" s="6"/>
    </row>
    <row r="704" spans="5:6" ht="15.75" customHeight="1">
      <c r="E704" s="5"/>
      <c r="F704" s="6"/>
    </row>
    <row r="705" spans="5:6" ht="15.75" customHeight="1">
      <c r="E705" s="5"/>
      <c r="F705" s="6"/>
    </row>
    <row r="706" spans="5:6" ht="15.75" customHeight="1">
      <c r="E706" s="5"/>
      <c r="F706" s="6"/>
    </row>
    <row r="707" spans="5:6" ht="15.75" customHeight="1">
      <c r="E707" s="5"/>
      <c r="F707" s="6"/>
    </row>
    <row r="708" spans="5:6" ht="15.75" customHeight="1">
      <c r="E708" s="5"/>
      <c r="F708" s="6"/>
    </row>
    <row r="709" spans="5:6" ht="15.75" customHeight="1">
      <c r="E709" s="5"/>
      <c r="F709" s="6"/>
    </row>
    <row r="710" spans="5:6" ht="15.75" customHeight="1">
      <c r="E710" s="5"/>
      <c r="F710" s="6"/>
    </row>
    <row r="711" spans="5:6" ht="15.75" customHeight="1">
      <c r="E711" s="5"/>
      <c r="F711" s="6"/>
    </row>
    <row r="712" spans="5:6" ht="15.75" customHeight="1">
      <c r="E712" s="5"/>
      <c r="F712" s="6"/>
    </row>
    <row r="713" spans="5:6" ht="15.75" customHeight="1">
      <c r="E713" s="5"/>
      <c r="F713" s="6"/>
    </row>
    <row r="714" spans="5:6" ht="15.75" customHeight="1">
      <c r="E714" s="5"/>
      <c r="F714" s="6"/>
    </row>
    <row r="715" spans="5:6" ht="15.75" customHeight="1">
      <c r="E715" s="5"/>
      <c r="F715" s="6"/>
    </row>
    <row r="716" spans="5:6" ht="15.75" customHeight="1">
      <c r="E716" s="5"/>
      <c r="F716" s="6"/>
    </row>
    <row r="717" spans="5:6" ht="15.75" customHeight="1">
      <c r="E717" s="5"/>
      <c r="F717" s="6"/>
    </row>
    <row r="718" spans="5:6" ht="15.75" customHeight="1">
      <c r="E718" s="5"/>
      <c r="F718" s="6"/>
    </row>
    <row r="719" spans="5:6" ht="15.75" customHeight="1">
      <c r="E719" s="5"/>
      <c r="F719" s="6"/>
    </row>
    <row r="720" spans="5:6" ht="15.75" customHeight="1">
      <c r="E720" s="5"/>
      <c r="F720" s="6"/>
    </row>
    <row r="721" spans="5:6" ht="15.75" customHeight="1">
      <c r="E721" s="5"/>
      <c r="F721" s="6"/>
    </row>
    <row r="722" spans="5:6" ht="15.75" customHeight="1">
      <c r="E722" s="5"/>
      <c r="F722" s="6"/>
    </row>
    <row r="723" spans="5:6" ht="15.75" customHeight="1">
      <c r="E723" s="5"/>
      <c r="F723" s="6"/>
    </row>
    <row r="724" spans="5:6" ht="15.75" customHeight="1">
      <c r="E724" s="5"/>
      <c r="F724" s="6"/>
    </row>
    <row r="725" spans="5:6" ht="15.75" customHeight="1">
      <c r="E725" s="5"/>
      <c r="F725" s="6"/>
    </row>
    <row r="726" spans="5:6" ht="15.75" customHeight="1">
      <c r="E726" s="5"/>
      <c r="F726" s="6"/>
    </row>
    <row r="727" spans="5:6" ht="15.75" customHeight="1">
      <c r="E727" s="5"/>
      <c r="F727" s="6"/>
    </row>
    <row r="728" spans="5:6" ht="15.75" customHeight="1">
      <c r="E728" s="5"/>
      <c r="F728" s="6"/>
    </row>
    <row r="729" spans="5:6" ht="15.75" customHeight="1">
      <c r="E729" s="5"/>
      <c r="F729" s="6"/>
    </row>
    <row r="730" spans="5:6" ht="15.75" customHeight="1">
      <c r="E730" s="5"/>
      <c r="F730" s="6"/>
    </row>
    <row r="731" spans="5:6" ht="15.75" customHeight="1">
      <c r="E731" s="5"/>
      <c r="F731" s="6"/>
    </row>
    <row r="732" spans="5:6" ht="15.75" customHeight="1">
      <c r="E732" s="5"/>
      <c r="F732" s="6"/>
    </row>
    <row r="733" spans="5:6" ht="15.75" customHeight="1">
      <c r="E733" s="5"/>
      <c r="F733" s="6"/>
    </row>
    <row r="734" spans="5:6" ht="15.75" customHeight="1">
      <c r="E734" s="5"/>
      <c r="F734" s="6"/>
    </row>
    <row r="735" spans="5:6" ht="15.75" customHeight="1">
      <c r="E735" s="5"/>
      <c r="F735" s="6"/>
    </row>
    <row r="736" spans="5:6" ht="15.75" customHeight="1">
      <c r="E736" s="5"/>
      <c r="F736" s="6"/>
    </row>
    <row r="737" spans="5:6" ht="15.75" customHeight="1">
      <c r="E737" s="5"/>
      <c r="F737" s="6"/>
    </row>
    <row r="738" spans="5:6" ht="15.75" customHeight="1">
      <c r="E738" s="5"/>
      <c r="F738" s="6"/>
    </row>
    <row r="739" spans="5:6" ht="15.75" customHeight="1">
      <c r="E739" s="5"/>
      <c r="F739" s="6"/>
    </row>
    <row r="740" spans="5:6" ht="15.75" customHeight="1">
      <c r="E740" s="5"/>
      <c r="F740" s="6"/>
    </row>
    <row r="741" spans="5:6" ht="15.75" customHeight="1">
      <c r="E741" s="5"/>
      <c r="F741" s="6"/>
    </row>
    <row r="742" spans="5:6" ht="15.75" customHeight="1">
      <c r="E742" s="5"/>
      <c r="F742" s="6"/>
    </row>
    <row r="743" spans="5:6" ht="15.75" customHeight="1">
      <c r="E743" s="5"/>
      <c r="F743" s="6"/>
    </row>
    <row r="744" spans="5:6" ht="15.75" customHeight="1">
      <c r="E744" s="5"/>
      <c r="F744" s="6"/>
    </row>
    <row r="745" spans="5:6" ht="15.75" customHeight="1">
      <c r="E745" s="5"/>
      <c r="F745" s="6"/>
    </row>
    <row r="746" spans="5:6" ht="15.75" customHeight="1">
      <c r="E746" s="5"/>
      <c r="F746" s="6"/>
    </row>
    <row r="747" spans="5:6" ht="15.75" customHeight="1">
      <c r="E747" s="5"/>
      <c r="F747" s="6"/>
    </row>
    <row r="748" spans="5:6" ht="15.75" customHeight="1">
      <c r="E748" s="5"/>
      <c r="F748" s="6"/>
    </row>
    <row r="749" spans="5:6" ht="15.75" customHeight="1">
      <c r="E749" s="5"/>
      <c r="F749" s="6"/>
    </row>
    <row r="750" spans="5:6" ht="15.75" customHeight="1">
      <c r="E750" s="5"/>
      <c r="F750" s="6"/>
    </row>
    <row r="751" spans="5:6" ht="15.75" customHeight="1">
      <c r="E751" s="5"/>
      <c r="F751" s="6"/>
    </row>
    <row r="752" spans="5:6" ht="15.75" customHeight="1">
      <c r="E752" s="5"/>
      <c r="F752" s="6"/>
    </row>
    <row r="753" spans="5:6" ht="15.75" customHeight="1">
      <c r="E753" s="5"/>
      <c r="F753" s="6"/>
    </row>
    <row r="754" spans="5:6" ht="15.75" customHeight="1">
      <c r="E754" s="5"/>
      <c r="F754" s="6"/>
    </row>
    <row r="755" spans="5:6" ht="15.75" customHeight="1">
      <c r="E755" s="5"/>
      <c r="F755" s="6"/>
    </row>
    <row r="756" spans="5:6" ht="15.75" customHeight="1">
      <c r="E756" s="5"/>
      <c r="F756" s="6"/>
    </row>
    <row r="757" spans="5:6" ht="15.75" customHeight="1">
      <c r="E757" s="5"/>
      <c r="F757" s="6"/>
    </row>
    <row r="758" spans="5:6" ht="15.75" customHeight="1">
      <c r="E758" s="5"/>
      <c r="F758" s="6"/>
    </row>
    <row r="759" spans="5:6" ht="15.75" customHeight="1">
      <c r="E759" s="5"/>
      <c r="F759" s="6"/>
    </row>
    <row r="760" spans="5:6" ht="15.75" customHeight="1">
      <c r="E760" s="5"/>
      <c r="F760" s="6"/>
    </row>
    <row r="761" spans="5:6" ht="15.75" customHeight="1">
      <c r="E761" s="5"/>
      <c r="F761" s="6"/>
    </row>
    <row r="762" spans="5:6" ht="15.75" customHeight="1">
      <c r="E762" s="5"/>
      <c r="F762" s="6"/>
    </row>
    <row r="763" spans="5:6" ht="15.75" customHeight="1">
      <c r="E763" s="5"/>
      <c r="F763" s="6"/>
    </row>
    <row r="764" spans="5:6" ht="15.75" customHeight="1">
      <c r="E764" s="5"/>
      <c r="F764" s="6"/>
    </row>
    <row r="765" spans="5:6" ht="15.75" customHeight="1">
      <c r="E765" s="5"/>
      <c r="F765" s="6"/>
    </row>
    <row r="766" spans="5:6" ht="15.75" customHeight="1">
      <c r="E766" s="5"/>
      <c r="F766" s="6"/>
    </row>
    <row r="767" spans="5:6" ht="15.75" customHeight="1">
      <c r="E767" s="5"/>
      <c r="F767" s="6"/>
    </row>
    <row r="768" spans="5:6" ht="15.75" customHeight="1">
      <c r="E768" s="5"/>
      <c r="F768" s="6"/>
    </row>
    <row r="769" spans="5:6" ht="15.75" customHeight="1">
      <c r="E769" s="5"/>
      <c r="F769" s="6"/>
    </row>
    <row r="770" spans="5:6" ht="15.75" customHeight="1">
      <c r="E770" s="5"/>
      <c r="F770" s="6"/>
    </row>
    <row r="771" spans="5:6" ht="15.75" customHeight="1">
      <c r="E771" s="5"/>
      <c r="F771" s="6"/>
    </row>
    <row r="772" spans="5:6" ht="15.75" customHeight="1">
      <c r="E772" s="5"/>
      <c r="F772" s="6"/>
    </row>
    <row r="773" spans="5:6" ht="15.75" customHeight="1">
      <c r="E773" s="5"/>
      <c r="F773" s="6"/>
    </row>
    <row r="774" spans="5:6" ht="15.75" customHeight="1">
      <c r="E774" s="5"/>
      <c r="F774" s="6"/>
    </row>
    <row r="775" spans="5:6" ht="15.75" customHeight="1">
      <c r="E775" s="5"/>
      <c r="F775" s="6"/>
    </row>
    <row r="776" spans="5:6" ht="15.75" customHeight="1">
      <c r="E776" s="5"/>
      <c r="F776" s="6"/>
    </row>
    <row r="777" spans="5:6" ht="15.75" customHeight="1">
      <c r="E777" s="5"/>
      <c r="F777" s="6"/>
    </row>
    <row r="778" spans="5:6" ht="15.75" customHeight="1">
      <c r="E778" s="5"/>
      <c r="F778" s="6"/>
    </row>
    <row r="779" spans="5:6" ht="15.75" customHeight="1">
      <c r="E779" s="5"/>
      <c r="F779" s="6"/>
    </row>
    <row r="780" spans="5:6" ht="15.75" customHeight="1">
      <c r="E780" s="5"/>
      <c r="F780" s="6"/>
    </row>
    <row r="781" spans="5:6" ht="15.75" customHeight="1">
      <c r="E781" s="5"/>
      <c r="F781" s="6"/>
    </row>
    <row r="782" spans="5:6" ht="15.75" customHeight="1">
      <c r="E782" s="5"/>
      <c r="F782" s="6"/>
    </row>
    <row r="783" spans="5:6" ht="15.75" customHeight="1">
      <c r="E783" s="5"/>
      <c r="F783" s="6"/>
    </row>
    <row r="784" spans="5:6" ht="15.75" customHeight="1">
      <c r="E784" s="5"/>
      <c r="F784" s="6"/>
    </row>
    <row r="785" spans="5:6" ht="15.75" customHeight="1">
      <c r="E785" s="5"/>
      <c r="F785" s="6"/>
    </row>
    <row r="786" spans="5:6" ht="15.75" customHeight="1">
      <c r="E786" s="5"/>
      <c r="F786" s="6"/>
    </row>
    <row r="787" spans="5:6" ht="15.75" customHeight="1">
      <c r="E787" s="5"/>
      <c r="F787" s="6"/>
    </row>
    <row r="788" spans="5:6" ht="15.75" customHeight="1">
      <c r="E788" s="5"/>
      <c r="F788" s="6"/>
    </row>
    <row r="789" spans="5:6" ht="15.75" customHeight="1">
      <c r="E789" s="5"/>
      <c r="F789" s="6"/>
    </row>
    <row r="790" spans="5:6" ht="15.75" customHeight="1">
      <c r="E790" s="5"/>
      <c r="F790" s="6"/>
    </row>
    <row r="791" spans="5:6" ht="15.75" customHeight="1">
      <c r="E791" s="5"/>
      <c r="F791" s="6"/>
    </row>
    <row r="792" spans="5:6" ht="15.75" customHeight="1">
      <c r="E792" s="5"/>
      <c r="F792" s="6"/>
    </row>
    <row r="793" spans="5:6" ht="15.75" customHeight="1">
      <c r="E793" s="5"/>
      <c r="F793" s="6"/>
    </row>
    <row r="794" spans="5:6" ht="15.75" customHeight="1">
      <c r="E794" s="5"/>
      <c r="F794" s="6"/>
    </row>
    <row r="795" spans="5:6" ht="15.75" customHeight="1">
      <c r="E795" s="5"/>
      <c r="F795" s="6"/>
    </row>
    <row r="796" spans="5:6" ht="15.75" customHeight="1">
      <c r="E796" s="5"/>
      <c r="F796" s="6"/>
    </row>
    <row r="797" spans="5:6" ht="15.75" customHeight="1">
      <c r="E797" s="5"/>
      <c r="F797" s="6"/>
    </row>
    <row r="798" spans="5:6" ht="15.75" customHeight="1">
      <c r="E798" s="5"/>
      <c r="F798" s="6"/>
    </row>
    <row r="799" spans="5:6" ht="15.75" customHeight="1">
      <c r="E799" s="5"/>
      <c r="F799" s="6"/>
    </row>
    <row r="800" spans="5:6" ht="15.75" customHeight="1">
      <c r="E800" s="5"/>
      <c r="F800" s="6"/>
    </row>
    <row r="801" spans="5:6" ht="15.75" customHeight="1">
      <c r="E801" s="5"/>
      <c r="F801" s="6"/>
    </row>
    <row r="802" spans="5:6" ht="15.75" customHeight="1">
      <c r="E802" s="5"/>
      <c r="F802" s="6"/>
    </row>
    <row r="803" spans="5:6" ht="15.75" customHeight="1">
      <c r="E803" s="5"/>
      <c r="F803" s="6"/>
    </row>
    <row r="804" spans="5:6" ht="15.75" customHeight="1">
      <c r="E804" s="5"/>
      <c r="F804" s="6"/>
    </row>
    <row r="805" spans="5:6" ht="15.75" customHeight="1">
      <c r="E805" s="5"/>
      <c r="F805" s="6"/>
    </row>
    <row r="806" spans="5:6" ht="15.75" customHeight="1">
      <c r="E806" s="5"/>
      <c r="F806" s="6"/>
    </row>
    <row r="807" spans="5:6" ht="15.75" customHeight="1">
      <c r="E807" s="5"/>
      <c r="F807" s="6"/>
    </row>
    <row r="808" spans="5:6" ht="15.75" customHeight="1">
      <c r="E808" s="5"/>
      <c r="F808" s="6"/>
    </row>
    <row r="809" spans="5:6" ht="15.75" customHeight="1">
      <c r="E809" s="5"/>
      <c r="F809" s="6"/>
    </row>
    <row r="810" spans="5:6" ht="15.75" customHeight="1">
      <c r="E810" s="5"/>
      <c r="F810" s="6"/>
    </row>
    <row r="811" spans="5:6" ht="15.75" customHeight="1">
      <c r="E811" s="5"/>
      <c r="F811" s="6"/>
    </row>
    <row r="812" spans="5:6" ht="15.75" customHeight="1">
      <c r="E812" s="5"/>
      <c r="F812" s="6"/>
    </row>
    <row r="813" spans="5:6" ht="15.75" customHeight="1">
      <c r="E813" s="5"/>
      <c r="F813" s="6"/>
    </row>
    <row r="814" spans="5:6" ht="15.75" customHeight="1">
      <c r="E814" s="5"/>
      <c r="F814" s="6"/>
    </row>
    <row r="815" spans="5:6" ht="15.75" customHeight="1">
      <c r="E815" s="5"/>
      <c r="F815" s="6"/>
    </row>
    <row r="816" spans="5:6" ht="15.75" customHeight="1">
      <c r="E816" s="5"/>
      <c r="F816" s="6"/>
    </row>
    <row r="817" spans="5:6" ht="15.75" customHeight="1">
      <c r="E817" s="5"/>
      <c r="F817" s="6"/>
    </row>
    <row r="818" spans="5:6" ht="15.75" customHeight="1">
      <c r="E818" s="5"/>
      <c r="F818" s="6"/>
    </row>
    <row r="819" spans="5:6" ht="15.75" customHeight="1">
      <c r="E819" s="5"/>
      <c r="F819" s="6"/>
    </row>
    <row r="820" spans="5:6" ht="15.75" customHeight="1">
      <c r="E820" s="5"/>
      <c r="F820" s="6"/>
    </row>
    <row r="821" spans="5:6" ht="15.75" customHeight="1">
      <c r="E821" s="5"/>
      <c r="F821" s="6"/>
    </row>
    <row r="822" spans="5:6" ht="15.75" customHeight="1">
      <c r="E822" s="5"/>
      <c r="F822" s="6"/>
    </row>
    <row r="823" spans="5:6" ht="15.75" customHeight="1">
      <c r="E823" s="5"/>
      <c r="F823" s="6"/>
    </row>
    <row r="824" spans="5:6" ht="15.75" customHeight="1">
      <c r="E824" s="5"/>
      <c r="F824" s="6"/>
    </row>
    <row r="825" spans="5:6" ht="15.75" customHeight="1">
      <c r="E825" s="5"/>
      <c r="F825" s="6"/>
    </row>
    <row r="826" spans="5:6" ht="15.75" customHeight="1">
      <c r="E826" s="5"/>
      <c r="F826" s="6"/>
    </row>
    <row r="827" spans="5:6" ht="15.75" customHeight="1">
      <c r="E827" s="5"/>
      <c r="F827" s="6"/>
    </row>
    <row r="828" spans="5:6" ht="15.75" customHeight="1">
      <c r="E828" s="5"/>
      <c r="F828" s="6"/>
    </row>
    <row r="829" spans="5:6" ht="15.75" customHeight="1">
      <c r="E829" s="5"/>
      <c r="F829" s="6"/>
    </row>
    <row r="830" spans="5:6" ht="15.75" customHeight="1">
      <c r="E830" s="5"/>
      <c r="F830" s="6"/>
    </row>
    <row r="831" spans="5:6" ht="15.75" customHeight="1">
      <c r="E831" s="5"/>
      <c r="F831" s="6"/>
    </row>
    <row r="832" spans="5:6" ht="15.75" customHeight="1">
      <c r="E832" s="5"/>
      <c r="F832" s="6"/>
    </row>
    <row r="833" spans="5:6" ht="15.75" customHeight="1">
      <c r="E833" s="5"/>
      <c r="F833" s="6"/>
    </row>
    <row r="834" spans="5:6" ht="15.75" customHeight="1">
      <c r="E834" s="5"/>
      <c r="F834" s="6"/>
    </row>
    <row r="835" spans="5:6" ht="15.75" customHeight="1">
      <c r="E835" s="5"/>
      <c r="F835" s="6"/>
    </row>
    <row r="836" spans="5:6" ht="15.75" customHeight="1">
      <c r="E836" s="5"/>
      <c r="F836" s="6"/>
    </row>
    <row r="837" spans="5:6" ht="15.75" customHeight="1">
      <c r="E837" s="5"/>
      <c r="F837" s="6"/>
    </row>
    <row r="838" spans="5:6" ht="15.75" customHeight="1">
      <c r="E838" s="5"/>
      <c r="F838" s="6"/>
    </row>
    <row r="839" spans="5:6" ht="15.75" customHeight="1">
      <c r="E839" s="5"/>
      <c r="F839" s="6"/>
    </row>
    <row r="840" spans="5:6" ht="15.75" customHeight="1">
      <c r="E840" s="5"/>
      <c r="F840" s="6"/>
    </row>
    <row r="841" spans="5:6" ht="15.75" customHeight="1">
      <c r="E841" s="5"/>
      <c r="F841" s="6"/>
    </row>
    <row r="842" spans="5:6" ht="15.75" customHeight="1">
      <c r="E842" s="5"/>
      <c r="F842" s="6"/>
    </row>
    <row r="843" spans="5:6" ht="15.75" customHeight="1">
      <c r="E843" s="5"/>
      <c r="F843" s="6"/>
    </row>
    <row r="844" spans="5:6" ht="15.75" customHeight="1">
      <c r="E844" s="5"/>
      <c r="F844" s="6"/>
    </row>
    <row r="845" spans="5:6" ht="15.75" customHeight="1">
      <c r="E845" s="5"/>
      <c r="F845" s="6"/>
    </row>
    <row r="846" spans="5:6" ht="15.75" customHeight="1">
      <c r="E846" s="5"/>
      <c r="F846" s="6"/>
    </row>
    <row r="847" spans="5:6" ht="15.75" customHeight="1">
      <c r="E847" s="5"/>
      <c r="F847" s="6"/>
    </row>
    <row r="848" spans="5:6" ht="15.75" customHeight="1">
      <c r="E848" s="5"/>
      <c r="F848" s="6"/>
    </row>
    <row r="849" spans="5:6" ht="15.75" customHeight="1">
      <c r="E849" s="5"/>
      <c r="F849" s="6"/>
    </row>
    <row r="850" spans="5:6" ht="15.75" customHeight="1">
      <c r="E850" s="5"/>
      <c r="F850" s="6"/>
    </row>
    <row r="851" spans="5:6" ht="15.75" customHeight="1">
      <c r="E851" s="5"/>
      <c r="F851" s="6"/>
    </row>
    <row r="852" spans="5:6" ht="15.75" customHeight="1">
      <c r="E852" s="5"/>
      <c r="F852" s="6"/>
    </row>
    <row r="853" spans="5:6" ht="15.75" customHeight="1">
      <c r="E853" s="5"/>
      <c r="F853" s="6"/>
    </row>
    <row r="854" spans="5:6" ht="15.75" customHeight="1">
      <c r="E854" s="5"/>
      <c r="F854" s="6"/>
    </row>
    <row r="855" spans="5:6" ht="15.75" customHeight="1">
      <c r="E855" s="5"/>
      <c r="F855" s="6"/>
    </row>
    <row r="856" spans="5:6" ht="15.75" customHeight="1">
      <c r="E856" s="5"/>
      <c r="F856" s="6"/>
    </row>
    <row r="857" spans="5:6" ht="15.75" customHeight="1">
      <c r="E857" s="5"/>
      <c r="F857" s="6"/>
    </row>
    <row r="858" spans="5:6" ht="15.75" customHeight="1">
      <c r="E858" s="5"/>
      <c r="F858" s="6"/>
    </row>
    <row r="859" spans="5:6" ht="15.75" customHeight="1">
      <c r="E859" s="5"/>
      <c r="F859" s="6"/>
    </row>
    <row r="860" spans="5:6" ht="15.75" customHeight="1">
      <c r="E860" s="5"/>
      <c r="F860" s="6"/>
    </row>
    <row r="861" spans="5:6" ht="15.75" customHeight="1">
      <c r="E861" s="5"/>
      <c r="F861" s="6"/>
    </row>
    <row r="862" spans="5:6" ht="15.75" customHeight="1">
      <c r="E862" s="5"/>
      <c r="F862" s="6"/>
    </row>
    <row r="863" spans="5:6" ht="15.75" customHeight="1">
      <c r="E863" s="5"/>
      <c r="F863" s="6"/>
    </row>
    <row r="864" spans="5:6" ht="15.75" customHeight="1">
      <c r="E864" s="5"/>
      <c r="F864" s="6"/>
    </row>
    <row r="865" spans="5:6" ht="15.75" customHeight="1">
      <c r="E865" s="5"/>
      <c r="F865" s="6"/>
    </row>
    <row r="866" spans="5:6" ht="15.75" customHeight="1">
      <c r="E866" s="5"/>
      <c r="F866" s="6"/>
    </row>
    <row r="867" spans="5:6" ht="15.75" customHeight="1">
      <c r="E867" s="5"/>
      <c r="F867" s="6"/>
    </row>
    <row r="868" spans="5:6" ht="15.75" customHeight="1">
      <c r="E868" s="5"/>
      <c r="F868" s="6"/>
    </row>
    <row r="869" spans="5:6" ht="15.75" customHeight="1">
      <c r="E869" s="5"/>
      <c r="F869" s="6"/>
    </row>
    <row r="870" spans="5:6" ht="15.75" customHeight="1">
      <c r="E870" s="5"/>
      <c r="F870" s="6"/>
    </row>
    <row r="871" spans="5:6" ht="15.75" customHeight="1">
      <c r="E871" s="5"/>
      <c r="F871" s="6"/>
    </row>
    <row r="872" spans="5:6" ht="15.75" customHeight="1">
      <c r="E872" s="5"/>
      <c r="F872" s="6"/>
    </row>
    <row r="873" spans="5:6" ht="15.75" customHeight="1">
      <c r="E873" s="5"/>
      <c r="F873" s="6"/>
    </row>
    <row r="874" spans="5:6" ht="15.75" customHeight="1">
      <c r="E874" s="5"/>
      <c r="F874" s="6"/>
    </row>
    <row r="875" spans="5:6" ht="15.75" customHeight="1">
      <c r="E875" s="5"/>
      <c r="F875" s="6"/>
    </row>
    <row r="876" spans="5:6" ht="15.75" customHeight="1">
      <c r="E876" s="5"/>
      <c r="F876" s="6"/>
    </row>
    <row r="877" spans="5:6" ht="15.75" customHeight="1">
      <c r="E877" s="5"/>
      <c r="F877" s="6"/>
    </row>
    <row r="878" spans="5:6" ht="15.75" customHeight="1">
      <c r="E878" s="5"/>
      <c r="F878" s="6"/>
    </row>
    <row r="879" spans="5:6" ht="15.75" customHeight="1">
      <c r="E879" s="5"/>
      <c r="F879" s="6"/>
    </row>
    <row r="880" spans="5:6" ht="15.75" customHeight="1">
      <c r="E880" s="5"/>
      <c r="F880" s="6"/>
    </row>
    <row r="881" spans="5:6" ht="15.75" customHeight="1">
      <c r="E881" s="5"/>
      <c r="F881" s="6"/>
    </row>
    <row r="882" spans="5:6" ht="15.75" customHeight="1">
      <c r="E882" s="5"/>
      <c r="F882" s="6"/>
    </row>
    <row r="883" spans="5:6" ht="15.75" customHeight="1">
      <c r="E883" s="5"/>
      <c r="F883" s="6"/>
    </row>
    <row r="884" spans="5:6" ht="15.75" customHeight="1">
      <c r="E884" s="5"/>
      <c r="F884" s="6"/>
    </row>
    <row r="885" spans="5:6" ht="15.75" customHeight="1">
      <c r="E885" s="5"/>
      <c r="F885" s="6"/>
    </row>
    <row r="886" spans="5:6" ht="15.75" customHeight="1">
      <c r="E886" s="5"/>
      <c r="F886" s="6"/>
    </row>
    <row r="887" spans="5:6" ht="15.75" customHeight="1">
      <c r="E887" s="5"/>
      <c r="F887" s="6"/>
    </row>
    <row r="888" spans="5:6" ht="15.75" customHeight="1">
      <c r="E888" s="5"/>
      <c r="F888" s="6"/>
    </row>
    <row r="889" spans="5:6" ht="15.75" customHeight="1">
      <c r="E889" s="5"/>
      <c r="F889" s="6"/>
    </row>
    <row r="890" spans="5:6" ht="15.75" customHeight="1">
      <c r="E890" s="5"/>
      <c r="F890" s="6"/>
    </row>
    <row r="891" spans="5:6" ht="15.75" customHeight="1">
      <c r="E891" s="5"/>
      <c r="F891" s="6"/>
    </row>
    <row r="892" spans="5:6" ht="15.75" customHeight="1">
      <c r="E892" s="5"/>
      <c r="F892" s="6"/>
    </row>
    <row r="893" spans="5:6" ht="15.75" customHeight="1">
      <c r="E893" s="5"/>
      <c r="F893" s="6"/>
    </row>
    <row r="894" spans="5:6" ht="15.75" customHeight="1">
      <c r="E894" s="5"/>
      <c r="F894" s="6"/>
    </row>
    <row r="895" spans="5:6" ht="15.75" customHeight="1">
      <c r="E895" s="5"/>
      <c r="F895" s="6"/>
    </row>
    <row r="896" spans="5:6" ht="15.75" customHeight="1">
      <c r="E896" s="5"/>
      <c r="F896" s="6"/>
    </row>
    <row r="897" spans="5:6" ht="15.75" customHeight="1">
      <c r="E897" s="5"/>
      <c r="F897" s="6"/>
    </row>
    <row r="898" spans="5:6" ht="15.75" customHeight="1">
      <c r="E898" s="5"/>
      <c r="F898" s="6"/>
    </row>
    <row r="899" spans="5:6" ht="15.75" customHeight="1">
      <c r="E899" s="5"/>
      <c r="F899" s="6"/>
    </row>
    <row r="900" spans="5:6" ht="15.75" customHeight="1">
      <c r="E900" s="5"/>
      <c r="F900" s="6"/>
    </row>
    <row r="901" spans="5:6" ht="15.75" customHeight="1">
      <c r="E901" s="5"/>
      <c r="F901" s="6"/>
    </row>
    <row r="902" spans="5:6" ht="15.75" customHeight="1">
      <c r="E902" s="5"/>
      <c r="F902" s="6"/>
    </row>
    <row r="903" spans="5:6" ht="15.75" customHeight="1">
      <c r="E903" s="5"/>
      <c r="F903" s="6"/>
    </row>
    <row r="904" spans="5:6" ht="15.75" customHeight="1">
      <c r="E904" s="5"/>
      <c r="F904" s="6"/>
    </row>
    <row r="905" spans="5:6" ht="15.75" customHeight="1">
      <c r="E905" s="5"/>
      <c r="F905" s="6"/>
    </row>
    <row r="906" spans="5:6" ht="15.75" customHeight="1">
      <c r="E906" s="5"/>
      <c r="F906" s="6"/>
    </row>
    <row r="907" spans="5:6" ht="15.75" customHeight="1">
      <c r="E907" s="5"/>
      <c r="F907" s="6"/>
    </row>
    <row r="908" spans="5:6" ht="15.75" customHeight="1">
      <c r="E908" s="5"/>
      <c r="F908" s="6"/>
    </row>
    <row r="909" spans="5:6" ht="15.75" customHeight="1">
      <c r="E909" s="5"/>
      <c r="F909" s="6"/>
    </row>
    <row r="910" spans="5:6" ht="15.75" customHeight="1">
      <c r="E910" s="5"/>
      <c r="F910" s="6"/>
    </row>
    <row r="911" spans="5:6" ht="15.75" customHeight="1">
      <c r="E911" s="5"/>
      <c r="F911" s="6"/>
    </row>
    <row r="912" spans="5:6" ht="15.75" customHeight="1">
      <c r="E912" s="5"/>
      <c r="F912" s="6"/>
    </row>
    <row r="913" spans="5:6" ht="15.75" customHeight="1">
      <c r="E913" s="5"/>
      <c r="F913" s="6"/>
    </row>
    <row r="914" spans="5:6" ht="15.75" customHeight="1">
      <c r="E914" s="5"/>
      <c r="F914" s="6"/>
    </row>
    <row r="915" spans="5:6" ht="15.75" customHeight="1">
      <c r="E915" s="5"/>
      <c r="F915" s="6"/>
    </row>
    <row r="916" spans="5:6" ht="15.75" customHeight="1">
      <c r="E916" s="5"/>
      <c r="F916" s="6"/>
    </row>
    <row r="917" spans="5:6" ht="15.75" customHeight="1">
      <c r="E917" s="5"/>
      <c r="F917" s="6"/>
    </row>
    <row r="918" spans="5:6" ht="15.75" customHeight="1">
      <c r="E918" s="5"/>
      <c r="F918" s="6"/>
    </row>
    <row r="919" spans="5:6" ht="15.75" customHeight="1">
      <c r="E919" s="5"/>
      <c r="F919" s="6"/>
    </row>
    <row r="920" spans="5:6" ht="15.75" customHeight="1">
      <c r="E920" s="5"/>
      <c r="F920" s="6"/>
    </row>
    <row r="921" spans="5:6" ht="15.75" customHeight="1">
      <c r="E921" s="5"/>
      <c r="F921" s="6"/>
    </row>
    <row r="922" spans="5:6" ht="15.75" customHeight="1">
      <c r="E922" s="5"/>
      <c r="F922" s="6"/>
    </row>
    <row r="923" spans="5:6" ht="15.75" customHeight="1">
      <c r="E923" s="5"/>
      <c r="F923" s="6"/>
    </row>
    <row r="924" spans="5:6" ht="15.75" customHeight="1">
      <c r="E924" s="5"/>
      <c r="F924" s="6"/>
    </row>
    <row r="925" spans="5:6" ht="15.75" customHeight="1">
      <c r="E925" s="5"/>
      <c r="F925" s="6"/>
    </row>
    <row r="926" spans="5:6" ht="15.75" customHeight="1">
      <c r="E926" s="5"/>
      <c r="F926" s="6"/>
    </row>
    <row r="927" spans="5:6" ht="15.75" customHeight="1">
      <c r="E927" s="5"/>
      <c r="F927" s="6"/>
    </row>
    <row r="928" spans="5:6" ht="15.75" customHeight="1">
      <c r="E928" s="5"/>
      <c r="F928" s="6"/>
    </row>
    <row r="929" spans="5:6" ht="15.75" customHeight="1">
      <c r="E929" s="5"/>
      <c r="F929" s="6"/>
    </row>
    <row r="930" spans="5:6" ht="15.75" customHeight="1">
      <c r="E930" s="5"/>
      <c r="F930" s="6"/>
    </row>
    <row r="931" spans="5:6" ht="15.75" customHeight="1">
      <c r="E931" s="5"/>
      <c r="F931" s="6"/>
    </row>
    <row r="932" spans="5:6" ht="15.75" customHeight="1">
      <c r="E932" s="5"/>
      <c r="F932" s="6"/>
    </row>
    <row r="933" spans="5:6" ht="15.75" customHeight="1">
      <c r="E933" s="5"/>
      <c r="F933" s="6"/>
    </row>
    <row r="934" spans="5:6" ht="15.75" customHeight="1">
      <c r="E934" s="5"/>
      <c r="F934" s="6"/>
    </row>
    <row r="935" spans="5:6" ht="15.75" customHeight="1">
      <c r="E935" s="5"/>
      <c r="F935" s="6"/>
    </row>
    <row r="936" spans="5:6" ht="15.75" customHeight="1">
      <c r="E936" s="5"/>
      <c r="F936" s="6"/>
    </row>
    <row r="937" spans="5:6" ht="15.75" customHeight="1">
      <c r="E937" s="5"/>
      <c r="F937" s="6"/>
    </row>
    <row r="938" spans="5:6" ht="15.75" customHeight="1">
      <c r="E938" s="5"/>
      <c r="F938" s="6"/>
    </row>
    <row r="939" spans="5:6" ht="15.75" customHeight="1">
      <c r="E939" s="5"/>
      <c r="F939" s="6"/>
    </row>
    <row r="940" spans="5:6" ht="15.75" customHeight="1">
      <c r="E940" s="5"/>
      <c r="F940" s="6"/>
    </row>
    <row r="941" spans="5:6" ht="15.75" customHeight="1">
      <c r="E941" s="5"/>
      <c r="F941" s="6"/>
    </row>
    <row r="942" spans="5:6" ht="15.75" customHeight="1">
      <c r="E942" s="5"/>
      <c r="F942" s="6"/>
    </row>
    <row r="943" spans="5:6" ht="15.75" customHeight="1">
      <c r="E943" s="5"/>
      <c r="F943" s="6"/>
    </row>
    <row r="944" spans="5:6" ht="15.75" customHeight="1">
      <c r="E944" s="5"/>
      <c r="F944" s="6"/>
    </row>
    <row r="945" spans="5:6" ht="15.75" customHeight="1">
      <c r="E945" s="5"/>
      <c r="F945" s="6"/>
    </row>
    <row r="946" spans="5:6" ht="15.75" customHeight="1">
      <c r="E946" s="5"/>
      <c r="F946" s="6"/>
    </row>
    <row r="947" spans="5:6" ht="15.75" customHeight="1">
      <c r="E947" s="5"/>
      <c r="F947" s="6"/>
    </row>
    <row r="948" spans="5:6" ht="15.75" customHeight="1">
      <c r="E948" s="5"/>
      <c r="F948" s="6"/>
    </row>
    <row r="949" spans="5:6" ht="15.75" customHeight="1">
      <c r="E949" s="5"/>
      <c r="F949" s="6"/>
    </row>
    <row r="950" spans="5:6" ht="15.75" customHeight="1">
      <c r="E950" s="5"/>
      <c r="F950" s="6"/>
    </row>
    <row r="951" spans="5:6" ht="15.75" customHeight="1">
      <c r="E951" s="5"/>
      <c r="F951" s="6"/>
    </row>
    <row r="952" spans="5:6" ht="15.75" customHeight="1">
      <c r="E952" s="5"/>
      <c r="F952" s="6"/>
    </row>
    <row r="953" spans="5:6" ht="15.75" customHeight="1">
      <c r="E953" s="5"/>
      <c r="F953" s="6"/>
    </row>
    <row r="954" spans="5:6" ht="15.75" customHeight="1">
      <c r="E954" s="5"/>
      <c r="F954" s="6"/>
    </row>
    <row r="955" spans="5:6" ht="15.75" customHeight="1">
      <c r="E955" s="5"/>
      <c r="F955" s="6"/>
    </row>
    <row r="956" spans="5:6" ht="15.75" customHeight="1">
      <c r="E956" s="5"/>
      <c r="F956" s="6"/>
    </row>
    <row r="957" spans="5:6" ht="15.75" customHeight="1">
      <c r="E957" s="5"/>
      <c r="F957" s="6"/>
    </row>
    <row r="958" spans="5:6" ht="15.75" customHeight="1">
      <c r="E958" s="5"/>
      <c r="F958" s="6"/>
    </row>
    <row r="959" spans="5:6" ht="15.75" customHeight="1">
      <c r="E959" s="5"/>
      <c r="F959" s="6"/>
    </row>
    <row r="960" spans="5:6" ht="15.75" customHeight="1">
      <c r="E960" s="5"/>
      <c r="F960" s="6"/>
    </row>
    <row r="961" spans="5:6" ht="15.75" customHeight="1">
      <c r="E961" s="5"/>
      <c r="F961" s="6"/>
    </row>
    <row r="962" spans="5:6" ht="15.75" customHeight="1">
      <c r="E962" s="5"/>
      <c r="F962" s="6"/>
    </row>
    <row r="963" spans="5:6" ht="15.75" customHeight="1">
      <c r="E963" s="5"/>
      <c r="F963" s="6"/>
    </row>
    <row r="964" spans="5:6" ht="15.75" customHeight="1">
      <c r="E964" s="5"/>
      <c r="F964" s="6"/>
    </row>
    <row r="965" spans="5:6" ht="15.75" customHeight="1">
      <c r="E965" s="5"/>
      <c r="F965" s="6"/>
    </row>
    <row r="966" spans="5:6" ht="15.75" customHeight="1">
      <c r="E966" s="5"/>
      <c r="F966" s="6"/>
    </row>
    <row r="967" spans="5:6" ht="15.75" customHeight="1">
      <c r="E967" s="5"/>
      <c r="F967" s="6"/>
    </row>
    <row r="968" spans="5:6" ht="15.75" customHeight="1">
      <c r="E968" s="5"/>
      <c r="F968" s="6"/>
    </row>
    <row r="969" spans="5:6" ht="15.75" customHeight="1">
      <c r="E969" s="5"/>
      <c r="F969" s="6"/>
    </row>
    <row r="970" spans="5:6" ht="15.75" customHeight="1">
      <c r="E970" s="5"/>
      <c r="F970" s="6"/>
    </row>
    <row r="971" spans="5:6" ht="15.75" customHeight="1">
      <c r="E971" s="5"/>
      <c r="F971" s="6"/>
    </row>
    <row r="972" spans="5:6" ht="15.75" customHeight="1">
      <c r="E972" s="5"/>
      <c r="F972" s="6"/>
    </row>
    <row r="973" spans="5:6" ht="15.75" customHeight="1">
      <c r="E973" s="5"/>
      <c r="F973" s="6"/>
    </row>
    <row r="974" spans="5:6" ht="15.75" customHeight="1">
      <c r="E974" s="5"/>
      <c r="F974" s="6"/>
    </row>
    <row r="975" spans="5:6" ht="15.75" customHeight="1">
      <c r="E975" s="5"/>
      <c r="F975" s="6"/>
    </row>
    <row r="976" spans="5:6" ht="15.75" customHeight="1">
      <c r="E976" s="5"/>
      <c r="F976" s="6"/>
    </row>
    <row r="977" spans="5:6" ht="15.75" customHeight="1">
      <c r="E977" s="5"/>
      <c r="F977" s="6"/>
    </row>
    <row r="978" spans="5:6" ht="15.75" customHeight="1">
      <c r="E978" s="5"/>
      <c r="F978" s="6"/>
    </row>
    <row r="979" spans="5:6" ht="15.75" customHeight="1">
      <c r="E979" s="5"/>
      <c r="F979" s="6"/>
    </row>
    <row r="980" spans="5:6" ht="15.75" customHeight="1">
      <c r="E980" s="5"/>
      <c r="F980" s="6"/>
    </row>
    <row r="981" spans="5:6" ht="15.75" customHeight="1">
      <c r="E981" s="5"/>
      <c r="F981" s="6"/>
    </row>
    <row r="982" spans="5:6" ht="15.75" customHeight="1">
      <c r="E982" s="5"/>
      <c r="F982" s="6"/>
    </row>
    <row r="983" spans="5:6" ht="15.75" customHeight="1">
      <c r="E983" s="5"/>
      <c r="F983" s="6"/>
    </row>
    <row r="984" spans="5:6" ht="15.75" customHeight="1">
      <c r="E984" s="5"/>
      <c r="F984" s="6"/>
    </row>
    <row r="985" spans="5:6" ht="15.75" customHeight="1">
      <c r="E985" s="5"/>
      <c r="F985" s="6"/>
    </row>
    <row r="986" spans="5:6" ht="15.75" customHeight="1">
      <c r="E986" s="5"/>
      <c r="F986" s="6"/>
    </row>
    <row r="987" spans="5:6" ht="15.75" customHeight="1">
      <c r="E987" s="5"/>
      <c r="F987" s="6"/>
    </row>
    <row r="988" spans="5:6" ht="15.75" customHeight="1">
      <c r="E988" s="5"/>
      <c r="F988" s="6"/>
    </row>
    <row r="989" spans="5:6" ht="15.75" customHeight="1">
      <c r="E989" s="5"/>
      <c r="F989" s="6"/>
    </row>
    <row r="990" spans="5:6" ht="15.75" customHeight="1">
      <c r="E990" s="5"/>
      <c r="F990" s="6"/>
    </row>
    <row r="991" spans="5:6" ht="15.75" customHeight="1">
      <c r="E991" s="5"/>
      <c r="F991" s="6"/>
    </row>
    <row r="992" spans="5:6" ht="15.75" customHeight="1">
      <c r="E992" s="5"/>
      <c r="F992" s="6"/>
    </row>
    <row r="993" spans="5:6" ht="15.75" customHeight="1">
      <c r="E993" s="5"/>
      <c r="F993" s="6"/>
    </row>
    <row r="994" spans="5:6" ht="15.75" customHeight="1">
      <c r="E994" s="5"/>
      <c r="F994" s="6"/>
    </row>
    <row r="995" spans="5:6" ht="15.75" customHeight="1">
      <c r="E995" s="5"/>
      <c r="F995" s="6"/>
    </row>
    <row r="996" spans="5:6" ht="15.75" customHeight="1">
      <c r="E996" s="5"/>
      <c r="F996" s="6"/>
    </row>
    <row r="997" spans="5:6" ht="15.75" customHeight="1">
      <c r="E997" s="5"/>
      <c r="F997" s="6"/>
    </row>
    <row r="998" spans="5:6" ht="15.75" customHeight="1">
      <c r="E998" s="5"/>
      <c r="F998" s="6"/>
    </row>
    <row r="999" spans="5:6" ht="15.75" customHeight="1">
      <c r="E999" s="5"/>
      <c r="F999" s="6"/>
    </row>
    <row r="1000" spans="5:6" ht="15.75" customHeight="1">
      <c r="E1000" s="5"/>
      <c r="F1000"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93A8D-F2A6-48CF-9A1E-5364AC7417F5}">
  <sheetPr>
    <tabColor theme="6" tint="0.79998168889431442"/>
  </sheetPr>
  <dimension ref="A1:F1000"/>
  <sheetViews>
    <sheetView workbookViewId="0">
      <selection activeCell="G19" sqref="G19"/>
    </sheetView>
  </sheetViews>
  <sheetFormatPr defaultColWidth="12.6328125" defaultRowHeight="15" customHeight="1"/>
  <cols>
    <col min="1" max="1" width="10.6328125" customWidth="1"/>
    <col min="2" max="2" width="15" customWidth="1"/>
    <col min="3" max="3" width="11.90625" customWidth="1"/>
    <col min="4" max="4" width="10.26953125" customWidth="1"/>
    <col min="5" max="5" width="9.90625" customWidth="1"/>
    <col min="6" max="6" width="10.08984375" customWidth="1"/>
    <col min="7" max="26" width="8.6328125" customWidth="1"/>
  </cols>
  <sheetData>
    <row r="1" spans="1:6" ht="14.5">
      <c r="A1" s="2" t="s">
        <v>2</v>
      </c>
      <c r="B1" s="2" t="s">
        <v>3</v>
      </c>
      <c r="C1" s="2" t="s">
        <v>4</v>
      </c>
      <c r="D1" s="4" t="s">
        <v>7</v>
      </c>
      <c r="E1" s="4" t="s">
        <v>11</v>
      </c>
      <c r="F1" s="4" t="s">
        <v>14</v>
      </c>
    </row>
    <row r="2" spans="1:6" ht="14.5">
      <c r="A2" s="2" t="s">
        <v>17</v>
      </c>
      <c r="B2" s="2" t="s">
        <v>19</v>
      </c>
      <c r="C2" s="2" t="s">
        <v>21</v>
      </c>
      <c r="D2" s="4" t="s">
        <v>23</v>
      </c>
      <c r="E2" s="4">
        <v>1.2</v>
      </c>
      <c r="F2" s="4">
        <v>0.6</v>
      </c>
    </row>
    <row r="3" spans="1:6" ht="14.5">
      <c r="A3" s="2" t="s">
        <v>28</v>
      </c>
      <c r="B3" s="2" t="s">
        <v>31</v>
      </c>
      <c r="C3" s="2" t="s">
        <v>21</v>
      </c>
      <c r="D3" s="4" t="s">
        <v>34</v>
      </c>
      <c r="E3" s="4">
        <v>1.8</v>
      </c>
      <c r="F3" s="4">
        <v>0.9</v>
      </c>
    </row>
    <row r="4" spans="1:6" ht="14.5">
      <c r="A4" s="2" t="s">
        <v>38</v>
      </c>
      <c r="B4" s="2" t="s">
        <v>39</v>
      </c>
      <c r="C4" s="2" t="s">
        <v>42</v>
      </c>
      <c r="D4" s="4" t="s">
        <v>46</v>
      </c>
      <c r="E4" s="4">
        <v>1.5</v>
      </c>
      <c r="F4" s="4">
        <v>0.8</v>
      </c>
    </row>
    <row r="5" spans="1:6" ht="14.5">
      <c r="A5" s="2" t="s">
        <v>50</v>
      </c>
      <c r="B5" s="2" t="s">
        <v>53</v>
      </c>
      <c r="C5" s="2" t="s">
        <v>62</v>
      </c>
      <c r="D5" s="4" t="s">
        <v>23</v>
      </c>
      <c r="E5" s="4">
        <v>1.6</v>
      </c>
      <c r="F5" s="4">
        <v>0.85</v>
      </c>
    </row>
    <row r="6" spans="1:6" ht="14.5">
      <c r="A6" s="2" t="s">
        <v>69</v>
      </c>
      <c r="B6" s="2" t="s">
        <v>71</v>
      </c>
      <c r="C6" s="2" t="s">
        <v>74</v>
      </c>
      <c r="D6" s="4" t="s">
        <v>34</v>
      </c>
      <c r="E6" s="4">
        <v>2</v>
      </c>
      <c r="F6" s="4">
        <v>1.1000000000000001</v>
      </c>
    </row>
    <row r="7" spans="1:6" ht="14.5">
      <c r="A7" s="2" t="s">
        <v>84</v>
      </c>
      <c r="B7" s="2" t="s">
        <v>85</v>
      </c>
      <c r="C7" s="2" t="s">
        <v>88</v>
      </c>
      <c r="D7" s="4" t="s">
        <v>23</v>
      </c>
      <c r="E7" s="4">
        <v>1.7</v>
      </c>
      <c r="F7" s="4">
        <v>0.9</v>
      </c>
    </row>
    <row r="8" spans="1:6" ht="14.5">
      <c r="A8" s="2" t="s">
        <v>95</v>
      </c>
      <c r="B8" s="2" t="s">
        <v>98</v>
      </c>
      <c r="C8" s="2" t="s">
        <v>100</v>
      </c>
      <c r="D8" s="4" t="s">
        <v>102</v>
      </c>
      <c r="E8" s="4">
        <v>2.5</v>
      </c>
      <c r="F8" s="4">
        <v>1.4</v>
      </c>
    </row>
    <row r="9" spans="1:6" ht="14.5">
      <c r="A9" s="2" t="s">
        <v>108</v>
      </c>
      <c r="B9" s="2" t="s">
        <v>110</v>
      </c>
      <c r="C9" s="2" t="s">
        <v>74</v>
      </c>
      <c r="D9" s="4" t="s">
        <v>23</v>
      </c>
      <c r="E9" s="4">
        <v>2.1</v>
      </c>
      <c r="F9" s="4">
        <v>1.2</v>
      </c>
    </row>
    <row r="10" spans="1:6" ht="14.5">
      <c r="A10" s="2" t="s">
        <v>117</v>
      </c>
      <c r="B10" s="2" t="s">
        <v>118</v>
      </c>
      <c r="C10" s="2" t="s">
        <v>21</v>
      </c>
      <c r="D10" s="4" t="s">
        <v>34</v>
      </c>
      <c r="E10" s="4">
        <v>1.9</v>
      </c>
      <c r="F10" s="4">
        <v>1</v>
      </c>
    </row>
    <row r="11" spans="1:6" ht="14.5">
      <c r="A11" s="2" t="s">
        <v>125</v>
      </c>
      <c r="B11" s="2" t="s">
        <v>128</v>
      </c>
      <c r="C11" s="2" t="s">
        <v>130</v>
      </c>
      <c r="D11" s="4" t="s">
        <v>23</v>
      </c>
      <c r="E11" s="4">
        <v>2.2000000000000002</v>
      </c>
      <c r="F11" s="4">
        <v>1.3</v>
      </c>
    </row>
    <row r="12" spans="1:6" ht="14.5">
      <c r="A12" s="2" t="s">
        <v>139</v>
      </c>
      <c r="B12" s="2" t="s">
        <v>142</v>
      </c>
      <c r="C12" s="2" t="s">
        <v>74</v>
      </c>
      <c r="D12" s="4" t="s">
        <v>34</v>
      </c>
      <c r="E12" s="4">
        <v>2.2999999999999998</v>
      </c>
      <c r="F12" s="4">
        <v>1.25</v>
      </c>
    </row>
    <row r="13" spans="1:6" ht="29">
      <c r="A13" s="2" t="s">
        <v>57</v>
      </c>
      <c r="B13" s="11" t="s">
        <v>154</v>
      </c>
      <c r="C13" s="2" t="s">
        <v>156</v>
      </c>
      <c r="D13" s="4" t="s">
        <v>159</v>
      </c>
      <c r="E13" s="4">
        <v>2</v>
      </c>
      <c r="F13" s="4">
        <v>1</v>
      </c>
    </row>
    <row r="14" spans="1:6" ht="14.5">
      <c r="A14" s="2" t="s">
        <v>134</v>
      </c>
      <c r="B14" s="2" t="s">
        <v>166</v>
      </c>
      <c r="C14" s="2" t="s">
        <v>21</v>
      </c>
      <c r="D14" s="4" t="s">
        <v>46</v>
      </c>
      <c r="E14" s="4">
        <v>1.8</v>
      </c>
      <c r="F14" s="4">
        <v>0.95</v>
      </c>
    </row>
    <row r="15" spans="1:6" ht="14.5">
      <c r="A15" s="2" t="s">
        <v>172</v>
      </c>
      <c r="B15" s="2" t="s">
        <v>174</v>
      </c>
      <c r="C15" s="2" t="s">
        <v>88</v>
      </c>
      <c r="D15" s="4" t="s">
        <v>46</v>
      </c>
      <c r="E15" s="4">
        <v>1.6</v>
      </c>
      <c r="F15" s="4">
        <v>0.85</v>
      </c>
    </row>
    <row r="16" spans="1:6" ht="14.5">
      <c r="A16" s="2" t="s">
        <v>180</v>
      </c>
      <c r="B16" s="2" t="s">
        <v>181</v>
      </c>
      <c r="C16" s="2" t="s">
        <v>74</v>
      </c>
      <c r="D16" s="4" t="s">
        <v>34</v>
      </c>
      <c r="E16" s="4">
        <v>2.4</v>
      </c>
      <c r="F16" s="4">
        <v>1.35</v>
      </c>
    </row>
    <row r="17" spans="1:6" ht="14.5">
      <c r="A17" s="2" t="s">
        <v>170</v>
      </c>
      <c r="B17" s="2" t="s">
        <v>187</v>
      </c>
      <c r="C17" s="2" t="s">
        <v>21</v>
      </c>
      <c r="D17" s="4" t="s">
        <v>23</v>
      </c>
      <c r="E17" s="4">
        <v>1.9</v>
      </c>
      <c r="F17" s="4">
        <v>0.95</v>
      </c>
    </row>
    <row r="18" spans="1:6" ht="14.5">
      <c r="A18" s="2" t="s">
        <v>41</v>
      </c>
      <c r="B18" s="2" t="s">
        <v>194</v>
      </c>
      <c r="C18" s="2" t="s">
        <v>130</v>
      </c>
      <c r="D18" s="4" t="s">
        <v>23</v>
      </c>
      <c r="E18" s="4">
        <v>2.2000000000000002</v>
      </c>
      <c r="F18" s="4">
        <v>1.2</v>
      </c>
    </row>
    <row r="19" spans="1:6" ht="14.5">
      <c r="A19" s="2" t="s">
        <v>199</v>
      </c>
      <c r="B19" s="2" t="s">
        <v>202</v>
      </c>
      <c r="C19" s="2" t="s">
        <v>88</v>
      </c>
      <c r="D19" s="4" t="s">
        <v>46</v>
      </c>
      <c r="E19" s="4">
        <v>1.7</v>
      </c>
      <c r="F19" s="4">
        <v>0.9</v>
      </c>
    </row>
    <row r="20" spans="1:6" ht="14.5">
      <c r="A20" s="2" t="s">
        <v>151</v>
      </c>
      <c r="B20" s="2" t="s">
        <v>209</v>
      </c>
      <c r="C20" s="2" t="s">
        <v>74</v>
      </c>
      <c r="D20" s="4" t="s">
        <v>102</v>
      </c>
      <c r="E20" s="4">
        <v>1.5</v>
      </c>
      <c r="F20" s="4">
        <v>0.8</v>
      </c>
    </row>
    <row r="21" spans="1:6" ht="15.75" customHeight="1">
      <c r="A21" s="2" t="s">
        <v>217</v>
      </c>
      <c r="B21" s="2" t="s">
        <v>218</v>
      </c>
      <c r="C21" s="2" t="s">
        <v>156</v>
      </c>
      <c r="D21" s="4" t="s">
        <v>23</v>
      </c>
      <c r="E21" s="4">
        <v>1.4</v>
      </c>
      <c r="F21" s="4">
        <v>0.7</v>
      </c>
    </row>
    <row r="22" spans="1:6" ht="15.75" customHeight="1">
      <c r="D22" s="4"/>
      <c r="E22" s="4"/>
      <c r="F22" s="4"/>
    </row>
    <row r="23" spans="1:6" ht="15.75" customHeight="1">
      <c r="D23" s="4"/>
      <c r="E23" s="4"/>
      <c r="F23" s="4"/>
    </row>
    <row r="24" spans="1:6" ht="15.75" customHeight="1">
      <c r="D24" s="4"/>
      <c r="E24" s="4"/>
      <c r="F24" s="4"/>
    </row>
    <row r="25" spans="1:6" ht="15.75" customHeight="1">
      <c r="D25" s="4"/>
      <c r="E25" s="4"/>
      <c r="F25" s="4"/>
    </row>
    <row r="26" spans="1:6" ht="15.75" customHeight="1">
      <c r="D26" s="4"/>
      <c r="E26" s="4"/>
      <c r="F26" s="4"/>
    </row>
    <row r="27" spans="1:6" ht="15.75" customHeight="1">
      <c r="D27" s="4"/>
      <c r="E27" s="4"/>
      <c r="F27" s="4"/>
    </row>
    <row r="28" spans="1:6" ht="15.75" customHeight="1">
      <c r="D28" s="4"/>
      <c r="E28" s="4"/>
      <c r="F28" s="4"/>
    </row>
    <row r="29" spans="1:6" ht="15.75" customHeight="1">
      <c r="D29" s="4"/>
      <c r="E29" s="4"/>
      <c r="F29" s="4"/>
    </row>
    <row r="30" spans="1:6" ht="15.75" customHeight="1">
      <c r="D30" s="4"/>
      <c r="E30" s="4"/>
      <c r="F30" s="4"/>
    </row>
    <row r="31" spans="1:6" ht="15.75" customHeight="1">
      <c r="D31" s="4"/>
      <c r="E31" s="4"/>
      <c r="F31" s="4"/>
    </row>
    <row r="32" spans="1:6" ht="15.75" customHeight="1">
      <c r="D32" s="4"/>
      <c r="E32" s="4"/>
      <c r="F32" s="4"/>
    </row>
    <row r="33" spans="4:6" ht="15.75" customHeight="1">
      <c r="D33" s="4"/>
      <c r="E33" s="4"/>
      <c r="F33" s="4"/>
    </row>
    <row r="34" spans="4:6" ht="15.75" customHeight="1">
      <c r="D34" s="4"/>
      <c r="E34" s="4"/>
      <c r="F34" s="4"/>
    </row>
    <row r="35" spans="4:6" ht="15.75" customHeight="1">
      <c r="D35" s="4"/>
      <c r="E35" s="4"/>
      <c r="F35" s="4"/>
    </row>
    <row r="36" spans="4:6" ht="15.75" customHeight="1">
      <c r="D36" s="4"/>
      <c r="E36" s="4"/>
      <c r="F36" s="4"/>
    </row>
    <row r="37" spans="4:6" ht="15.75" customHeight="1">
      <c r="D37" s="4"/>
      <c r="E37" s="4"/>
      <c r="F37" s="4"/>
    </row>
    <row r="38" spans="4:6" ht="15.75" customHeight="1">
      <c r="D38" s="4"/>
      <c r="E38" s="4"/>
      <c r="F38" s="4"/>
    </row>
    <row r="39" spans="4:6" ht="15.75" customHeight="1">
      <c r="D39" s="4"/>
      <c r="E39" s="4"/>
      <c r="F39" s="4"/>
    </row>
    <row r="40" spans="4:6" ht="15.75" customHeight="1">
      <c r="D40" s="4"/>
      <c r="E40" s="4"/>
      <c r="F40" s="4"/>
    </row>
    <row r="41" spans="4:6" ht="15.75" customHeight="1">
      <c r="D41" s="4"/>
      <c r="E41" s="4"/>
      <c r="F41" s="4"/>
    </row>
    <row r="42" spans="4:6" ht="15.75" customHeight="1">
      <c r="D42" s="4"/>
      <c r="E42" s="4"/>
      <c r="F42" s="4"/>
    </row>
    <row r="43" spans="4:6" ht="15.75" customHeight="1">
      <c r="D43" s="4"/>
      <c r="E43" s="4"/>
      <c r="F43" s="4"/>
    </row>
    <row r="44" spans="4:6" ht="15.75" customHeight="1">
      <c r="D44" s="4"/>
      <c r="E44" s="4"/>
      <c r="F44" s="4"/>
    </row>
    <row r="45" spans="4:6" ht="15.75" customHeight="1">
      <c r="D45" s="4"/>
      <c r="E45" s="4"/>
      <c r="F45" s="4"/>
    </row>
    <row r="46" spans="4:6" ht="15.75" customHeight="1">
      <c r="D46" s="4"/>
      <c r="E46" s="4"/>
      <c r="F46" s="4"/>
    </row>
    <row r="47" spans="4:6" ht="15.75" customHeight="1">
      <c r="D47" s="4"/>
      <c r="E47" s="4"/>
      <c r="F47" s="4"/>
    </row>
    <row r="48" spans="4:6" ht="15.75" customHeight="1">
      <c r="D48" s="4"/>
      <c r="E48" s="4"/>
      <c r="F48" s="4"/>
    </row>
    <row r="49" spans="4:6" ht="15.75" customHeight="1">
      <c r="D49" s="4"/>
      <c r="E49" s="4"/>
      <c r="F49" s="4"/>
    </row>
    <row r="50" spans="4:6" ht="15.75" customHeight="1">
      <c r="D50" s="4"/>
      <c r="E50" s="4"/>
      <c r="F50" s="4"/>
    </row>
    <row r="51" spans="4:6" ht="15.75" customHeight="1">
      <c r="D51" s="4"/>
      <c r="E51" s="4"/>
      <c r="F51" s="4"/>
    </row>
    <row r="52" spans="4:6" ht="15.75" customHeight="1">
      <c r="D52" s="4"/>
      <c r="E52" s="4"/>
      <c r="F52" s="4"/>
    </row>
    <row r="53" spans="4:6" ht="15.75" customHeight="1">
      <c r="D53" s="4"/>
      <c r="E53" s="4"/>
      <c r="F53" s="4"/>
    </row>
    <row r="54" spans="4:6" ht="15.75" customHeight="1">
      <c r="D54" s="4"/>
      <c r="E54" s="4"/>
      <c r="F54" s="4"/>
    </row>
    <row r="55" spans="4:6" ht="15.75" customHeight="1">
      <c r="D55" s="4"/>
      <c r="E55" s="4"/>
      <c r="F55" s="4"/>
    </row>
    <row r="56" spans="4:6" ht="15.75" customHeight="1">
      <c r="D56" s="4"/>
      <c r="E56" s="4"/>
      <c r="F56" s="4"/>
    </row>
    <row r="57" spans="4:6" ht="15.75" customHeight="1">
      <c r="D57" s="4"/>
      <c r="E57" s="4"/>
      <c r="F57" s="4"/>
    </row>
    <row r="58" spans="4:6" ht="15.75" customHeight="1">
      <c r="D58" s="4"/>
      <c r="E58" s="4"/>
      <c r="F58" s="4"/>
    </row>
    <row r="59" spans="4:6" ht="15.75" customHeight="1">
      <c r="D59" s="4"/>
      <c r="E59" s="4"/>
      <c r="F59" s="4"/>
    </row>
    <row r="60" spans="4:6" ht="15.75" customHeight="1">
      <c r="D60" s="4"/>
      <c r="E60" s="4"/>
      <c r="F60" s="4"/>
    </row>
    <row r="61" spans="4:6" ht="15.75" customHeight="1">
      <c r="D61" s="4"/>
      <c r="E61" s="4"/>
      <c r="F61" s="4"/>
    </row>
    <row r="62" spans="4:6" ht="15.75" customHeight="1">
      <c r="D62" s="4"/>
      <c r="E62" s="4"/>
      <c r="F62" s="4"/>
    </row>
    <row r="63" spans="4:6" ht="15.75" customHeight="1">
      <c r="D63" s="4"/>
      <c r="E63" s="4"/>
      <c r="F63" s="4"/>
    </row>
    <row r="64" spans="4:6" ht="15.75" customHeight="1">
      <c r="D64" s="4"/>
      <c r="E64" s="4"/>
      <c r="F64" s="4"/>
    </row>
    <row r="65" spans="4:6" ht="15.75" customHeight="1">
      <c r="D65" s="4"/>
      <c r="E65" s="4"/>
      <c r="F65" s="4"/>
    </row>
    <row r="66" spans="4:6" ht="15.75" customHeight="1">
      <c r="D66" s="4"/>
      <c r="E66" s="4"/>
      <c r="F66" s="4"/>
    </row>
    <row r="67" spans="4:6" ht="15.75" customHeight="1">
      <c r="D67" s="4"/>
      <c r="E67" s="4"/>
      <c r="F67" s="4"/>
    </row>
    <row r="68" spans="4:6" ht="15.75" customHeight="1">
      <c r="D68" s="4"/>
      <c r="E68" s="4"/>
      <c r="F68" s="4"/>
    </row>
    <row r="69" spans="4:6" ht="15.75" customHeight="1">
      <c r="D69" s="4"/>
      <c r="E69" s="4"/>
      <c r="F69" s="4"/>
    </row>
    <row r="70" spans="4:6" ht="15.75" customHeight="1">
      <c r="D70" s="4"/>
      <c r="E70" s="4"/>
      <c r="F70" s="4"/>
    </row>
    <row r="71" spans="4:6" ht="15.75" customHeight="1">
      <c r="D71" s="4"/>
      <c r="E71" s="4"/>
      <c r="F71" s="4"/>
    </row>
    <row r="72" spans="4:6" ht="15.75" customHeight="1">
      <c r="D72" s="4"/>
      <c r="E72" s="4"/>
      <c r="F72" s="4"/>
    </row>
    <row r="73" spans="4:6" ht="15.75" customHeight="1">
      <c r="D73" s="4"/>
      <c r="E73" s="4"/>
      <c r="F73" s="4"/>
    </row>
    <row r="74" spans="4:6" ht="15.75" customHeight="1">
      <c r="D74" s="4"/>
      <c r="E74" s="4"/>
      <c r="F74" s="4"/>
    </row>
    <row r="75" spans="4:6" ht="15.75" customHeight="1">
      <c r="D75" s="4"/>
      <c r="E75" s="4"/>
      <c r="F75" s="4"/>
    </row>
    <row r="76" spans="4:6" ht="15.75" customHeight="1">
      <c r="D76" s="4"/>
      <c r="E76" s="4"/>
      <c r="F76" s="4"/>
    </row>
    <row r="77" spans="4:6" ht="15.75" customHeight="1">
      <c r="D77" s="4"/>
      <c r="E77" s="4"/>
      <c r="F77" s="4"/>
    </row>
    <row r="78" spans="4:6" ht="15.75" customHeight="1">
      <c r="D78" s="4"/>
      <c r="E78" s="4"/>
      <c r="F78" s="4"/>
    </row>
    <row r="79" spans="4:6" ht="15.75" customHeight="1">
      <c r="D79" s="4"/>
      <c r="E79" s="4"/>
      <c r="F79" s="4"/>
    </row>
    <row r="80" spans="4:6" ht="15.75" customHeight="1">
      <c r="D80" s="4"/>
      <c r="E80" s="4"/>
      <c r="F80" s="4"/>
    </row>
    <row r="81" spans="4:6" ht="15.75" customHeight="1">
      <c r="D81" s="4"/>
      <c r="E81" s="4"/>
      <c r="F81" s="4"/>
    </row>
    <row r="82" spans="4:6" ht="15.75" customHeight="1">
      <c r="D82" s="4"/>
      <c r="E82" s="4"/>
      <c r="F82" s="4"/>
    </row>
    <row r="83" spans="4:6" ht="15.75" customHeight="1">
      <c r="D83" s="4"/>
      <c r="E83" s="4"/>
      <c r="F83" s="4"/>
    </row>
    <row r="84" spans="4:6" ht="15.75" customHeight="1">
      <c r="D84" s="4"/>
      <c r="E84" s="4"/>
      <c r="F84" s="4"/>
    </row>
    <row r="85" spans="4:6" ht="15.75" customHeight="1">
      <c r="D85" s="4"/>
      <c r="E85" s="4"/>
      <c r="F85" s="4"/>
    </row>
    <row r="86" spans="4:6" ht="15.75" customHeight="1">
      <c r="D86" s="4"/>
      <c r="E86" s="4"/>
      <c r="F86" s="4"/>
    </row>
    <row r="87" spans="4:6" ht="15.75" customHeight="1">
      <c r="D87" s="4"/>
      <c r="E87" s="4"/>
      <c r="F87" s="4"/>
    </row>
    <row r="88" spans="4:6" ht="15.75" customHeight="1">
      <c r="D88" s="4"/>
      <c r="E88" s="4"/>
      <c r="F88" s="4"/>
    </row>
    <row r="89" spans="4:6" ht="15.75" customHeight="1">
      <c r="D89" s="4"/>
      <c r="E89" s="4"/>
      <c r="F89" s="4"/>
    </row>
    <row r="90" spans="4:6" ht="15.75" customHeight="1">
      <c r="D90" s="4"/>
      <c r="E90" s="4"/>
      <c r="F90" s="4"/>
    </row>
    <row r="91" spans="4:6" ht="15.75" customHeight="1">
      <c r="D91" s="4"/>
      <c r="E91" s="4"/>
      <c r="F91" s="4"/>
    </row>
    <row r="92" spans="4:6" ht="15.75" customHeight="1">
      <c r="D92" s="4"/>
      <c r="E92" s="4"/>
      <c r="F92" s="4"/>
    </row>
    <row r="93" spans="4:6" ht="15.75" customHeight="1">
      <c r="D93" s="4"/>
      <c r="E93" s="4"/>
      <c r="F93" s="4"/>
    </row>
    <row r="94" spans="4:6" ht="15.75" customHeight="1">
      <c r="D94" s="4"/>
      <c r="E94" s="4"/>
      <c r="F94" s="4"/>
    </row>
    <row r="95" spans="4:6" ht="15.75" customHeight="1">
      <c r="D95" s="4"/>
      <c r="E95" s="4"/>
      <c r="F95" s="4"/>
    </row>
    <row r="96" spans="4:6" ht="15.75" customHeight="1">
      <c r="D96" s="4"/>
      <c r="E96" s="4"/>
      <c r="F96" s="4"/>
    </row>
    <row r="97" spans="4:6" ht="15.75" customHeight="1">
      <c r="D97" s="4"/>
      <c r="E97" s="4"/>
      <c r="F97" s="4"/>
    </row>
    <row r="98" spans="4:6" ht="15.75" customHeight="1">
      <c r="D98" s="4"/>
      <c r="E98" s="4"/>
      <c r="F98" s="4"/>
    </row>
    <row r="99" spans="4:6" ht="15.75" customHeight="1">
      <c r="D99" s="4"/>
      <c r="E99" s="4"/>
      <c r="F99" s="4"/>
    </row>
    <row r="100" spans="4:6" ht="15.75" customHeight="1">
      <c r="D100" s="4"/>
      <c r="E100" s="4"/>
      <c r="F100" s="4"/>
    </row>
    <row r="101" spans="4:6" ht="15.75" customHeight="1">
      <c r="D101" s="4"/>
      <c r="E101" s="4"/>
      <c r="F101" s="4"/>
    </row>
    <row r="102" spans="4:6" ht="15.75" customHeight="1">
      <c r="D102" s="4"/>
      <c r="E102" s="4"/>
      <c r="F102" s="4"/>
    </row>
    <row r="103" spans="4:6" ht="15.75" customHeight="1">
      <c r="D103" s="4"/>
      <c r="E103" s="4"/>
      <c r="F103" s="4"/>
    </row>
    <row r="104" spans="4:6" ht="15.75" customHeight="1">
      <c r="D104" s="4"/>
      <c r="E104" s="4"/>
      <c r="F104" s="4"/>
    </row>
    <row r="105" spans="4:6" ht="15.75" customHeight="1">
      <c r="D105" s="4"/>
      <c r="E105" s="4"/>
      <c r="F105" s="4"/>
    </row>
    <row r="106" spans="4:6" ht="15.75" customHeight="1">
      <c r="D106" s="4"/>
      <c r="E106" s="4"/>
      <c r="F106" s="4"/>
    </row>
    <row r="107" spans="4:6" ht="15.75" customHeight="1">
      <c r="D107" s="4"/>
      <c r="E107" s="4"/>
      <c r="F107" s="4"/>
    </row>
    <row r="108" spans="4:6" ht="15.75" customHeight="1">
      <c r="D108" s="4"/>
      <c r="E108" s="4"/>
      <c r="F108" s="4"/>
    </row>
    <row r="109" spans="4:6" ht="15.75" customHeight="1">
      <c r="D109" s="4"/>
      <c r="E109" s="4"/>
      <c r="F109" s="4"/>
    </row>
    <row r="110" spans="4:6" ht="15.75" customHeight="1">
      <c r="D110" s="4"/>
      <c r="E110" s="4"/>
      <c r="F110" s="4"/>
    </row>
    <row r="111" spans="4:6" ht="15.75" customHeight="1">
      <c r="D111" s="4"/>
      <c r="E111" s="4"/>
      <c r="F111" s="4"/>
    </row>
    <row r="112" spans="4:6" ht="15.75" customHeight="1">
      <c r="D112" s="4"/>
      <c r="E112" s="4"/>
      <c r="F112" s="4"/>
    </row>
    <row r="113" spans="4:6" ht="15.75" customHeight="1">
      <c r="D113" s="4"/>
      <c r="E113" s="4"/>
      <c r="F113" s="4"/>
    </row>
    <row r="114" spans="4:6" ht="15.75" customHeight="1">
      <c r="D114" s="4"/>
      <c r="E114" s="4"/>
      <c r="F114" s="4"/>
    </row>
    <row r="115" spans="4:6" ht="15.75" customHeight="1">
      <c r="D115" s="4"/>
      <c r="E115" s="4"/>
      <c r="F115" s="4"/>
    </row>
    <row r="116" spans="4:6" ht="15.75" customHeight="1">
      <c r="D116" s="4"/>
      <c r="E116" s="4"/>
      <c r="F116" s="4"/>
    </row>
    <row r="117" spans="4:6" ht="15.75" customHeight="1">
      <c r="D117" s="4"/>
      <c r="E117" s="4"/>
      <c r="F117" s="4"/>
    </row>
    <row r="118" spans="4:6" ht="15.75" customHeight="1">
      <c r="D118" s="4"/>
      <c r="E118" s="4"/>
      <c r="F118" s="4"/>
    </row>
    <row r="119" spans="4:6" ht="15.75" customHeight="1">
      <c r="D119" s="4"/>
      <c r="E119" s="4"/>
      <c r="F119" s="4"/>
    </row>
    <row r="120" spans="4:6" ht="15.75" customHeight="1">
      <c r="D120" s="4"/>
      <c r="E120" s="4"/>
      <c r="F120" s="4"/>
    </row>
    <row r="121" spans="4:6" ht="15.75" customHeight="1">
      <c r="D121" s="4"/>
      <c r="E121" s="4"/>
      <c r="F121" s="4"/>
    </row>
    <row r="122" spans="4:6" ht="15.75" customHeight="1">
      <c r="D122" s="4"/>
      <c r="E122" s="4"/>
      <c r="F122" s="4"/>
    </row>
    <row r="123" spans="4:6" ht="15.75" customHeight="1">
      <c r="D123" s="4"/>
      <c r="E123" s="4"/>
      <c r="F123" s="4"/>
    </row>
    <row r="124" spans="4:6" ht="15.75" customHeight="1">
      <c r="D124" s="4"/>
      <c r="E124" s="4"/>
      <c r="F124" s="4"/>
    </row>
    <row r="125" spans="4:6" ht="15.75" customHeight="1">
      <c r="D125" s="4"/>
      <c r="E125" s="4"/>
      <c r="F125" s="4"/>
    </row>
    <row r="126" spans="4:6" ht="15.75" customHeight="1">
      <c r="D126" s="4"/>
      <c r="E126" s="4"/>
      <c r="F126" s="4"/>
    </row>
    <row r="127" spans="4:6" ht="15.75" customHeight="1">
      <c r="D127" s="4"/>
      <c r="E127" s="4"/>
      <c r="F127" s="4"/>
    </row>
    <row r="128" spans="4:6" ht="15.75" customHeight="1">
      <c r="D128" s="4"/>
      <c r="E128" s="4"/>
      <c r="F128" s="4"/>
    </row>
    <row r="129" spans="4:6" ht="15.75" customHeight="1">
      <c r="D129" s="4"/>
      <c r="E129" s="4"/>
      <c r="F129" s="4"/>
    </row>
    <row r="130" spans="4:6" ht="15.75" customHeight="1">
      <c r="D130" s="4"/>
      <c r="E130" s="4"/>
      <c r="F130" s="4"/>
    </row>
    <row r="131" spans="4:6" ht="15.75" customHeight="1">
      <c r="D131" s="4"/>
      <c r="E131" s="4"/>
      <c r="F131" s="4"/>
    </row>
    <row r="132" spans="4:6" ht="15.75" customHeight="1">
      <c r="D132" s="4"/>
      <c r="E132" s="4"/>
      <c r="F132" s="4"/>
    </row>
    <row r="133" spans="4:6" ht="15.75" customHeight="1">
      <c r="D133" s="4"/>
      <c r="E133" s="4"/>
      <c r="F133" s="4"/>
    </row>
    <row r="134" spans="4:6" ht="15.75" customHeight="1">
      <c r="D134" s="4"/>
      <c r="E134" s="4"/>
      <c r="F134" s="4"/>
    </row>
    <row r="135" spans="4:6" ht="15.75" customHeight="1">
      <c r="D135" s="4"/>
      <c r="E135" s="4"/>
      <c r="F135" s="4"/>
    </row>
    <row r="136" spans="4:6" ht="15.75" customHeight="1">
      <c r="D136" s="4"/>
      <c r="E136" s="4"/>
      <c r="F136" s="4"/>
    </row>
    <row r="137" spans="4:6" ht="15.75" customHeight="1">
      <c r="D137" s="4"/>
      <c r="E137" s="4"/>
      <c r="F137" s="4"/>
    </row>
    <row r="138" spans="4:6" ht="15.75" customHeight="1">
      <c r="D138" s="4"/>
      <c r="E138" s="4"/>
      <c r="F138" s="4"/>
    </row>
    <row r="139" spans="4:6" ht="15.75" customHeight="1">
      <c r="D139" s="4"/>
      <c r="E139" s="4"/>
      <c r="F139" s="4"/>
    </row>
    <row r="140" spans="4:6" ht="15.75" customHeight="1">
      <c r="D140" s="4"/>
      <c r="E140" s="4"/>
      <c r="F140" s="4"/>
    </row>
    <row r="141" spans="4:6" ht="15.75" customHeight="1">
      <c r="D141" s="4"/>
      <c r="E141" s="4"/>
      <c r="F141" s="4"/>
    </row>
    <row r="142" spans="4:6" ht="15.75" customHeight="1">
      <c r="D142" s="4"/>
      <c r="E142" s="4"/>
      <c r="F142" s="4"/>
    </row>
    <row r="143" spans="4:6" ht="15.75" customHeight="1">
      <c r="D143" s="4"/>
      <c r="E143" s="4"/>
      <c r="F143" s="4"/>
    </row>
    <row r="144" spans="4:6" ht="15.75" customHeight="1">
      <c r="D144" s="4"/>
      <c r="E144" s="4"/>
      <c r="F144" s="4"/>
    </row>
    <row r="145" spans="4:6" ht="15.75" customHeight="1">
      <c r="D145" s="4"/>
      <c r="E145" s="4"/>
      <c r="F145" s="4"/>
    </row>
    <row r="146" spans="4:6" ht="15.75" customHeight="1">
      <c r="D146" s="4"/>
      <c r="E146" s="4"/>
      <c r="F146" s="4"/>
    </row>
    <row r="147" spans="4:6" ht="15.75" customHeight="1">
      <c r="D147" s="4"/>
      <c r="E147" s="4"/>
      <c r="F147" s="4"/>
    </row>
    <row r="148" spans="4:6" ht="15.75" customHeight="1">
      <c r="D148" s="4"/>
      <c r="E148" s="4"/>
      <c r="F148" s="4"/>
    </row>
    <row r="149" spans="4:6" ht="15.75" customHeight="1">
      <c r="D149" s="4"/>
      <c r="E149" s="4"/>
      <c r="F149" s="4"/>
    </row>
    <row r="150" spans="4:6" ht="15.75" customHeight="1">
      <c r="D150" s="4"/>
      <c r="E150" s="4"/>
      <c r="F150" s="4"/>
    </row>
    <row r="151" spans="4:6" ht="15.75" customHeight="1">
      <c r="D151" s="4"/>
      <c r="E151" s="4"/>
      <c r="F151" s="4"/>
    </row>
    <row r="152" spans="4:6" ht="15.75" customHeight="1">
      <c r="D152" s="4"/>
      <c r="E152" s="4"/>
      <c r="F152" s="4"/>
    </row>
    <row r="153" spans="4:6" ht="15.75" customHeight="1">
      <c r="D153" s="4"/>
      <c r="E153" s="4"/>
      <c r="F153" s="4"/>
    </row>
    <row r="154" spans="4:6" ht="15.75" customHeight="1">
      <c r="D154" s="4"/>
      <c r="E154" s="4"/>
      <c r="F154" s="4"/>
    </row>
    <row r="155" spans="4:6" ht="15.75" customHeight="1">
      <c r="D155" s="4"/>
      <c r="E155" s="4"/>
      <c r="F155" s="4"/>
    </row>
    <row r="156" spans="4:6" ht="15.75" customHeight="1">
      <c r="D156" s="4"/>
      <c r="E156" s="4"/>
      <c r="F156" s="4"/>
    </row>
    <row r="157" spans="4:6" ht="15.75" customHeight="1">
      <c r="D157" s="4"/>
      <c r="E157" s="4"/>
      <c r="F157" s="4"/>
    </row>
    <row r="158" spans="4:6" ht="15.75" customHeight="1">
      <c r="D158" s="4"/>
      <c r="E158" s="4"/>
      <c r="F158" s="4"/>
    </row>
    <row r="159" spans="4:6" ht="15.75" customHeight="1">
      <c r="D159" s="4"/>
      <c r="E159" s="4"/>
      <c r="F159" s="4"/>
    </row>
    <row r="160" spans="4:6" ht="15.75" customHeight="1">
      <c r="D160" s="4"/>
      <c r="E160" s="4"/>
      <c r="F160" s="4"/>
    </row>
    <row r="161" spans="4:6" ht="15.75" customHeight="1">
      <c r="D161" s="4"/>
      <c r="E161" s="4"/>
      <c r="F161" s="4"/>
    </row>
    <row r="162" spans="4:6" ht="15.75" customHeight="1">
      <c r="D162" s="4"/>
      <c r="E162" s="4"/>
      <c r="F162" s="4"/>
    </row>
    <row r="163" spans="4:6" ht="15.75" customHeight="1">
      <c r="D163" s="4"/>
      <c r="E163" s="4"/>
      <c r="F163" s="4"/>
    </row>
    <row r="164" spans="4:6" ht="15.75" customHeight="1">
      <c r="D164" s="4"/>
      <c r="E164" s="4"/>
      <c r="F164" s="4"/>
    </row>
    <row r="165" spans="4:6" ht="15.75" customHeight="1">
      <c r="D165" s="4"/>
      <c r="E165" s="4"/>
      <c r="F165" s="4"/>
    </row>
    <row r="166" spans="4:6" ht="15.75" customHeight="1">
      <c r="D166" s="4"/>
      <c r="E166" s="4"/>
      <c r="F166" s="4"/>
    </row>
    <row r="167" spans="4:6" ht="15.75" customHeight="1">
      <c r="D167" s="4"/>
      <c r="E167" s="4"/>
      <c r="F167" s="4"/>
    </row>
    <row r="168" spans="4:6" ht="15.75" customHeight="1">
      <c r="D168" s="4"/>
      <c r="E168" s="4"/>
      <c r="F168" s="4"/>
    </row>
    <row r="169" spans="4:6" ht="15.75" customHeight="1">
      <c r="D169" s="4"/>
      <c r="E169" s="4"/>
      <c r="F169" s="4"/>
    </row>
    <row r="170" spans="4:6" ht="15.75" customHeight="1">
      <c r="D170" s="4"/>
      <c r="E170" s="4"/>
      <c r="F170" s="4"/>
    </row>
    <row r="171" spans="4:6" ht="15.75" customHeight="1">
      <c r="D171" s="4"/>
      <c r="E171" s="4"/>
      <c r="F171" s="4"/>
    </row>
    <row r="172" spans="4:6" ht="15.75" customHeight="1">
      <c r="D172" s="4"/>
      <c r="E172" s="4"/>
      <c r="F172" s="4"/>
    </row>
    <row r="173" spans="4:6" ht="15.75" customHeight="1">
      <c r="D173" s="4"/>
      <c r="E173" s="4"/>
      <c r="F173" s="4"/>
    </row>
    <row r="174" spans="4:6" ht="15.75" customHeight="1">
      <c r="D174" s="4"/>
      <c r="E174" s="4"/>
      <c r="F174" s="4"/>
    </row>
    <row r="175" spans="4:6" ht="15.75" customHeight="1">
      <c r="D175" s="4"/>
      <c r="E175" s="4"/>
      <c r="F175" s="4"/>
    </row>
    <row r="176" spans="4:6" ht="15.75" customHeight="1">
      <c r="D176" s="4"/>
      <c r="E176" s="4"/>
      <c r="F176" s="4"/>
    </row>
    <row r="177" spans="4:6" ht="15.75" customHeight="1">
      <c r="D177" s="4"/>
      <c r="E177" s="4"/>
      <c r="F177" s="4"/>
    </row>
    <row r="178" spans="4:6" ht="15.75" customHeight="1">
      <c r="D178" s="4"/>
      <c r="E178" s="4"/>
      <c r="F178" s="4"/>
    </row>
    <row r="179" spans="4:6" ht="15.75" customHeight="1">
      <c r="D179" s="4"/>
      <c r="E179" s="4"/>
      <c r="F179" s="4"/>
    </row>
    <row r="180" spans="4:6" ht="15.75" customHeight="1">
      <c r="D180" s="4"/>
      <c r="E180" s="4"/>
      <c r="F180" s="4"/>
    </row>
    <row r="181" spans="4:6" ht="15.75" customHeight="1">
      <c r="D181" s="4"/>
      <c r="E181" s="4"/>
      <c r="F181" s="4"/>
    </row>
    <row r="182" spans="4:6" ht="15.75" customHeight="1">
      <c r="D182" s="4"/>
      <c r="E182" s="4"/>
      <c r="F182" s="4"/>
    </row>
    <row r="183" spans="4:6" ht="15.75" customHeight="1">
      <c r="D183" s="4"/>
      <c r="E183" s="4"/>
      <c r="F183" s="4"/>
    </row>
    <row r="184" spans="4:6" ht="15.75" customHeight="1">
      <c r="D184" s="4"/>
      <c r="E184" s="4"/>
      <c r="F184" s="4"/>
    </row>
    <row r="185" spans="4:6" ht="15.75" customHeight="1">
      <c r="D185" s="4"/>
      <c r="E185" s="4"/>
      <c r="F185" s="4"/>
    </row>
    <row r="186" spans="4:6" ht="15.75" customHeight="1">
      <c r="D186" s="4"/>
      <c r="E186" s="4"/>
      <c r="F186" s="4"/>
    </row>
    <row r="187" spans="4:6" ht="15.75" customHeight="1">
      <c r="D187" s="4"/>
      <c r="E187" s="4"/>
      <c r="F187" s="4"/>
    </row>
    <row r="188" spans="4:6" ht="15.75" customHeight="1">
      <c r="D188" s="4"/>
      <c r="E188" s="4"/>
      <c r="F188" s="4"/>
    </row>
    <row r="189" spans="4:6" ht="15.75" customHeight="1">
      <c r="D189" s="4"/>
      <c r="E189" s="4"/>
      <c r="F189" s="4"/>
    </row>
    <row r="190" spans="4:6" ht="15.75" customHeight="1">
      <c r="D190" s="4"/>
      <c r="E190" s="4"/>
      <c r="F190" s="4"/>
    </row>
    <row r="191" spans="4:6" ht="15.75" customHeight="1">
      <c r="D191" s="4"/>
      <c r="E191" s="4"/>
      <c r="F191" s="4"/>
    </row>
    <row r="192" spans="4:6" ht="15.75" customHeight="1">
      <c r="D192" s="4"/>
      <c r="E192" s="4"/>
      <c r="F192" s="4"/>
    </row>
    <row r="193" spans="4:6" ht="15.75" customHeight="1">
      <c r="D193" s="4"/>
      <c r="E193" s="4"/>
      <c r="F193" s="4"/>
    </row>
    <row r="194" spans="4:6" ht="15.75" customHeight="1">
      <c r="D194" s="4"/>
      <c r="E194" s="4"/>
      <c r="F194" s="4"/>
    </row>
    <row r="195" spans="4:6" ht="15.75" customHeight="1">
      <c r="D195" s="4"/>
      <c r="E195" s="4"/>
      <c r="F195" s="4"/>
    </row>
    <row r="196" spans="4:6" ht="15.75" customHeight="1">
      <c r="D196" s="4"/>
      <c r="E196" s="4"/>
      <c r="F196" s="4"/>
    </row>
    <row r="197" spans="4:6" ht="15.75" customHeight="1">
      <c r="D197" s="4"/>
      <c r="E197" s="4"/>
      <c r="F197" s="4"/>
    </row>
    <row r="198" spans="4:6" ht="15.75" customHeight="1">
      <c r="D198" s="4"/>
      <c r="E198" s="4"/>
      <c r="F198" s="4"/>
    </row>
    <row r="199" spans="4:6" ht="15.75" customHeight="1">
      <c r="D199" s="4"/>
      <c r="E199" s="4"/>
      <c r="F199" s="4"/>
    </row>
    <row r="200" spans="4:6" ht="15.75" customHeight="1">
      <c r="D200" s="4"/>
      <c r="E200" s="4"/>
      <c r="F200" s="4"/>
    </row>
    <row r="201" spans="4:6" ht="15.75" customHeight="1">
      <c r="D201" s="4"/>
      <c r="E201" s="4"/>
      <c r="F201" s="4"/>
    </row>
    <row r="202" spans="4:6" ht="15.75" customHeight="1">
      <c r="D202" s="4"/>
      <c r="E202" s="4"/>
      <c r="F202" s="4"/>
    </row>
    <row r="203" spans="4:6" ht="15.75" customHeight="1">
      <c r="D203" s="4"/>
      <c r="E203" s="4"/>
      <c r="F203" s="4"/>
    </row>
    <row r="204" spans="4:6" ht="15.75" customHeight="1">
      <c r="D204" s="4"/>
      <c r="E204" s="4"/>
      <c r="F204" s="4"/>
    </row>
    <row r="205" spans="4:6" ht="15.75" customHeight="1">
      <c r="D205" s="4"/>
      <c r="E205" s="4"/>
      <c r="F205" s="4"/>
    </row>
    <row r="206" spans="4:6" ht="15.75" customHeight="1">
      <c r="D206" s="4"/>
      <c r="E206" s="4"/>
      <c r="F206" s="4"/>
    </row>
    <row r="207" spans="4:6" ht="15.75" customHeight="1">
      <c r="D207" s="4"/>
      <c r="E207" s="4"/>
      <c r="F207" s="4"/>
    </row>
    <row r="208" spans="4:6" ht="15.75" customHeight="1">
      <c r="D208" s="4"/>
      <c r="E208" s="4"/>
      <c r="F208" s="4"/>
    </row>
    <row r="209" spans="4:6" ht="15.75" customHeight="1">
      <c r="D209" s="4"/>
      <c r="E209" s="4"/>
      <c r="F209" s="4"/>
    </row>
    <row r="210" spans="4:6" ht="15.75" customHeight="1">
      <c r="D210" s="4"/>
      <c r="E210" s="4"/>
      <c r="F210" s="4"/>
    </row>
    <row r="211" spans="4:6" ht="15.75" customHeight="1">
      <c r="D211" s="4"/>
      <c r="E211" s="4"/>
      <c r="F211" s="4"/>
    </row>
    <row r="212" spans="4:6" ht="15.75" customHeight="1">
      <c r="D212" s="4"/>
      <c r="E212" s="4"/>
      <c r="F212" s="4"/>
    </row>
    <row r="213" spans="4:6" ht="15.75" customHeight="1">
      <c r="D213" s="4"/>
      <c r="E213" s="4"/>
      <c r="F213" s="4"/>
    </row>
    <row r="214" spans="4:6" ht="15.75" customHeight="1">
      <c r="D214" s="4"/>
      <c r="E214" s="4"/>
      <c r="F214" s="4"/>
    </row>
    <row r="215" spans="4:6" ht="15.75" customHeight="1">
      <c r="D215" s="4"/>
      <c r="E215" s="4"/>
      <c r="F215" s="4"/>
    </row>
    <row r="216" spans="4:6" ht="15.75" customHeight="1">
      <c r="D216" s="4"/>
      <c r="E216" s="4"/>
      <c r="F216" s="4"/>
    </row>
    <row r="217" spans="4:6" ht="15.75" customHeight="1">
      <c r="D217" s="4"/>
      <c r="E217" s="4"/>
      <c r="F217" s="4"/>
    </row>
    <row r="218" spans="4:6" ht="15.75" customHeight="1">
      <c r="D218" s="4"/>
      <c r="E218" s="4"/>
      <c r="F218" s="4"/>
    </row>
    <row r="219" spans="4:6" ht="15.75" customHeight="1">
      <c r="D219" s="4"/>
      <c r="E219" s="4"/>
      <c r="F219" s="4"/>
    </row>
    <row r="220" spans="4:6" ht="15.75" customHeight="1">
      <c r="D220" s="4"/>
      <c r="E220" s="4"/>
      <c r="F220" s="4"/>
    </row>
    <row r="221" spans="4:6" ht="15.75" customHeight="1">
      <c r="D221" s="4"/>
      <c r="E221" s="4"/>
      <c r="F221" s="4"/>
    </row>
    <row r="222" spans="4:6" ht="15.75" customHeight="1">
      <c r="D222" s="4"/>
      <c r="E222" s="4"/>
      <c r="F222" s="4"/>
    </row>
    <row r="223" spans="4:6" ht="15.75" customHeight="1">
      <c r="D223" s="4"/>
      <c r="E223" s="4"/>
      <c r="F223" s="4"/>
    </row>
    <row r="224" spans="4:6" ht="15.75" customHeight="1">
      <c r="D224" s="4"/>
      <c r="E224" s="4"/>
      <c r="F224" s="4"/>
    </row>
    <row r="225" spans="4:6" ht="15.75" customHeight="1">
      <c r="D225" s="4"/>
      <c r="E225" s="4"/>
      <c r="F225" s="4"/>
    </row>
    <row r="226" spans="4:6" ht="15.75" customHeight="1">
      <c r="D226" s="4"/>
      <c r="E226" s="4"/>
      <c r="F226" s="4"/>
    </row>
    <row r="227" spans="4:6" ht="15.75" customHeight="1">
      <c r="D227" s="4"/>
      <c r="E227" s="4"/>
      <c r="F227" s="4"/>
    </row>
    <row r="228" spans="4:6" ht="15.75" customHeight="1">
      <c r="D228" s="4"/>
      <c r="E228" s="4"/>
      <c r="F228" s="4"/>
    </row>
    <row r="229" spans="4:6" ht="15.75" customHeight="1">
      <c r="D229" s="4"/>
      <c r="E229" s="4"/>
      <c r="F229" s="4"/>
    </row>
    <row r="230" spans="4:6" ht="15.75" customHeight="1">
      <c r="D230" s="4"/>
      <c r="E230" s="4"/>
      <c r="F230" s="4"/>
    </row>
    <row r="231" spans="4:6" ht="15.75" customHeight="1">
      <c r="D231" s="4"/>
      <c r="E231" s="4"/>
      <c r="F231" s="4"/>
    </row>
    <row r="232" spans="4:6" ht="15.75" customHeight="1">
      <c r="D232" s="4"/>
      <c r="E232" s="4"/>
      <c r="F232" s="4"/>
    </row>
    <row r="233" spans="4:6" ht="15.75" customHeight="1">
      <c r="D233" s="4"/>
      <c r="E233" s="4"/>
      <c r="F233" s="4"/>
    </row>
    <row r="234" spans="4:6" ht="15.75" customHeight="1">
      <c r="D234" s="4"/>
      <c r="E234" s="4"/>
      <c r="F234" s="4"/>
    </row>
    <row r="235" spans="4:6" ht="15.75" customHeight="1">
      <c r="D235" s="4"/>
      <c r="E235" s="4"/>
      <c r="F235" s="4"/>
    </row>
    <row r="236" spans="4:6" ht="15.75" customHeight="1">
      <c r="D236" s="4"/>
      <c r="E236" s="4"/>
      <c r="F236" s="4"/>
    </row>
    <row r="237" spans="4:6" ht="15.75" customHeight="1">
      <c r="D237" s="4"/>
      <c r="E237" s="4"/>
      <c r="F237" s="4"/>
    </row>
    <row r="238" spans="4:6" ht="15.75" customHeight="1">
      <c r="D238" s="4"/>
      <c r="E238" s="4"/>
      <c r="F238" s="4"/>
    </row>
    <row r="239" spans="4:6" ht="15.75" customHeight="1">
      <c r="D239" s="4"/>
      <c r="E239" s="4"/>
      <c r="F239" s="4"/>
    </row>
    <row r="240" spans="4:6" ht="15.75" customHeight="1">
      <c r="D240" s="4"/>
      <c r="E240" s="4"/>
      <c r="F240" s="4"/>
    </row>
    <row r="241" spans="4:6" ht="15.75" customHeight="1">
      <c r="D241" s="4"/>
      <c r="E241" s="4"/>
      <c r="F241" s="4"/>
    </row>
    <row r="242" spans="4:6" ht="15.75" customHeight="1">
      <c r="D242" s="4"/>
      <c r="E242" s="4"/>
      <c r="F242" s="4"/>
    </row>
    <row r="243" spans="4:6" ht="15.75" customHeight="1">
      <c r="D243" s="4"/>
      <c r="E243" s="4"/>
      <c r="F243" s="4"/>
    </row>
    <row r="244" spans="4:6" ht="15.75" customHeight="1">
      <c r="D244" s="4"/>
      <c r="E244" s="4"/>
      <c r="F244" s="4"/>
    </row>
    <row r="245" spans="4:6" ht="15.75" customHeight="1">
      <c r="D245" s="4"/>
      <c r="E245" s="4"/>
      <c r="F245" s="4"/>
    </row>
    <row r="246" spans="4:6" ht="15.75" customHeight="1">
      <c r="D246" s="4"/>
      <c r="E246" s="4"/>
      <c r="F246" s="4"/>
    </row>
    <row r="247" spans="4:6" ht="15.75" customHeight="1">
      <c r="D247" s="4"/>
      <c r="E247" s="4"/>
      <c r="F247" s="4"/>
    </row>
    <row r="248" spans="4:6" ht="15.75" customHeight="1">
      <c r="D248" s="4"/>
      <c r="E248" s="4"/>
      <c r="F248" s="4"/>
    </row>
    <row r="249" spans="4:6" ht="15.75" customHeight="1">
      <c r="D249" s="4"/>
      <c r="E249" s="4"/>
      <c r="F249" s="4"/>
    </row>
    <row r="250" spans="4:6" ht="15.75" customHeight="1">
      <c r="D250" s="4"/>
      <c r="E250" s="4"/>
      <c r="F250" s="4"/>
    </row>
    <row r="251" spans="4:6" ht="15.75" customHeight="1">
      <c r="D251" s="4"/>
      <c r="E251" s="4"/>
      <c r="F251" s="4"/>
    </row>
    <row r="252" spans="4:6" ht="15.75" customHeight="1">
      <c r="D252" s="4"/>
      <c r="E252" s="4"/>
      <c r="F252" s="4"/>
    </row>
    <row r="253" spans="4:6" ht="15.75" customHeight="1">
      <c r="D253" s="4"/>
      <c r="E253" s="4"/>
      <c r="F253" s="4"/>
    </row>
    <row r="254" spans="4:6" ht="15.75" customHeight="1">
      <c r="D254" s="4"/>
      <c r="E254" s="4"/>
      <c r="F254" s="4"/>
    </row>
    <row r="255" spans="4:6" ht="15.75" customHeight="1">
      <c r="D255" s="4"/>
      <c r="E255" s="4"/>
      <c r="F255" s="4"/>
    </row>
    <row r="256" spans="4:6" ht="15.75" customHeight="1">
      <c r="D256" s="4"/>
      <c r="E256" s="4"/>
      <c r="F256" s="4"/>
    </row>
    <row r="257" spans="4:6" ht="15.75" customHeight="1">
      <c r="D257" s="4"/>
      <c r="E257" s="4"/>
      <c r="F257" s="4"/>
    </row>
    <row r="258" spans="4:6" ht="15.75" customHeight="1">
      <c r="D258" s="4"/>
      <c r="E258" s="4"/>
      <c r="F258" s="4"/>
    </row>
    <row r="259" spans="4:6" ht="15.75" customHeight="1">
      <c r="D259" s="4"/>
      <c r="E259" s="4"/>
      <c r="F259" s="4"/>
    </row>
    <row r="260" spans="4:6" ht="15.75" customHeight="1">
      <c r="D260" s="4"/>
      <c r="E260" s="4"/>
      <c r="F260" s="4"/>
    </row>
    <row r="261" spans="4:6" ht="15.75" customHeight="1">
      <c r="D261" s="4"/>
      <c r="E261" s="4"/>
      <c r="F261" s="4"/>
    </row>
    <row r="262" spans="4:6" ht="15.75" customHeight="1">
      <c r="D262" s="4"/>
      <c r="E262" s="4"/>
      <c r="F262" s="4"/>
    </row>
    <row r="263" spans="4:6" ht="15.75" customHeight="1">
      <c r="D263" s="4"/>
      <c r="E263" s="4"/>
      <c r="F263" s="4"/>
    </row>
    <row r="264" spans="4:6" ht="15.75" customHeight="1">
      <c r="D264" s="4"/>
      <c r="E264" s="4"/>
      <c r="F264" s="4"/>
    </row>
    <row r="265" spans="4:6" ht="15.75" customHeight="1">
      <c r="D265" s="4"/>
      <c r="E265" s="4"/>
      <c r="F265" s="4"/>
    </row>
    <row r="266" spans="4:6" ht="15.75" customHeight="1">
      <c r="D266" s="4"/>
      <c r="E266" s="4"/>
      <c r="F266" s="4"/>
    </row>
    <row r="267" spans="4:6" ht="15.75" customHeight="1">
      <c r="D267" s="4"/>
      <c r="E267" s="4"/>
      <c r="F267" s="4"/>
    </row>
    <row r="268" spans="4:6" ht="15.75" customHeight="1">
      <c r="D268" s="4"/>
      <c r="E268" s="4"/>
      <c r="F268" s="4"/>
    </row>
    <row r="269" spans="4:6" ht="15.75" customHeight="1">
      <c r="D269" s="4"/>
      <c r="E269" s="4"/>
      <c r="F269" s="4"/>
    </row>
    <row r="270" spans="4:6" ht="15.75" customHeight="1">
      <c r="D270" s="4"/>
      <c r="E270" s="4"/>
      <c r="F270" s="4"/>
    </row>
    <row r="271" spans="4:6" ht="15.75" customHeight="1">
      <c r="D271" s="4"/>
      <c r="E271" s="4"/>
      <c r="F271" s="4"/>
    </row>
    <row r="272" spans="4:6" ht="15.75" customHeight="1">
      <c r="D272" s="4"/>
      <c r="E272" s="4"/>
      <c r="F272" s="4"/>
    </row>
    <row r="273" spans="4:6" ht="15.75" customHeight="1">
      <c r="D273" s="4"/>
      <c r="E273" s="4"/>
      <c r="F273" s="4"/>
    </row>
    <row r="274" spans="4:6" ht="15.75" customHeight="1">
      <c r="D274" s="4"/>
      <c r="E274" s="4"/>
      <c r="F274" s="4"/>
    </row>
    <row r="275" spans="4:6" ht="15.75" customHeight="1">
      <c r="D275" s="4"/>
      <c r="E275" s="4"/>
      <c r="F275" s="4"/>
    </row>
    <row r="276" spans="4:6" ht="15.75" customHeight="1">
      <c r="D276" s="4"/>
      <c r="E276" s="4"/>
      <c r="F276" s="4"/>
    </row>
    <row r="277" spans="4:6" ht="15.75" customHeight="1">
      <c r="D277" s="4"/>
      <c r="E277" s="4"/>
      <c r="F277" s="4"/>
    </row>
    <row r="278" spans="4:6" ht="15.75" customHeight="1">
      <c r="D278" s="4"/>
      <c r="E278" s="4"/>
      <c r="F278" s="4"/>
    </row>
    <row r="279" spans="4:6" ht="15.75" customHeight="1">
      <c r="D279" s="4"/>
      <c r="E279" s="4"/>
      <c r="F279" s="4"/>
    </row>
    <row r="280" spans="4:6" ht="15.75" customHeight="1">
      <c r="D280" s="4"/>
      <c r="E280" s="4"/>
      <c r="F280" s="4"/>
    </row>
    <row r="281" spans="4:6" ht="15.75" customHeight="1">
      <c r="D281" s="4"/>
      <c r="E281" s="4"/>
      <c r="F281" s="4"/>
    </row>
    <row r="282" spans="4:6" ht="15.75" customHeight="1">
      <c r="D282" s="4"/>
      <c r="E282" s="4"/>
      <c r="F282" s="4"/>
    </row>
    <row r="283" spans="4:6" ht="15.75" customHeight="1">
      <c r="D283" s="4"/>
      <c r="E283" s="4"/>
      <c r="F283" s="4"/>
    </row>
    <row r="284" spans="4:6" ht="15.75" customHeight="1">
      <c r="D284" s="4"/>
      <c r="E284" s="4"/>
      <c r="F284" s="4"/>
    </row>
    <row r="285" spans="4:6" ht="15.75" customHeight="1">
      <c r="D285" s="4"/>
      <c r="E285" s="4"/>
      <c r="F285" s="4"/>
    </row>
    <row r="286" spans="4:6" ht="15.75" customHeight="1">
      <c r="D286" s="4"/>
      <c r="E286" s="4"/>
      <c r="F286" s="4"/>
    </row>
    <row r="287" spans="4:6" ht="15.75" customHeight="1">
      <c r="D287" s="4"/>
      <c r="E287" s="4"/>
      <c r="F287" s="4"/>
    </row>
    <row r="288" spans="4:6" ht="15.75" customHeight="1">
      <c r="D288" s="4"/>
      <c r="E288" s="4"/>
      <c r="F288" s="4"/>
    </row>
    <row r="289" spans="4:6" ht="15.75" customHeight="1">
      <c r="D289" s="4"/>
      <c r="E289" s="4"/>
      <c r="F289" s="4"/>
    </row>
    <row r="290" spans="4:6" ht="15.75" customHeight="1">
      <c r="D290" s="4"/>
      <c r="E290" s="4"/>
      <c r="F290" s="4"/>
    </row>
    <row r="291" spans="4:6" ht="15.75" customHeight="1">
      <c r="D291" s="4"/>
      <c r="E291" s="4"/>
      <c r="F291" s="4"/>
    </row>
    <row r="292" spans="4:6" ht="15.75" customHeight="1">
      <c r="D292" s="4"/>
      <c r="E292" s="4"/>
      <c r="F292" s="4"/>
    </row>
    <row r="293" spans="4:6" ht="15.75" customHeight="1">
      <c r="D293" s="4"/>
      <c r="E293" s="4"/>
      <c r="F293" s="4"/>
    </row>
    <row r="294" spans="4:6" ht="15.75" customHeight="1">
      <c r="D294" s="4"/>
      <c r="E294" s="4"/>
      <c r="F294" s="4"/>
    </row>
    <row r="295" spans="4:6" ht="15.75" customHeight="1">
      <c r="D295" s="4"/>
      <c r="E295" s="4"/>
      <c r="F295" s="4"/>
    </row>
    <row r="296" spans="4:6" ht="15.75" customHeight="1">
      <c r="D296" s="4"/>
      <c r="E296" s="4"/>
      <c r="F296" s="4"/>
    </row>
    <row r="297" spans="4:6" ht="15.75" customHeight="1">
      <c r="D297" s="4"/>
      <c r="E297" s="4"/>
      <c r="F297" s="4"/>
    </row>
    <row r="298" spans="4:6" ht="15.75" customHeight="1">
      <c r="D298" s="4"/>
      <c r="E298" s="4"/>
      <c r="F298" s="4"/>
    </row>
    <row r="299" spans="4:6" ht="15.75" customHeight="1">
      <c r="D299" s="4"/>
      <c r="E299" s="4"/>
      <c r="F299" s="4"/>
    </row>
    <row r="300" spans="4:6" ht="15.75" customHeight="1">
      <c r="D300" s="4"/>
      <c r="E300" s="4"/>
      <c r="F300" s="4"/>
    </row>
    <row r="301" spans="4:6" ht="15.75" customHeight="1">
      <c r="D301" s="4"/>
      <c r="E301" s="4"/>
      <c r="F301" s="4"/>
    </row>
    <row r="302" spans="4:6" ht="15.75" customHeight="1">
      <c r="D302" s="4"/>
      <c r="E302" s="4"/>
      <c r="F302" s="4"/>
    </row>
    <row r="303" spans="4:6" ht="15.75" customHeight="1">
      <c r="D303" s="4"/>
      <c r="E303" s="4"/>
      <c r="F303" s="4"/>
    </row>
    <row r="304" spans="4:6" ht="15.75" customHeight="1">
      <c r="D304" s="4"/>
      <c r="E304" s="4"/>
      <c r="F304" s="4"/>
    </row>
    <row r="305" spans="4:6" ht="15.75" customHeight="1">
      <c r="D305" s="4"/>
      <c r="E305" s="4"/>
      <c r="F305" s="4"/>
    </row>
    <row r="306" spans="4:6" ht="15.75" customHeight="1">
      <c r="D306" s="4"/>
      <c r="E306" s="4"/>
      <c r="F306" s="4"/>
    </row>
    <row r="307" spans="4:6" ht="15.75" customHeight="1">
      <c r="D307" s="4"/>
      <c r="E307" s="4"/>
      <c r="F307" s="4"/>
    </row>
    <row r="308" spans="4:6" ht="15.75" customHeight="1">
      <c r="D308" s="4"/>
      <c r="E308" s="4"/>
      <c r="F308" s="4"/>
    </row>
    <row r="309" spans="4:6" ht="15.75" customHeight="1">
      <c r="D309" s="4"/>
      <c r="E309" s="4"/>
      <c r="F309" s="4"/>
    </row>
    <row r="310" spans="4:6" ht="15.75" customHeight="1">
      <c r="D310" s="4"/>
      <c r="E310" s="4"/>
      <c r="F310" s="4"/>
    </row>
    <row r="311" spans="4:6" ht="15.75" customHeight="1">
      <c r="D311" s="4"/>
      <c r="E311" s="4"/>
      <c r="F311" s="4"/>
    </row>
    <row r="312" spans="4:6" ht="15.75" customHeight="1">
      <c r="D312" s="4"/>
      <c r="E312" s="4"/>
      <c r="F312" s="4"/>
    </row>
    <row r="313" spans="4:6" ht="15.75" customHeight="1">
      <c r="D313" s="4"/>
      <c r="E313" s="4"/>
      <c r="F313" s="4"/>
    </row>
    <row r="314" spans="4:6" ht="15.75" customHeight="1">
      <c r="D314" s="4"/>
      <c r="E314" s="4"/>
      <c r="F314" s="4"/>
    </row>
    <row r="315" spans="4:6" ht="15.75" customHeight="1">
      <c r="D315" s="4"/>
      <c r="E315" s="4"/>
      <c r="F315" s="4"/>
    </row>
    <row r="316" spans="4:6" ht="15.75" customHeight="1">
      <c r="D316" s="4"/>
      <c r="E316" s="4"/>
      <c r="F316" s="4"/>
    </row>
    <row r="317" spans="4:6" ht="15.75" customHeight="1">
      <c r="D317" s="4"/>
      <c r="E317" s="4"/>
      <c r="F317" s="4"/>
    </row>
    <row r="318" spans="4:6" ht="15.75" customHeight="1">
      <c r="D318" s="4"/>
      <c r="E318" s="4"/>
      <c r="F318" s="4"/>
    </row>
    <row r="319" spans="4:6" ht="15.75" customHeight="1">
      <c r="D319" s="4"/>
      <c r="E319" s="4"/>
      <c r="F319" s="4"/>
    </row>
    <row r="320" spans="4:6" ht="15.75" customHeight="1">
      <c r="D320" s="4"/>
      <c r="E320" s="4"/>
      <c r="F320" s="4"/>
    </row>
    <row r="321" spans="4:6" ht="15.75" customHeight="1">
      <c r="D321" s="4"/>
      <c r="E321" s="4"/>
      <c r="F321" s="4"/>
    </row>
    <row r="322" spans="4:6" ht="15.75" customHeight="1">
      <c r="D322" s="4"/>
      <c r="E322" s="4"/>
      <c r="F322" s="4"/>
    </row>
    <row r="323" spans="4:6" ht="15.75" customHeight="1">
      <c r="D323" s="4"/>
      <c r="E323" s="4"/>
      <c r="F323" s="4"/>
    </row>
    <row r="324" spans="4:6" ht="15.75" customHeight="1">
      <c r="D324" s="4"/>
      <c r="E324" s="4"/>
      <c r="F324" s="4"/>
    </row>
    <row r="325" spans="4:6" ht="15.75" customHeight="1">
      <c r="D325" s="4"/>
      <c r="E325" s="4"/>
      <c r="F325" s="4"/>
    </row>
    <row r="326" spans="4:6" ht="15.75" customHeight="1">
      <c r="D326" s="4"/>
      <c r="E326" s="4"/>
      <c r="F326" s="4"/>
    </row>
    <row r="327" spans="4:6" ht="15.75" customHeight="1">
      <c r="D327" s="4"/>
      <c r="E327" s="4"/>
      <c r="F327" s="4"/>
    </row>
    <row r="328" spans="4:6" ht="15.75" customHeight="1">
      <c r="D328" s="4"/>
      <c r="E328" s="4"/>
      <c r="F328" s="4"/>
    </row>
    <row r="329" spans="4:6" ht="15.75" customHeight="1">
      <c r="D329" s="4"/>
      <c r="E329" s="4"/>
      <c r="F329" s="4"/>
    </row>
    <row r="330" spans="4:6" ht="15.75" customHeight="1">
      <c r="D330" s="4"/>
      <c r="E330" s="4"/>
      <c r="F330" s="4"/>
    </row>
    <row r="331" spans="4:6" ht="15.75" customHeight="1">
      <c r="D331" s="4"/>
      <c r="E331" s="4"/>
      <c r="F331" s="4"/>
    </row>
    <row r="332" spans="4:6" ht="15.75" customHeight="1">
      <c r="D332" s="4"/>
      <c r="E332" s="4"/>
      <c r="F332" s="4"/>
    </row>
    <row r="333" spans="4:6" ht="15.75" customHeight="1">
      <c r="D333" s="4"/>
      <c r="E333" s="4"/>
      <c r="F333" s="4"/>
    </row>
    <row r="334" spans="4:6" ht="15.75" customHeight="1">
      <c r="D334" s="4"/>
      <c r="E334" s="4"/>
      <c r="F334" s="4"/>
    </row>
    <row r="335" spans="4:6" ht="15.75" customHeight="1">
      <c r="D335" s="4"/>
      <c r="E335" s="4"/>
      <c r="F335" s="4"/>
    </row>
    <row r="336" spans="4:6" ht="15.75" customHeight="1">
      <c r="D336" s="4"/>
      <c r="E336" s="4"/>
      <c r="F336" s="4"/>
    </row>
    <row r="337" spans="4:6" ht="15.75" customHeight="1">
      <c r="D337" s="4"/>
      <c r="E337" s="4"/>
      <c r="F337" s="4"/>
    </row>
    <row r="338" spans="4:6" ht="15.75" customHeight="1">
      <c r="D338" s="4"/>
      <c r="E338" s="4"/>
      <c r="F338" s="4"/>
    </row>
    <row r="339" spans="4:6" ht="15.75" customHeight="1">
      <c r="D339" s="4"/>
      <c r="E339" s="4"/>
      <c r="F339" s="4"/>
    </row>
    <row r="340" spans="4:6" ht="15.75" customHeight="1">
      <c r="D340" s="4"/>
      <c r="E340" s="4"/>
      <c r="F340" s="4"/>
    </row>
    <row r="341" spans="4:6" ht="15.75" customHeight="1">
      <c r="D341" s="4"/>
      <c r="E341" s="4"/>
      <c r="F341" s="4"/>
    </row>
    <row r="342" spans="4:6" ht="15.75" customHeight="1">
      <c r="D342" s="4"/>
      <c r="E342" s="4"/>
      <c r="F342" s="4"/>
    </row>
    <row r="343" spans="4:6" ht="15.75" customHeight="1">
      <c r="D343" s="4"/>
      <c r="E343" s="4"/>
      <c r="F343" s="4"/>
    </row>
    <row r="344" spans="4:6" ht="15.75" customHeight="1">
      <c r="D344" s="4"/>
      <c r="E344" s="4"/>
      <c r="F344" s="4"/>
    </row>
    <row r="345" spans="4:6" ht="15.75" customHeight="1">
      <c r="D345" s="4"/>
      <c r="E345" s="4"/>
      <c r="F345" s="4"/>
    </row>
    <row r="346" spans="4:6" ht="15.75" customHeight="1">
      <c r="D346" s="4"/>
      <c r="E346" s="4"/>
      <c r="F346" s="4"/>
    </row>
    <row r="347" spans="4:6" ht="15.75" customHeight="1">
      <c r="D347" s="4"/>
      <c r="E347" s="4"/>
      <c r="F347" s="4"/>
    </row>
    <row r="348" spans="4:6" ht="15.75" customHeight="1">
      <c r="D348" s="4"/>
      <c r="E348" s="4"/>
      <c r="F348" s="4"/>
    </row>
    <row r="349" spans="4:6" ht="15.75" customHeight="1">
      <c r="D349" s="4"/>
      <c r="E349" s="4"/>
      <c r="F349" s="4"/>
    </row>
    <row r="350" spans="4:6" ht="15.75" customHeight="1">
      <c r="D350" s="4"/>
      <c r="E350" s="4"/>
      <c r="F350" s="4"/>
    </row>
    <row r="351" spans="4:6" ht="15.75" customHeight="1">
      <c r="D351" s="4"/>
      <c r="E351" s="4"/>
      <c r="F351" s="4"/>
    </row>
    <row r="352" spans="4:6" ht="15.75" customHeight="1">
      <c r="D352" s="4"/>
      <c r="E352" s="4"/>
      <c r="F352" s="4"/>
    </row>
    <row r="353" spans="4:6" ht="15.75" customHeight="1">
      <c r="D353" s="4"/>
      <c r="E353" s="4"/>
      <c r="F353" s="4"/>
    </row>
    <row r="354" spans="4:6" ht="15.75" customHeight="1">
      <c r="D354" s="4"/>
      <c r="E354" s="4"/>
      <c r="F354" s="4"/>
    </row>
    <row r="355" spans="4:6" ht="15.75" customHeight="1">
      <c r="D355" s="4"/>
      <c r="E355" s="4"/>
      <c r="F355" s="4"/>
    </row>
    <row r="356" spans="4:6" ht="15.75" customHeight="1">
      <c r="D356" s="4"/>
      <c r="E356" s="4"/>
      <c r="F356" s="4"/>
    </row>
    <row r="357" spans="4:6" ht="15.75" customHeight="1">
      <c r="D357" s="4"/>
      <c r="E357" s="4"/>
      <c r="F357" s="4"/>
    </row>
    <row r="358" spans="4:6" ht="15.75" customHeight="1">
      <c r="D358" s="4"/>
      <c r="E358" s="4"/>
      <c r="F358" s="4"/>
    </row>
    <row r="359" spans="4:6" ht="15.75" customHeight="1">
      <c r="D359" s="4"/>
      <c r="E359" s="4"/>
      <c r="F359" s="4"/>
    </row>
    <row r="360" spans="4:6" ht="15.75" customHeight="1">
      <c r="D360" s="4"/>
      <c r="E360" s="4"/>
      <c r="F360" s="4"/>
    </row>
    <row r="361" spans="4:6" ht="15.75" customHeight="1">
      <c r="D361" s="4"/>
      <c r="E361" s="4"/>
      <c r="F361" s="4"/>
    </row>
    <row r="362" spans="4:6" ht="15.75" customHeight="1">
      <c r="D362" s="4"/>
      <c r="E362" s="4"/>
      <c r="F362" s="4"/>
    </row>
    <row r="363" spans="4:6" ht="15.75" customHeight="1">
      <c r="D363" s="4"/>
      <c r="E363" s="4"/>
      <c r="F363" s="4"/>
    </row>
    <row r="364" spans="4:6" ht="15.75" customHeight="1">
      <c r="D364" s="4"/>
      <c r="E364" s="4"/>
      <c r="F364" s="4"/>
    </row>
    <row r="365" spans="4:6" ht="15.75" customHeight="1">
      <c r="D365" s="4"/>
      <c r="E365" s="4"/>
      <c r="F365" s="4"/>
    </row>
    <row r="366" spans="4:6" ht="15.75" customHeight="1">
      <c r="D366" s="4"/>
      <c r="E366" s="4"/>
      <c r="F366" s="4"/>
    </row>
    <row r="367" spans="4:6" ht="15.75" customHeight="1">
      <c r="D367" s="4"/>
      <c r="E367" s="4"/>
      <c r="F367" s="4"/>
    </row>
    <row r="368" spans="4:6" ht="15.75" customHeight="1">
      <c r="D368" s="4"/>
      <c r="E368" s="4"/>
      <c r="F368" s="4"/>
    </row>
    <row r="369" spans="4:6" ht="15.75" customHeight="1">
      <c r="D369" s="4"/>
      <c r="E369" s="4"/>
      <c r="F369" s="4"/>
    </row>
    <row r="370" spans="4:6" ht="15.75" customHeight="1">
      <c r="D370" s="4"/>
      <c r="E370" s="4"/>
      <c r="F370" s="4"/>
    </row>
    <row r="371" spans="4:6" ht="15.75" customHeight="1">
      <c r="D371" s="4"/>
      <c r="E371" s="4"/>
      <c r="F371" s="4"/>
    </row>
    <row r="372" spans="4:6" ht="15.75" customHeight="1">
      <c r="D372" s="4"/>
      <c r="E372" s="4"/>
      <c r="F372" s="4"/>
    </row>
    <row r="373" spans="4:6" ht="15.75" customHeight="1">
      <c r="D373" s="4"/>
      <c r="E373" s="4"/>
      <c r="F373" s="4"/>
    </row>
    <row r="374" spans="4:6" ht="15.75" customHeight="1">
      <c r="D374" s="4"/>
      <c r="E374" s="4"/>
      <c r="F374" s="4"/>
    </row>
    <row r="375" spans="4:6" ht="15.75" customHeight="1">
      <c r="D375" s="4"/>
      <c r="E375" s="4"/>
      <c r="F375" s="4"/>
    </row>
    <row r="376" spans="4:6" ht="15.75" customHeight="1">
      <c r="D376" s="4"/>
      <c r="E376" s="4"/>
      <c r="F376" s="4"/>
    </row>
    <row r="377" spans="4:6" ht="15.75" customHeight="1">
      <c r="D377" s="4"/>
      <c r="E377" s="4"/>
      <c r="F377" s="4"/>
    </row>
    <row r="378" spans="4:6" ht="15.75" customHeight="1">
      <c r="D378" s="4"/>
      <c r="E378" s="4"/>
      <c r="F378" s="4"/>
    </row>
    <row r="379" spans="4:6" ht="15.75" customHeight="1">
      <c r="D379" s="4"/>
      <c r="E379" s="4"/>
      <c r="F379" s="4"/>
    </row>
    <row r="380" spans="4:6" ht="15.75" customHeight="1">
      <c r="D380" s="4"/>
      <c r="E380" s="4"/>
      <c r="F380" s="4"/>
    </row>
    <row r="381" spans="4:6" ht="15.75" customHeight="1">
      <c r="D381" s="4"/>
      <c r="E381" s="4"/>
      <c r="F381" s="4"/>
    </row>
    <row r="382" spans="4:6" ht="15.75" customHeight="1">
      <c r="D382" s="4"/>
      <c r="E382" s="4"/>
      <c r="F382" s="4"/>
    </row>
    <row r="383" spans="4:6" ht="15.75" customHeight="1">
      <c r="D383" s="4"/>
      <c r="E383" s="4"/>
      <c r="F383" s="4"/>
    </row>
    <row r="384" spans="4:6" ht="15.75" customHeight="1">
      <c r="D384" s="4"/>
      <c r="E384" s="4"/>
      <c r="F384" s="4"/>
    </row>
    <row r="385" spans="4:6" ht="15.75" customHeight="1">
      <c r="D385" s="4"/>
      <c r="E385" s="4"/>
      <c r="F385" s="4"/>
    </row>
    <row r="386" spans="4:6" ht="15.75" customHeight="1">
      <c r="D386" s="4"/>
      <c r="E386" s="4"/>
      <c r="F386" s="4"/>
    </row>
    <row r="387" spans="4:6" ht="15.75" customHeight="1">
      <c r="D387" s="4"/>
      <c r="E387" s="4"/>
      <c r="F387" s="4"/>
    </row>
    <row r="388" spans="4:6" ht="15.75" customHeight="1">
      <c r="D388" s="4"/>
      <c r="E388" s="4"/>
      <c r="F388" s="4"/>
    </row>
    <row r="389" spans="4:6" ht="15.75" customHeight="1">
      <c r="D389" s="4"/>
      <c r="E389" s="4"/>
      <c r="F389" s="4"/>
    </row>
    <row r="390" spans="4:6" ht="15.75" customHeight="1">
      <c r="D390" s="4"/>
      <c r="E390" s="4"/>
      <c r="F390" s="4"/>
    </row>
    <row r="391" spans="4:6" ht="15.75" customHeight="1">
      <c r="D391" s="4"/>
      <c r="E391" s="4"/>
      <c r="F391" s="4"/>
    </row>
    <row r="392" spans="4:6" ht="15.75" customHeight="1">
      <c r="D392" s="4"/>
      <c r="E392" s="4"/>
      <c r="F392" s="4"/>
    </row>
    <row r="393" spans="4:6" ht="15.75" customHeight="1">
      <c r="D393" s="4"/>
      <c r="E393" s="4"/>
      <c r="F393" s="4"/>
    </row>
    <row r="394" spans="4:6" ht="15.75" customHeight="1">
      <c r="D394" s="4"/>
      <c r="E394" s="4"/>
      <c r="F394" s="4"/>
    </row>
    <row r="395" spans="4:6" ht="15.75" customHeight="1">
      <c r="D395" s="4"/>
      <c r="E395" s="4"/>
      <c r="F395" s="4"/>
    </row>
    <row r="396" spans="4:6" ht="15.75" customHeight="1">
      <c r="D396" s="4"/>
      <c r="E396" s="4"/>
      <c r="F396" s="4"/>
    </row>
    <row r="397" spans="4:6" ht="15.75" customHeight="1">
      <c r="D397" s="4"/>
      <c r="E397" s="4"/>
      <c r="F397" s="4"/>
    </row>
    <row r="398" spans="4:6" ht="15.75" customHeight="1">
      <c r="D398" s="4"/>
      <c r="E398" s="4"/>
      <c r="F398" s="4"/>
    </row>
    <row r="399" spans="4:6" ht="15.75" customHeight="1">
      <c r="D399" s="4"/>
      <c r="E399" s="4"/>
      <c r="F399" s="4"/>
    </row>
    <row r="400" spans="4:6" ht="15.75" customHeight="1">
      <c r="D400" s="4"/>
      <c r="E400" s="4"/>
      <c r="F400" s="4"/>
    </row>
    <row r="401" spans="4:6" ht="15.75" customHeight="1">
      <c r="D401" s="4"/>
      <c r="E401" s="4"/>
      <c r="F401" s="4"/>
    </row>
    <row r="402" spans="4:6" ht="15.75" customHeight="1">
      <c r="D402" s="4"/>
      <c r="E402" s="4"/>
      <c r="F402" s="4"/>
    </row>
    <row r="403" spans="4:6" ht="15.75" customHeight="1">
      <c r="D403" s="4"/>
      <c r="E403" s="4"/>
      <c r="F403" s="4"/>
    </row>
    <row r="404" spans="4:6" ht="15.75" customHeight="1">
      <c r="D404" s="4"/>
      <c r="E404" s="4"/>
      <c r="F404" s="4"/>
    </row>
    <row r="405" spans="4:6" ht="15.75" customHeight="1">
      <c r="D405" s="4"/>
      <c r="E405" s="4"/>
      <c r="F405" s="4"/>
    </row>
    <row r="406" spans="4:6" ht="15.75" customHeight="1">
      <c r="D406" s="4"/>
      <c r="E406" s="4"/>
      <c r="F406" s="4"/>
    </row>
    <row r="407" spans="4:6" ht="15.75" customHeight="1">
      <c r="D407" s="4"/>
      <c r="E407" s="4"/>
      <c r="F407" s="4"/>
    </row>
    <row r="408" spans="4:6" ht="15.75" customHeight="1">
      <c r="D408" s="4"/>
      <c r="E408" s="4"/>
      <c r="F408" s="4"/>
    </row>
    <row r="409" spans="4:6" ht="15.75" customHeight="1">
      <c r="D409" s="4"/>
      <c r="E409" s="4"/>
      <c r="F409" s="4"/>
    </row>
    <row r="410" spans="4:6" ht="15.75" customHeight="1">
      <c r="D410" s="4"/>
      <c r="E410" s="4"/>
      <c r="F410" s="4"/>
    </row>
    <row r="411" spans="4:6" ht="15.75" customHeight="1">
      <c r="D411" s="4"/>
      <c r="E411" s="4"/>
      <c r="F411" s="4"/>
    </row>
    <row r="412" spans="4:6" ht="15.75" customHeight="1">
      <c r="D412" s="4"/>
      <c r="E412" s="4"/>
      <c r="F412" s="4"/>
    </row>
    <row r="413" spans="4:6" ht="15.75" customHeight="1">
      <c r="D413" s="4"/>
      <c r="E413" s="4"/>
      <c r="F413" s="4"/>
    </row>
    <row r="414" spans="4:6" ht="15.75" customHeight="1">
      <c r="D414" s="4"/>
      <c r="E414" s="4"/>
      <c r="F414" s="4"/>
    </row>
    <row r="415" spans="4:6" ht="15.75" customHeight="1">
      <c r="D415" s="4"/>
      <c r="E415" s="4"/>
      <c r="F415" s="4"/>
    </row>
    <row r="416" spans="4:6" ht="15.75" customHeight="1">
      <c r="D416" s="4"/>
      <c r="E416" s="4"/>
      <c r="F416" s="4"/>
    </row>
    <row r="417" spans="4:6" ht="15.75" customHeight="1">
      <c r="D417" s="4"/>
      <c r="E417" s="4"/>
      <c r="F417" s="4"/>
    </row>
    <row r="418" spans="4:6" ht="15.75" customHeight="1">
      <c r="D418" s="4"/>
      <c r="E418" s="4"/>
      <c r="F418" s="4"/>
    </row>
    <row r="419" spans="4:6" ht="15.75" customHeight="1">
      <c r="D419" s="4"/>
      <c r="E419" s="4"/>
      <c r="F419" s="4"/>
    </row>
    <row r="420" spans="4:6" ht="15.75" customHeight="1">
      <c r="D420" s="4"/>
      <c r="E420" s="4"/>
      <c r="F420" s="4"/>
    </row>
    <row r="421" spans="4:6" ht="15.75" customHeight="1">
      <c r="D421" s="4"/>
      <c r="E421" s="4"/>
      <c r="F421" s="4"/>
    </row>
    <row r="422" spans="4:6" ht="15.75" customHeight="1">
      <c r="D422" s="4"/>
      <c r="E422" s="4"/>
      <c r="F422" s="4"/>
    </row>
    <row r="423" spans="4:6" ht="15.75" customHeight="1">
      <c r="D423" s="4"/>
      <c r="E423" s="4"/>
      <c r="F423" s="4"/>
    </row>
    <row r="424" spans="4:6" ht="15.75" customHeight="1">
      <c r="D424" s="4"/>
      <c r="E424" s="4"/>
      <c r="F424" s="4"/>
    </row>
    <row r="425" spans="4:6" ht="15.75" customHeight="1">
      <c r="D425" s="4"/>
      <c r="E425" s="4"/>
      <c r="F425" s="4"/>
    </row>
    <row r="426" spans="4:6" ht="15.75" customHeight="1">
      <c r="D426" s="4"/>
      <c r="E426" s="4"/>
      <c r="F426" s="4"/>
    </row>
    <row r="427" spans="4:6" ht="15.75" customHeight="1">
      <c r="D427" s="4"/>
      <c r="E427" s="4"/>
      <c r="F427" s="4"/>
    </row>
    <row r="428" spans="4:6" ht="15.75" customHeight="1">
      <c r="D428" s="4"/>
      <c r="E428" s="4"/>
      <c r="F428" s="4"/>
    </row>
    <row r="429" spans="4:6" ht="15.75" customHeight="1">
      <c r="D429" s="4"/>
      <c r="E429" s="4"/>
      <c r="F429" s="4"/>
    </row>
    <row r="430" spans="4:6" ht="15.75" customHeight="1">
      <c r="D430" s="4"/>
      <c r="E430" s="4"/>
      <c r="F430" s="4"/>
    </row>
    <row r="431" spans="4:6" ht="15.75" customHeight="1">
      <c r="D431" s="4"/>
      <c r="E431" s="4"/>
      <c r="F431" s="4"/>
    </row>
    <row r="432" spans="4:6" ht="15.75" customHeight="1">
      <c r="D432" s="4"/>
      <c r="E432" s="4"/>
      <c r="F432" s="4"/>
    </row>
    <row r="433" spans="4:6" ht="15.75" customHeight="1">
      <c r="D433" s="4"/>
      <c r="E433" s="4"/>
      <c r="F433" s="4"/>
    </row>
    <row r="434" spans="4:6" ht="15.75" customHeight="1">
      <c r="D434" s="4"/>
      <c r="E434" s="4"/>
      <c r="F434" s="4"/>
    </row>
    <row r="435" spans="4:6" ht="15.75" customHeight="1">
      <c r="D435" s="4"/>
      <c r="E435" s="4"/>
      <c r="F435" s="4"/>
    </row>
    <row r="436" spans="4:6" ht="15.75" customHeight="1">
      <c r="D436" s="4"/>
      <c r="E436" s="4"/>
      <c r="F436" s="4"/>
    </row>
    <row r="437" spans="4:6" ht="15.75" customHeight="1">
      <c r="D437" s="4"/>
      <c r="E437" s="4"/>
      <c r="F437" s="4"/>
    </row>
    <row r="438" spans="4:6" ht="15.75" customHeight="1">
      <c r="D438" s="4"/>
      <c r="E438" s="4"/>
      <c r="F438" s="4"/>
    </row>
    <row r="439" spans="4:6" ht="15.75" customHeight="1">
      <c r="D439" s="4"/>
      <c r="E439" s="4"/>
      <c r="F439" s="4"/>
    </row>
    <row r="440" spans="4:6" ht="15.75" customHeight="1">
      <c r="D440" s="4"/>
      <c r="E440" s="4"/>
      <c r="F440" s="4"/>
    </row>
    <row r="441" spans="4:6" ht="15.75" customHeight="1">
      <c r="D441" s="4"/>
      <c r="E441" s="4"/>
      <c r="F441" s="4"/>
    </row>
    <row r="442" spans="4:6" ht="15.75" customHeight="1">
      <c r="D442" s="4"/>
      <c r="E442" s="4"/>
      <c r="F442" s="4"/>
    </row>
    <row r="443" spans="4:6" ht="15.75" customHeight="1">
      <c r="D443" s="4"/>
      <c r="E443" s="4"/>
      <c r="F443" s="4"/>
    </row>
    <row r="444" spans="4:6" ht="15.75" customHeight="1">
      <c r="D444" s="4"/>
      <c r="E444" s="4"/>
      <c r="F444" s="4"/>
    </row>
    <row r="445" spans="4:6" ht="15.75" customHeight="1">
      <c r="D445" s="4"/>
      <c r="E445" s="4"/>
      <c r="F445" s="4"/>
    </row>
    <row r="446" spans="4:6" ht="15.75" customHeight="1">
      <c r="D446" s="4"/>
      <c r="E446" s="4"/>
      <c r="F446" s="4"/>
    </row>
    <row r="447" spans="4:6" ht="15.75" customHeight="1">
      <c r="D447" s="4"/>
      <c r="E447" s="4"/>
      <c r="F447" s="4"/>
    </row>
    <row r="448" spans="4:6" ht="15.75" customHeight="1">
      <c r="D448" s="4"/>
      <c r="E448" s="4"/>
      <c r="F448" s="4"/>
    </row>
    <row r="449" spans="4:6" ht="15.75" customHeight="1">
      <c r="D449" s="4"/>
      <c r="E449" s="4"/>
      <c r="F449" s="4"/>
    </row>
    <row r="450" spans="4:6" ht="15.75" customHeight="1">
      <c r="D450" s="4"/>
      <c r="E450" s="4"/>
      <c r="F450" s="4"/>
    </row>
    <row r="451" spans="4:6" ht="15.75" customHeight="1">
      <c r="D451" s="4"/>
      <c r="E451" s="4"/>
      <c r="F451" s="4"/>
    </row>
    <row r="452" spans="4:6" ht="15.75" customHeight="1">
      <c r="D452" s="4"/>
      <c r="E452" s="4"/>
      <c r="F452" s="4"/>
    </row>
    <row r="453" spans="4:6" ht="15.75" customHeight="1">
      <c r="D453" s="4"/>
      <c r="E453" s="4"/>
      <c r="F453" s="4"/>
    </row>
    <row r="454" spans="4:6" ht="15.75" customHeight="1">
      <c r="D454" s="4"/>
      <c r="E454" s="4"/>
      <c r="F454" s="4"/>
    </row>
    <row r="455" spans="4:6" ht="15.75" customHeight="1">
      <c r="D455" s="4"/>
      <c r="E455" s="4"/>
      <c r="F455" s="4"/>
    </row>
    <row r="456" spans="4:6" ht="15.75" customHeight="1">
      <c r="D456" s="4"/>
      <c r="E456" s="4"/>
      <c r="F456" s="4"/>
    </row>
    <row r="457" spans="4:6" ht="15.75" customHeight="1">
      <c r="D457" s="4"/>
      <c r="E457" s="4"/>
      <c r="F457" s="4"/>
    </row>
    <row r="458" spans="4:6" ht="15.75" customHeight="1">
      <c r="D458" s="4"/>
      <c r="E458" s="4"/>
      <c r="F458" s="4"/>
    </row>
    <row r="459" spans="4:6" ht="15.75" customHeight="1">
      <c r="D459" s="4"/>
      <c r="E459" s="4"/>
      <c r="F459" s="4"/>
    </row>
    <row r="460" spans="4:6" ht="15.75" customHeight="1">
      <c r="D460" s="4"/>
      <c r="E460" s="4"/>
      <c r="F460" s="4"/>
    </row>
    <row r="461" spans="4:6" ht="15.75" customHeight="1">
      <c r="D461" s="4"/>
      <c r="E461" s="4"/>
      <c r="F461" s="4"/>
    </row>
    <row r="462" spans="4:6" ht="15.75" customHeight="1">
      <c r="D462" s="4"/>
      <c r="E462" s="4"/>
      <c r="F462" s="4"/>
    </row>
    <row r="463" spans="4:6" ht="15.75" customHeight="1">
      <c r="D463" s="4"/>
      <c r="E463" s="4"/>
      <c r="F463" s="4"/>
    </row>
    <row r="464" spans="4:6" ht="15.75" customHeight="1">
      <c r="D464" s="4"/>
      <c r="E464" s="4"/>
      <c r="F464" s="4"/>
    </row>
    <row r="465" spans="4:6" ht="15.75" customHeight="1">
      <c r="D465" s="4"/>
      <c r="E465" s="4"/>
      <c r="F465" s="4"/>
    </row>
    <row r="466" spans="4:6" ht="15.75" customHeight="1">
      <c r="D466" s="4"/>
      <c r="E466" s="4"/>
      <c r="F466" s="4"/>
    </row>
    <row r="467" spans="4:6" ht="15.75" customHeight="1">
      <c r="D467" s="4"/>
      <c r="E467" s="4"/>
      <c r="F467" s="4"/>
    </row>
    <row r="468" spans="4:6" ht="15.75" customHeight="1">
      <c r="D468" s="4"/>
      <c r="E468" s="4"/>
      <c r="F468" s="4"/>
    </row>
    <row r="469" spans="4:6" ht="15.75" customHeight="1">
      <c r="D469" s="4"/>
      <c r="E469" s="4"/>
      <c r="F469" s="4"/>
    </row>
    <row r="470" spans="4:6" ht="15.75" customHeight="1">
      <c r="D470" s="4"/>
      <c r="E470" s="4"/>
      <c r="F470" s="4"/>
    </row>
    <row r="471" spans="4:6" ht="15.75" customHeight="1">
      <c r="D471" s="4"/>
      <c r="E471" s="4"/>
      <c r="F471" s="4"/>
    </row>
    <row r="472" spans="4:6" ht="15.75" customHeight="1">
      <c r="D472" s="4"/>
      <c r="E472" s="4"/>
      <c r="F472" s="4"/>
    </row>
    <row r="473" spans="4:6" ht="15.75" customHeight="1">
      <c r="D473" s="4"/>
      <c r="E473" s="4"/>
      <c r="F473" s="4"/>
    </row>
    <row r="474" spans="4:6" ht="15.75" customHeight="1">
      <c r="D474" s="4"/>
      <c r="E474" s="4"/>
      <c r="F474" s="4"/>
    </row>
    <row r="475" spans="4:6" ht="15.75" customHeight="1">
      <c r="D475" s="4"/>
      <c r="E475" s="4"/>
      <c r="F475" s="4"/>
    </row>
    <row r="476" spans="4:6" ht="15.75" customHeight="1">
      <c r="D476" s="4"/>
      <c r="E476" s="4"/>
      <c r="F476" s="4"/>
    </row>
    <row r="477" spans="4:6" ht="15.75" customHeight="1">
      <c r="D477" s="4"/>
      <c r="E477" s="4"/>
      <c r="F477" s="4"/>
    </row>
    <row r="478" spans="4:6" ht="15.75" customHeight="1">
      <c r="D478" s="4"/>
      <c r="E478" s="4"/>
      <c r="F478" s="4"/>
    </row>
    <row r="479" spans="4:6" ht="15.75" customHeight="1">
      <c r="D479" s="4"/>
      <c r="E479" s="4"/>
      <c r="F479" s="4"/>
    </row>
    <row r="480" spans="4:6" ht="15.75" customHeight="1">
      <c r="D480" s="4"/>
      <c r="E480" s="4"/>
      <c r="F480" s="4"/>
    </row>
    <row r="481" spans="4:6" ht="15.75" customHeight="1">
      <c r="D481" s="4"/>
      <c r="E481" s="4"/>
      <c r="F481" s="4"/>
    </row>
    <row r="482" spans="4:6" ht="15.75" customHeight="1">
      <c r="D482" s="4"/>
      <c r="E482" s="4"/>
      <c r="F482" s="4"/>
    </row>
    <row r="483" spans="4:6" ht="15.75" customHeight="1">
      <c r="D483" s="4"/>
      <c r="E483" s="4"/>
      <c r="F483" s="4"/>
    </row>
    <row r="484" spans="4:6" ht="15.75" customHeight="1">
      <c r="D484" s="4"/>
      <c r="E484" s="4"/>
      <c r="F484" s="4"/>
    </row>
    <row r="485" spans="4:6" ht="15.75" customHeight="1">
      <c r="D485" s="4"/>
      <c r="E485" s="4"/>
      <c r="F485" s="4"/>
    </row>
    <row r="486" spans="4:6" ht="15.75" customHeight="1">
      <c r="D486" s="4"/>
      <c r="E486" s="4"/>
      <c r="F486" s="4"/>
    </row>
    <row r="487" spans="4:6" ht="15.75" customHeight="1">
      <c r="D487" s="4"/>
      <c r="E487" s="4"/>
      <c r="F487" s="4"/>
    </row>
    <row r="488" spans="4:6" ht="15.75" customHeight="1">
      <c r="D488" s="4"/>
      <c r="E488" s="4"/>
      <c r="F488" s="4"/>
    </row>
    <row r="489" spans="4:6" ht="15.75" customHeight="1">
      <c r="D489" s="4"/>
      <c r="E489" s="4"/>
      <c r="F489" s="4"/>
    </row>
    <row r="490" spans="4:6" ht="15.75" customHeight="1">
      <c r="D490" s="4"/>
      <c r="E490" s="4"/>
      <c r="F490" s="4"/>
    </row>
    <row r="491" spans="4:6" ht="15.75" customHeight="1">
      <c r="D491" s="4"/>
      <c r="E491" s="4"/>
      <c r="F491" s="4"/>
    </row>
    <row r="492" spans="4:6" ht="15.75" customHeight="1">
      <c r="D492" s="4"/>
      <c r="E492" s="4"/>
      <c r="F492" s="4"/>
    </row>
    <row r="493" spans="4:6" ht="15.75" customHeight="1">
      <c r="D493" s="4"/>
      <c r="E493" s="4"/>
      <c r="F493" s="4"/>
    </row>
    <row r="494" spans="4:6" ht="15.75" customHeight="1">
      <c r="D494" s="4"/>
      <c r="E494" s="4"/>
      <c r="F494" s="4"/>
    </row>
    <row r="495" spans="4:6" ht="15.75" customHeight="1">
      <c r="D495" s="4"/>
      <c r="E495" s="4"/>
      <c r="F495" s="4"/>
    </row>
    <row r="496" spans="4:6" ht="15.75" customHeight="1">
      <c r="D496" s="4"/>
      <c r="E496" s="4"/>
      <c r="F496" s="4"/>
    </row>
    <row r="497" spans="4:6" ht="15.75" customHeight="1">
      <c r="D497" s="4"/>
      <c r="E497" s="4"/>
      <c r="F497" s="4"/>
    </row>
    <row r="498" spans="4:6" ht="15.75" customHeight="1">
      <c r="D498" s="4"/>
      <c r="E498" s="4"/>
      <c r="F498" s="4"/>
    </row>
    <row r="499" spans="4:6" ht="15.75" customHeight="1">
      <c r="D499" s="4"/>
      <c r="E499" s="4"/>
      <c r="F499" s="4"/>
    </row>
    <row r="500" spans="4:6" ht="15.75" customHeight="1">
      <c r="D500" s="4"/>
      <c r="E500" s="4"/>
      <c r="F500" s="4"/>
    </row>
    <row r="501" spans="4:6" ht="15.75" customHeight="1">
      <c r="D501" s="4"/>
      <c r="E501" s="4"/>
      <c r="F501" s="4"/>
    </row>
    <row r="502" spans="4:6" ht="15.75" customHeight="1">
      <c r="D502" s="4"/>
      <c r="E502" s="4"/>
      <c r="F502" s="4"/>
    </row>
    <row r="503" spans="4:6" ht="15.75" customHeight="1">
      <c r="D503" s="4"/>
      <c r="E503" s="4"/>
      <c r="F503" s="4"/>
    </row>
    <row r="504" spans="4:6" ht="15.75" customHeight="1">
      <c r="D504" s="4"/>
      <c r="E504" s="4"/>
      <c r="F504" s="4"/>
    </row>
    <row r="505" spans="4:6" ht="15.75" customHeight="1">
      <c r="D505" s="4"/>
      <c r="E505" s="4"/>
      <c r="F505" s="4"/>
    </row>
    <row r="506" spans="4:6" ht="15.75" customHeight="1">
      <c r="D506" s="4"/>
      <c r="E506" s="4"/>
      <c r="F506" s="4"/>
    </row>
    <row r="507" spans="4:6" ht="15.75" customHeight="1">
      <c r="D507" s="4"/>
      <c r="E507" s="4"/>
      <c r="F507" s="4"/>
    </row>
    <row r="508" spans="4:6" ht="15.75" customHeight="1">
      <c r="D508" s="4"/>
      <c r="E508" s="4"/>
      <c r="F508" s="4"/>
    </row>
    <row r="509" spans="4:6" ht="15.75" customHeight="1">
      <c r="D509" s="4"/>
      <c r="E509" s="4"/>
      <c r="F509" s="4"/>
    </row>
    <row r="510" spans="4:6" ht="15.75" customHeight="1">
      <c r="D510" s="4"/>
      <c r="E510" s="4"/>
      <c r="F510" s="4"/>
    </row>
    <row r="511" spans="4:6" ht="15.75" customHeight="1">
      <c r="D511" s="4"/>
      <c r="E511" s="4"/>
      <c r="F511" s="4"/>
    </row>
    <row r="512" spans="4:6" ht="15.75" customHeight="1">
      <c r="D512" s="4"/>
      <c r="E512" s="4"/>
      <c r="F512" s="4"/>
    </row>
    <row r="513" spans="4:6" ht="15.75" customHeight="1">
      <c r="D513" s="4"/>
      <c r="E513" s="4"/>
      <c r="F513" s="4"/>
    </row>
    <row r="514" spans="4:6" ht="15.75" customHeight="1">
      <c r="D514" s="4"/>
      <c r="E514" s="4"/>
      <c r="F514" s="4"/>
    </row>
    <row r="515" spans="4:6" ht="15.75" customHeight="1">
      <c r="D515" s="4"/>
      <c r="E515" s="4"/>
      <c r="F515" s="4"/>
    </row>
    <row r="516" spans="4:6" ht="15.75" customHeight="1">
      <c r="D516" s="4"/>
      <c r="E516" s="4"/>
      <c r="F516" s="4"/>
    </row>
    <row r="517" spans="4:6" ht="15.75" customHeight="1">
      <c r="D517" s="4"/>
      <c r="E517" s="4"/>
      <c r="F517" s="4"/>
    </row>
    <row r="518" spans="4:6" ht="15.75" customHeight="1">
      <c r="D518" s="4"/>
      <c r="E518" s="4"/>
      <c r="F518" s="4"/>
    </row>
    <row r="519" spans="4:6" ht="15.75" customHeight="1">
      <c r="D519" s="4"/>
      <c r="E519" s="4"/>
      <c r="F519" s="4"/>
    </row>
    <row r="520" spans="4:6" ht="15.75" customHeight="1">
      <c r="D520" s="4"/>
      <c r="E520" s="4"/>
      <c r="F520" s="4"/>
    </row>
    <row r="521" spans="4:6" ht="15.75" customHeight="1">
      <c r="D521" s="4"/>
      <c r="E521" s="4"/>
      <c r="F521" s="4"/>
    </row>
    <row r="522" spans="4:6" ht="15.75" customHeight="1">
      <c r="D522" s="4"/>
      <c r="E522" s="4"/>
      <c r="F522" s="4"/>
    </row>
    <row r="523" spans="4:6" ht="15.75" customHeight="1">
      <c r="D523" s="4"/>
      <c r="E523" s="4"/>
      <c r="F523" s="4"/>
    </row>
    <row r="524" spans="4:6" ht="15.75" customHeight="1">
      <c r="D524" s="4"/>
      <c r="E524" s="4"/>
      <c r="F524" s="4"/>
    </row>
    <row r="525" spans="4:6" ht="15.75" customHeight="1">
      <c r="D525" s="4"/>
      <c r="E525" s="4"/>
      <c r="F525" s="4"/>
    </row>
    <row r="526" spans="4:6" ht="15.75" customHeight="1">
      <c r="D526" s="4"/>
      <c r="E526" s="4"/>
      <c r="F526" s="4"/>
    </row>
    <row r="527" spans="4:6" ht="15.75" customHeight="1">
      <c r="D527" s="4"/>
      <c r="E527" s="4"/>
      <c r="F527" s="4"/>
    </row>
    <row r="528" spans="4:6" ht="15.75" customHeight="1">
      <c r="D528" s="4"/>
      <c r="E528" s="4"/>
      <c r="F528" s="4"/>
    </row>
    <row r="529" spans="4:6" ht="15.75" customHeight="1">
      <c r="D529" s="4"/>
      <c r="E529" s="4"/>
      <c r="F529" s="4"/>
    </row>
    <row r="530" spans="4:6" ht="15.75" customHeight="1">
      <c r="D530" s="4"/>
      <c r="E530" s="4"/>
      <c r="F530" s="4"/>
    </row>
    <row r="531" spans="4:6" ht="15.75" customHeight="1">
      <c r="D531" s="4"/>
      <c r="E531" s="4"/>
      <c r="F531" s="4"/>
    </row>
    <row r="532" spans="4:6" ht="15.75" customHeight="1">
      <c r="D532" s="4"/>
      <c r="E532" s="4"/>
      <c r="F532" s="4"/>
    </row>
    <row r="533" spans="4:6" ht="15.75" customHeight="1">
      <c r="D533" s="4"/>
      <c r="E533" s="4"/>
      <c r="F533" s="4"/>
    </row>
    <row r="534" spans="4:6" ht="15.75" customHeight="1">
      <c r="D534" s="4"/>
      <c r="E534" s="4"/>
      <c r="F534" s="4"/>
    </row>
    <row r="535" spans="4:6" ht="15.75" customHeight="1">
      <c r="D535" s="4"/>
      <c r="E535" s="4"/>
      <c r="F535" s="4"/>
    </row>
    <row r="536" spans="4:6" ht="15.75" customHeight="1">
      <c r="D536" s="4"/>
      <c r="E536" s="4"/>
      <c r="F536" s="4"/>
    </row>
    <row r="537" spans="4:6" ht="15.75" customHeight="1">
      <c r="D537" s="4"/>
      <c r="E537" s="4"/>
      <c r="F537" s="4"/>
    </row>
    <row r="538" spans="4:6" ht="15.75" customHeight="1">
      <c r="D538" s="4"/>
      <c r="E538" s="4"/>
      <c r="F538" s="4"/>
    </row>
    <row r="539" spans="4:6" ht="15.75" customHeight="1">
      <c r="D539" s="4"/>
      <c r="E539" s="4"/>
      <c r="F539" s="4"/>
    </row>
    <row r="540" spans="4:6" ht="15.75" customHeight="1">
      <c r="D540" s="4"/>
      <c r="E540" s="4"/>
      <c r="F540" s="4"/>
    </row>
    <row r="541" spans="4:6" ht="15.75" customHeight="1">
      <c r="D541" s="4"/>
      <c r="E541" s="4"/>
      <c r="F541" s="4"/>
    </row>
    <row r="542" spans="4:6" ht="15.75" customHeight="1">
      <c r="D542" s="4"/>
      <c r="E542" s="4"/>
      <c r="F542" s="4"/>
    </row>
    <row r="543" spans="4:6" ht="15.75" customHeight="1">
      <c r="D543" s="4"/>
      <c r="E543" s="4"/>
      <c r="F543" s="4"/>
    </row>
    <row r="544" spans="4:6" ht="15.75" customHeight="1">
      <c r="D544" s="4"/>
      <c r="E544" s="4"/>
      <c r="F544" s="4"/>
    </row>
    <row r="545" spans="4:6" ht="15.75" customHeight="1">
      <c r="D545" s="4"/>
      <c r="E545" s="4"/>
      <c r="F545" s="4"/>
    </row>
    <row r="546" spans="4:6" ht="15.75" customHeight="1">
      <c r="D546" s="4"/>
      <c r="E546" s="4"/>
      <c r="F546" s="4"/>
    </row>
    <row r="547" spans="4:6" ht="15.75" customHeight="1">
      <c r="D547" s="4"/>
      <c r="E547" s="4"/>
      <c r="F547" s="4"/>
    </row>
    <row r="548" spans="4:6" ht="15.75" customHeight="1">
      <c r="D548" s="4"/>
      <c r="E548" s="4"/>
      <c r="F548" s="4"/>
    </row>
    <row r="549" spans="4:6" ht="15.75" customHeight="1">
      <c r="D549" s="4"/>
      <c r="E549" s="4"/>
      <c r="F549" s="4"/>
    </row>
    <row r="550" spans="4:6" ht="15.75" customHeight="1">
      <c r="D550" s="4"/>
      <c r="E550" s="4"/>
      <c r="F550" s="4"/>
    </row>
    <row r="551" spans="4:6" ht="15.75" customHeight="1">
      <c r="D551" s="4"/>
      <c r="E551" s="4"/>
      <c r="F551" s="4"/>
    </row>
    <row r="552" spans="4:6" ht="15.75" customHeight="1">
      <c r="D552" s="4"/>
      <c r="E552" s="4"/>
      <c r="F552" s="4"/>
    </row>
    <row r="553" spans="4:6" ht="15.75" customHeight="1">
      <c r="D553" s="4"/>
      <c r="E553" s="4"/>
      <c r="F553" s="4"/>
    </row>
    <row r="554" spans="4:6" ht="15.75" customHeight="1">
      <c r="D554" s="4"/>
      <c r="E554" s="4"/>
      <c r="F554" s="4"/>
    </row>
    <row r="555" spans="4:6" ht="15.75" customHeight="1">
      <c r="D555" s="4"/>
      <c r="E555" s="4"/>
      <c r="F555" s="4"/>
    </row>
    <row r="556" spans="4:6" ht="15.75" customHeight="1">
      <c r="D556" s="4"/>
      <c r="E556" s="4"/>
      <c r="F556" s="4"/>
    </row>
    <row r="557" spans="4:6" ht="15.75" customHeight="1">
      <c r="D557" s="4"/>
      <c r="E557" s="4"/>
      <c r="F557" s="4"/>
    </row>
    <row r="558" spans="4:6" ht="15.75" customHeight="1">
      <c r="D558" s="4"/>
      <c r="E558" s="4"/>
      <c r="F558" s="4"/>
    </row>
    <row r="559" spans="4:6" ht="15.75" customHeight="1">
      <c r="D559" s="4"/>
      <c r="E559" s="4"/>
      <c r="F559" s="4"/>
    </row>
    <row r="560" spans="4:6" ht="15.75" customHeight="1">
      <c r="D560" s="4"/>
      <c r="E560" s="4"/>
      <c r="F560" s="4"/>
    </row>
    <row r="561" spans="4:6" ht="15.75" customHeight="1">
      <c r="D561" s="4"/>
      <c r="E561" s="4"/>
      <c r="F561" s="4"/>
    </row>
    <row r="562" spans="4:6" ht="15.75" customHeight="1">
      <c r="D562" s="4"/>
      <c r="E562" s="4"/>
      <c r="F562" s="4"/>
    </row>
    <row r="563" spans="4:6" ht="15.75" customHeight="1">
      <c r="D563" s="4"/>
      <c r="E563" s="4"/>
      <c r="F563" s="4"/>
    </row>
    <row r="564" spans="4:6" ht="15.75" customHeight="1">
      <c r="D564" s="4"/>
      <c r="E564" s="4"/>
      <c r="F564" s="4"/>
    </row>
    <row r="565" spans="4:6" ht="15.75" customHeight="1">
      <c r="D565" s="4"/>
      <c r="E565" s="4"/>
      <c r="F565" s="4"/>
    </row>
    <row r="566" spans="4:6" ht="15.75" customHeight="1">
      <c r="D566" s="4"/>
      <c r="E566" s="4"/>
      <c r="F566" s="4"/>
    </row>
    <row r="567" spans="4:6" ht="15.75" customHeight="1">
      <c r="D567" s="4"/>
      <c r="E567" s="4"/>
      <c r="F567" s="4"/>
    </row>
    <row r="568" spans="4:6" ht="15.75" customHeight="1">
      <c r="D568" s="4"/>
      <c r="E568" s="4"/>
      <c r="F568" s="4"/>
    </row>
    <row r="569" spans="4:6" ht="15.75" customHeight="1">
      <c r="D569" s="4"/>
      <c r="E569" s="4"/>
      <c r="F569" s="4"/>
    </row>
    <row r="570" spans="4:6" ht="15.75" customHeight="1">
      <c r="D570" s="4"/>
      <c r="E570" s="4"/>
      <c r="F570" s="4"/>
    </row>
    <row r="571" spans="4:6" ht="15.75" customHeight="1">
      <c r="D571" s="4"/>
      <c r="E571" s="4"/>
      <c r="F571" s="4"/>
    </row>
    <row r="572" spans="4:6" ht="15.75" customHeight="1">
      <c r="D572" s="4"/>
      <c r="E572" s="4"/>
      <c r="F572" s="4"/>
    </row>
    <row r="573" spans="4:6" ht="15.75" customHeight="1">
      <c r="D573" s="4"/>
      <c r="E573" s="4"/>
      <c r="F573" s="4"/>
    </row>
    <row r="574" spans="4:6" ht="15.75" customHeight="1">
      <c r="D574" s="4"/>
      <c r="E574" s="4"/>
      <c r="F574" s="4"/>
    </row>
    <row r="575" spans="4:6" ht="15.75" customHeight="1">
      <c r="D575" s="4"/>
      <c r="E575" s="4"/>
      <c r="F575" s="4"/>
    </row>
    <row r="576" spans="4:6" ht="15.75" customHeight="1">
      <c r="D576" s="4"/>
      <c r="E576" s="4"/>
      <c r="F576" s="4"/>
    </row>
    <row r="577" spans="4:6" ht="15.75" customHeight="1">
      <c r="D577" s="4"/>
      <c r="E577" s="4"/>
      <c r="F577" s="4"/>
    </row>
    <row r="578" spans="4:6" ht="15.75" customHeight="1">
      <c r="D578" s="4"/>
      <c r="E578" s="4"/>
      <c r="F578" s="4"/>
    </row>
    <row r="579" spans="4:6" ht="15.75" customHeight="1">
      <c r="D579" s="4"/>
      <c r="E579" s="4"/>
      <c r="F579" s="4"/>
    </row>
    <row r="580" spans="4:6" ht="15.75" customHeight="1">
      <c r="D580" s="4"/>
      <c r="E580" s="4"/>
      <c r="F580" s="4"/>
    </row>
    <row r="581" spans="4:6" ht="15.75" customHeight="1">
      <c r="D581" s="4"/>
      <c r="E581" s="4"/>
      <c r="F581" s="4"/>
    </row>
    <row r="582" spans="4:6" ht="15.75" customHeight="1">
      <c r="D582" s="4"/>
      <c r="E582" s="4"/>
      <c r="F582" s="4"/>
    </row>
    <row r="583" spans="4:6" ht="15.75" customHeight="1">
      <c r="D583" s="4"/>
      <c r="E583" s="4"/>
      <c r="F583" s="4"/>
    </row>
    <row r="584" spans="4:6" ht="15.75" customHeight="1">
      <c r="D584" s="4"/>
      <c r="E584" s="4"/>
      <c r="F584" s="4"/>
    </row>
    <row r="585" spans="4:6" ht="15.75" customHeight="1">
      <c r="D585" s="4"/>
      <c r="E585" s="4"/>
      <c r="F585" s="4"/>
    </row>
    <row r="586" spans="4:6" ht="15.75" customHeight="1">
      <c r="D586" s="4"/>
      <c r="E586" s="4"/>
      <c r="F586" s="4"/>
    </row>
    <row r="587" spans="4:6" ht="15.75" customHeight="1">
      <c r="D587" s="4"/>
      <c r="E587" s="4"/>
      <c r="F587" s="4"/>
    </row>
    <row r="588" spans="4:6" ht="15.75" customHeight="1">
      <c r="D588" s="4"/>
      <c r="E588" s="4"/>
      <c r="F588" s="4"/>
    </row>
    <row r="589" spans="4:6" ht="15.75" customHeight="1">
      <c r="D589" s="4"/>
      <c r="E589" s="4"/>
      <c r="F589" s="4"/>
    </row>
    <row r="590" spans="4:6" ht="15.75" customHeight="1">
      <c r="D590" s="4"/>
      <c r="E590" s="4"/>
      <c r="F590" s="4"/>
    </row>
    <row r="591" spans="4:6" ht="15.75" customHeight="1">
      <c r="D591" s="4"/>
      <c r="E591" s="4"/>
      <c r="F591" s="4"/>
    </row>
    <row r="592" spans="4:6" ht="15.75" customHeight="1">
      <c r="D592" s="4"/>
      <c r="E592" s="4"/>
      <c r="F592" s="4"/>
    </row>
    <row r="593" spans="4:6" ht="15.75" customHeight="1">
      <c r="D593" s="4"/>
      <c r="E593" s="4"/>
      <c r="F593" s="4"/>
    </row>
    <row r="594" spans="4:6" ht="15.75" customHeight="1">
      <c r="D594" s="4"/>
      <c r="E594" s="4"/>
      <c r="F594" s="4"/>
    </row>
    <row r="595" spans="4:6" ht="15.75" customHeight="1">
      <c r="D595" s="4"/>
      <c r="E595" s="4"/>
      <c r="F595" s="4"/>
    </row>
    <row r="596" spans="4:6" ht="15.75" customHeight="1">
      <c r="D596" s="4"/>
      <c r="E596" s="4"/>
      <c r="F596" s="4"/>
    </row>
    <row r="597" spans="4:6" ht="15.75" customHeight="1">
      <c r="D597" s="4"/>
      <c r="E597" s="4"/>
      <c r="F597" s="4"/>
    </row>
    <row r="598" spans="4:6" ht="15.75" customHeight="1">
      <c r="D598" s="4"/>
      <c r="E598" s="4"/>
      <c r="F598" s="4"/>
    </row>
    <row r="599" spans="4:6" ht="15.75" customHeight="1">
      <c r="D599" s="4"/>
      <c r="E599" s="4"/>
      <c r="F599" s="4"/>
    </row>
    <row r="600" spans="4:6" ht="15.75" customHeight="1">
      <c r="D600" s="4"/>
      <c r="E600" s="4"/>
      <c r="F600" s="4"/>
    </row>
    <row r="601" spans="4:6" ht="15.75" customHeight="1">
      <c r="D601" s="4"/>
      <c r="E601" s="4"/>
      <c r="F601" s="4"/>
    </row>
    <row r="602" spans="4:6" ht="15.75" customHeight="1">
      <c r="D602" s="4"/>
      <c r="E602" s="4"/>
      <c r="F602" s="4"/>
    </row>
    <row r="603" spans="4:6" ht="15.75" customHeight="1">
      <c r="D603" s="4"/>
      <c r="E603" s="4"/>
      <c r="F603" s="4"/>
    </row>
    <row r="604" spans="4:6" ht="15.75" customHeight="1">
      <c r="D604" s="4"/>
      <c r="E604" s="4"/>
      <c r="F604" s="4"/>
    </row>
    <row r="605" spans="4:6" ht="15.75" customHeight="1">
      <c r="D605" s="4"/>
      <c r="E605" s="4"/>
      <c r="F605" s="4"/>
    </row>
    <row r="606" spans="4:6" ht="15.75" customHeight="1">
      <c r="D606" s="4"/>
      <c r="E606" s="4"/>
      <c r="F606" s="4"/>
    </row>
    <row r="607" spans="4:6" ht="15.75" customHeight="1">
      <c r="D607" s="4"/>
      <c r="E607" s="4"/>
      <c r="F607" s="4"/>
    </row>
    <row r="608" spans="4:6" ht="15.75" customHeight="1">
      <c r="D608" s="4"/>
      <c r="E608" s="4"/>
      <c r="F608" s="4"/>
    </row>
    <row r="609" spans="4:6" ht="15.75" customHeight="1">
      <c r="D609" s="4"/>
      <c r="E609" s="4"/>
      <c r="F609" s="4"/>
    </row>
    <row r="610" spans="4:6" ht="15.75" customHeight="1">
      <c r="D610" s="4"/>
      <c r="E610" s="4"/>
      <c r="F610" s="4"/>
    </row>
    <row r="611" spans="4:6" ht="15.75" customHeight="1">
      <c r="D611" s="4"/>
      <c r="E611" s="4"/>
      <c r="F611" s="4"/>
    </row>
    <row r="612" spans="4:6" ht="15.75" customHeight="1">
      <c r="D612" s="4"/>
      <c r="E612" s="4"/>
      <c r="F612" s="4"/>
    </row>
    <row r="613" spans="4:6" ht="15.75" customHeight="1">
      <c r="D613" s="4"/>
      <c r="E613" s="4"/>
      <c r="F613" s="4"/>
    </row>
    <row r="614" spans="4:6" ht="15.75" customHeight="1">
      <c r="D614" s="4"/>
      <c r="E614" s="4"/>
      <c r="F614" s="4"/>
    </row>
    <row r="615" spans="4:6" ht="15.75" customHeight="1">
      <c r="D615" s="4"/>
      <c r="E615" s="4"/>
      <c r="F615" s="4"/>
    </row>
    <row r="616" spans="4:6" ht="15.75" customHeight="1">
      <c r="D616" s="4"/>
      <c r="E616" s="4"/>
      <c r="F616" s="4"/>
    </row>
    <row r="617" spans="4:6" ht="15.75" customHeight="1">
      <c r="D617" s="4"/>
      <c r="E617" s="4"/>
      <c r="F617" s="4"/>
    </row>
    <row r="618" spans="4:6" ht="15.75" customHeight="1">
      <c r="D618" s="4"/>
      <c r="E618" s="4"/>
      <c r="F618" s="4"/>
    </row>
    <row r="619" spans="4:6" ht="15.75" customHeight="1">
      <c r="D619" s="4"/>
      <c r="E619" s="4"/>
      <c r="F619" s="4"/>
    </row>
    <row r="620" spans="4:6" ht="15.75" customHeight="1">
      <c r="D620" s="4"/>
      <c r="E620" s="4"/>
      <c r="F620" s="4"/>
    </row>
    <row r="621" spans="4:6" ht="15.75" customHeight="1">
      <c r="D621" s="4"/>
      <c r="E621" s="4"/>
      <c r="F621" s="4"/>
    </row>
    <row r="622" spans="4:6" ht="15.75" customHeight="1">
      <c r="D622" s="4"/>
      <c r="E622" s="4"/>
      <c r="F622" s="4"/>
    </row>
    <row r="623" spans="4:6" ht="15.75" customHeight="1">
      <c r="D623" s="4"/>
      <c r="E623" s="4"/>
      <c r="F623" s="4"/>
    </row>
    <row r="624" spans="4:6" ht="15.75" customHeight="1">
      <c r="D624" s="4"/>
      <c r="E624" s="4"/>
      <c r="F624" s="4"/>
    </row>
    <row r="625" spans="4:6" ht="15.75" customHeight="1">
      <c r="D625" s="4"/>
      <c r="E625" s="4"/>
      <c r="F625" s="4"/>
    </row>
    <row r="626" spans="4:6" ht="15.75" customHeight="1">
      <c r="D626" s="4"/>
      <c r="E626" s="4"/>
      <c r="F626" s="4"/>
    </row>
    <row r="627" spans="4:6" ht="15.75" customHeight="1">
      <c r="D627" s="4"/>
      <c r="E627" s="4"/>
      <c r="F627" s="4"/>
    </row>
    <row r="628" spans="4:6" ht="15.75" customHeight="1">
      <c r="D628" s="4"/>
      <c r="E628" s="4"/>
      <c r="F628" s="4"/>
    </row>
    <row r="629" spans="4:6" ht="15.75" customHeight="1">
      <c r="D629" s="4"/>
      <c r="E629" s="4"/>
      <c r="F629" s="4"/>
    </row>
    <row r="630" spans="4:6" ht="15.75" customHeight="1">
      <c r="D630" s="4"/>
      <c r="E630" s="4"/>
      <c r="F630" s="4"/>
    </row>
    <row r="631" spans="4:6" ht="15.75" customHeight="1">
      <c r="D631" s="4"/>
      <c r="E631" s="4"/>
      <c r="F631" s="4"/>
    </row>
    <row r="632" spans="4:6" ht="15.75" customHeight="1">
      <c r="D632" s="4"/>
      <c r="E632" s="4"/>
      <c r="F632" s="4"/>
    </row>
    <row r="633" spans="4:6" ht="15.75" customHeight="1">
      <c r="D633" s="4"/>
      <c r="E633" s="4"/>
      <c r="F633" s="4"/>
    </row>
    <row r="634" spans="4:6" ht="15.75" customHeight="1">
      <c r="D634" s="4"/>
      <c r="E634" s="4"/>
      <c r="F634" s="4"/>
    </row>
    <row r="635" spans="4:6" ht="15.75" customHeight="1">
      <c r="D635" s="4"/>
      <c r="E635" s="4"/>
      <c r="F635" s="4"/>
    </row>
    <row r="636" spans="4:6" ht="15.75" customHeight="1">
      <c r="D636" s="4"/>
      <c r="E636" s="4"/>
      <c r="F636" s="4"/>
    </row>
    <row r="637" spans="4:6" ht="15.75" customHeight="1">
      <c r="D637" s="4"/>
      <c r="E637" s="4"/>
      <c r="F637" s="4"/>
    </row>
    <row r="638" spans="4:6" ht="15.75" customHeight="1">
      <c r="D638" s="4"/>
      <c r="E638" s="4"/>
      <c r="F638" s="4"/>
    </row>
    <row r="639" spans="4:6" ht="15.75" customHeight="1">
      <c r="D639" s="4"/>
      <c r="E639" s="4"/>
      <c r="F639" s="4"/>
    </row>
    <row r="640" spans="4:6" ht="15.75" customHeight="1">
      <c r="D640" s="4"/>
      <c r="E640" s="4"/>
      <c r="F640" s="4"/>
    </row>
    <row r="641" spans="4:6" ht="15.75" customHeight="1">
      <c r="D641" s="4"/>
      <c r="E641" s="4"/>
      <c r="F641" s="4"/>
    </row>
    <row r="642" spans="4:6" ht="15.75" customHeight="1">
      <c r="D642" s="4"/>
      <c r="E642" s="4"/>
      <c r="F642" s="4"/>
    </row>
    <row r="643" spans="4:6" ht="15.75" customHeight="1">
      <c r="D643" s="4"/>
      <c r="E643" s="4"/>
      <c r="F643" s="4"/>
    </row>
    <row r="644" spans="4:6" ht="15.75" customHeight="1">
      <c r="D644" s="4"/>
      <c r="E644" s="4"/>
      <c r="F644" s="4"/>
    </row>
    <row r="645" spans="4:6" ht="15.75" customHeight="1">
      <c r="D645" s="4"/>
      <c r="E645" s="4"/>
      <c r="F645" s="4"/>
    </row>
    <row r="646" spans="4:6" ht="15.75" customHeight="1">
      <c r="D646" s="4"/>
      <c r="E646" s="4"/>
      <c r="F646" s="4"/>
    </row>
    <row r="647" spans="4:6" ht="15.75" customHeight="1">
      <c r="D647" s="4"/>
      <c r="E647" s="4"/>
      <c r="F647" s="4"/>
    </row>
    <row r="648" spans="4:6" ht="15.75" customHeight="1">
      <c r="D648" s="4"/>
      <c r="E648" s="4"/>
      <c r="F648" s="4"/>
    </row>
    <row r="649" spans="4:6" ht="15.75" customHeight="1">
      <c r="D649" s="4"/>
      <c r="E649" s="4"/>
      <c r="F649" s="4"/>
    </row>
    <row r="650" spans="4:6" ht="15.75" customHeight="1">
      <c r="D650" s="4"/>
      <c r="E650" s="4"/>
      <c r="F650" s="4"/>
    </row>
    <row r="651" spans="4:6" ht="15.75" customHeight="1">
      <c r="D651" s="4"/>
      <c r="E651" s="4"/>
      <c r="F651" s="4"/>
    </row>
    <row r="652" spans="4:6" ht="15.75" customHeight="1">
      <c r="D652" s="4"/>
      <c r="E652" s="4"/>
      <c r="F652" s="4"/>
    </row>
    <row r="653" spans="4:6" ht="15.75" customHeight="1">
      <c r="D653" s="4"/>
      <c r="E653" s="4"/>
      <c r="F653" s="4"/>
    </row>
    <row r="654" spans="4:6" ht="15.75" customHeight="1">
      <c r="D654" s="4"/>
      <c r="E654" s="4"/>
      <c r="F654" s="4"/>
    </row>
    <row r="655" spans="4:6" ht="15.75" customHeight="1">
      <c r="D655" s="4"/>
      <c r="E655" s="4"/>
      <c r="F655" s="4"/>
    </row>
    <row r="656" spans="4:6" ht="15.75" customHeight="1">
      <c r="D656" s="4"/>
      <c r="E656" s="4"/>
      <c r="F656" s="4"/>
    </row>
    <row r="657" spans="4:6" ht="15.75" customHeight="1">
      <c r="D657" s="4"/>
      <c r="E657" s="4"/>
      <c r="F657" s="4"/>
    </row>
    <row r="658" spans="4:6" ht="15.75" customHeight="1">
      <c r="D658" s="4"/>
      <c r="E658" s="4"/>
      <c r="F658" s="4"/>
    </row>
    <row r="659" spans="4:6" ht="15.75" customHeight="1">
      <c r="D659" s="4"/>
      <c r="E659" s="4"/>
      <c r="F659" s="4"/>
    </row>
    <row r="660" spans="4:6" ht="15.75" customHeight="1">
      <c r="D660" s="4"/>
      <c r="E660" s="4"/>
      <c r="F660" s="4"/>
    </row>
    <row r="661" spans="4:6" ht="15.75" customHeight="1">
      <c r="D661" s="4"/>
      <c r="E661" s="4"/>
      <c r="F661" s="4"/>
    </row>
    <row r="662" spans="4:6" ht="15.75" customHeight="1">
      <c r="D662" s="4"/>
      <c r="E662" s="4"/>
      <c r="F662" s="4"/>
    </row>
    <row r="663" spans="4:6" ht="15.75" customHeight="1">
      <c r="D663" s="4"/>
      <c r="E663" s="4"/>
      <c r="F663" s="4"/>
    </row>
    <row r="664" spans="4:6" ht="15.75" customHeight="1">
      <c r="D664" s="4"/>
      <c r="E664" s="4"/>
      <c r="F664" s="4"/>
    </row>
    <row r="665" spans="4:6" ht="15.75" customHeight="1">
      <c r="D665" s="4"/>
      <c r="E665" s="4"/>
      <c r="F665" s="4"/>
    </row>
    <row r="666" spans="4:6" ht="15.75" customHeight="1">
      <c r="D666" s="4"/>
      <c r="E666" s="4"/>
      <c r="F666" s="4"/>
    </row>
    <row r="667" spans="4:6" ht="15.75" customHeight="1">
      <c r="D667" s="4"/>
      <c r="E667" s="4"/>
      <c r="F667" s="4"/>
    </row>
    <row r="668" spans="4:6" ht="15.75" customHeight="1">
      <c r="D668" s="4"/>
      <c r="E668" s="4"/>
      <c r="F668" s="4"/>
    </row>
    <row r="669" spans="4:6" ht="15.75" customHeight="1">
      <c r="D669" s="4"/>
      <c r="E669" s="4"/>
      <c r="F669" s="4"/>
    </row>
    <row r="670" spans="4:6" ht="15.75" customHeight="1">
      <c r="D670" s="4"/>
      <c r="E670" s="4"/>
      <c r="F670" s="4"/>
    </row>
    <row r="671" spans="4:6" ht="15.75" customHeight="1">
      <c r="D671" s="4"/>
      <c r="E671" s="4"/>
      <c r="F671" s="4"/>
    </row>
    <row r="672" spans="4:6" ht="15.75" customHeight="1">
      <c r="D672" s="4"/>
      <c r="E672" s="4"/>
      <c r="F672" s="4"/>
    </row>
    <row r="673" spans="4:6" ht="15.75" customHeight="1">
      <c r="D673" s="4"/>
      <c r="E673" s="4"/>
      <c r="F673" s="4"/>
    </row>
    <row r="674" spans="4:6" ht="15.75" customHeight="1">
      <c r="D674" s="4"/>
      <c r="E674" s="4"/>
      <c r="F674" s="4"/>
    </row>
    <row r="675" spans="4:6" ht="15.75" customHeight="1">
      <c r="D675" s="4"/>
      <c r="E675" s="4"/>
      <c r="F675" s="4"/>
    </row>
    <row r="676" spans="4:6" ht="15.75" customHeight="1">
      <c r="D676" s="4"/>
      <c r="E676" s="4"/>
      <c r="F676" s="4"/>
    </row>
    <row r="677" spans="4:6" ht="15.75" customHeight="1">
      <c r="D677" s="4"/>
      <c r="E677" s="4"/>
      <c r="F677" s="4"/>
    </row>
    <row r="678" spans="4:6" ht="15.75" customHeight="1">
      <c r="D678" s="4"/>
      <c r="E678" s="4"/>
      <c r="F678" s="4"/>
    </row>
    <row r="679" spans="4:6" ht="15.75" customHeight="1">
      <c r="D679" s="4"/>
      <c r="E679" s="4"/>
      <c r="F679" s="4"/>
    </row>
    <row r="680" spans="4:6" ht="15.75" customHeight="1">
      <c r="D680" s="4"/>
      <c r="E680" s="4"/>
      <c r="F680" s="4"/>
    </row>
    <row r="681" spans="4:6" ht="15.75" customHeight="1">
      <c r="D681" s="4"/>
      <c r="E681" s="4"/>
      <c r="F681" s="4"/>
    </row>
    <row r="682" spans="4:6" ht="15.75" customHeight="1">
      <c r="D682" s="4"/>
      <c r="E682" s="4"/>
      <c r="F682" s="4"/>
    </row>
    <row r="683" spans="4:6" ht="15.75" customHeight="1">
      <c r="D683" s="4"/>
      <c r="E683" s="4"/>
      <c r="F683" s="4"/>
    </row>
    <row r="684" spans="4:6" ht="15.75" customHeight="1">
      <c r="D684" s="4"/>
      <c r="E684" s="4"/>
      <c r="F684" s="4"/>
    </row>
    <row r="685" spans="4:6" ht="15.75" customHeight="1">
      <c r="D685" s="4"/>
      <c r="E685" s="4"/>
      <c r="F685" s="4"/>
    </row>
    <row r="686" spans="4:6" ht="15.75" customHeight="1">
      <c r="D686" s="4"/>
      <c r="E686" s="4"/>
      <c r="F686" s="4"/>
    </row>
    <row r="687" spans="4:6" ht="15.75" customHeight="1">
      <c r="D687" s="4"/>
      <c r="E687" s="4"/>
      <c r="F687" s="4"/>
    </row>
    <row r="688" spans="4:6" ht="15.75" customHeight="1">
      <c r="D688" s="4"/>
      <c r="E688" s="4"/>
      <c r="F688" s="4"/>
    </row>
    <row r="689" spans="4:6" ht="15.75" customHeight="1">
      <c r="D689" s="4"/>
      <c r="E689" s="4"/>
      <c r="F689" s="4"/>
    </row>
    <row r="690" spans="4:6" ht="15.75" customHeight="1">
      <c r="D690" s="4"/>
      <c r="E690" s="4"/>
      <c r="F690" s="4"/>
    </row>
    <row r="691" spans="4:6" ht="15.75" customHeight="1">
      <c r="D691" s="4"/>
      <c r="E691" s="4"/>
      <c r="F691" s="4"/>
    </row>
    <row r="692" spans="4:6" ht="15.75" customHeight="1">
      <c r="D692" s="4"/>
      <c r="E692" s="4"/>
      <c r="F692" s="4"/>
    </row>
    <row r="693" spans="4:6" ht="15.75" customHeight="1">
      <c r="D693" s="4"/>
      <c r="E693" s="4"/>
      <c r="F693" s="4"/>
    </row>
    <row r="694" spans="4:6" ht="15.75" customHeight="1">
      <c r="D694" s="4"/>
      <c r="E694" s="4"/>
      <c r="F694" s="4"/>
    </row>
    <row r="695" spans="4:6" ht="15.75" customHeight="1">
      <c r="D695" s="4"/>
      <c r="E695" s="4"/>
      <c r="F695" s="4"/>
    </row>
    <row r="696" spans="4:6" ht="15.75" customHeight="1">
      <c r="D696" s="4"/>
      <c r="E696" s="4"/>
      <c r="F696" s="4"/>
    </row>
    <row r="697" spans="4:6" ht="15.75" customHeight="1">
      <c r="D697" s="4"/>
      <c r="E697" s="4"/>
      <c r="F697" s="4"/>
    </row>
    <row r="698" spans="4:6" ht="15.75" customHeight="1">
      <c r="D698" s="4"/>
      <c r="E698" s="4"/>
      <c r="F698" s="4"/>
    </row>
    <row r="699" spans="4:6" ht="15.75" customHeight="1">
      <c r="D699" s="4"/>
      <c r="E699" s="4"/>
      <c r="F699" s="4"/>
    </row>
    <row r="700" spans="4:6" ht="15.75" customHeight="1">
      <c r="D700" s="4"/>
      <c r="E700" s="4"/>
      <c r="F700" s="4"/>
    </row>
    <row r="701" spans="4:6" ht="15.75" customHeight="1">
      <c r="D701" s="4"/>
      <c r="E701" s="4"/>
      <c r="F701" s="4"/>
    </row>
    <row r="702" spans="4:6" ht="15.75" customHeight="1">
      <c r="D702" s="4"/>
      <c r="E702" s="4"/>
      <c r="F702" s="4"/>
    </row>
    <row r="703" spans="4:6" ht="15.75" customHeight="1">
      <c r="D703" s="4"/>
      <c r="E703" s="4"/>
      <c r="F703" s="4"/>
    </row>
    <row r="704" spans="4:6" ht="15.75" customHeight="1">
      <c r="D704" s="4"/>
      <c r="E704" s="4"/>
      <c r="F704" s="4"/>
    </row>
    <row r="705" spans="4:6" ht="15.75" customHeight="1">
      <c r="D705" s="4"/>
      <c r="E705" s="4"/>
      <c r="F705" s="4"/>
    </row>
    <row r="706" spans="4:6" ht="15.75" customHeight="1">
      <c r="D706" s="4"/>
      <c r="E706" s="4"/>
      <c r="F706" s="4"/>
    </row>
    <row r="707" spans="4:6" ht="15.75" customHeight="1">
      <c r="D707" s="4"/>
      <c r="E707" s="4"/>
      <c r="F707" s="4"/>
    </row>
    <row r="708" spans="4:6" ht="15.75" customHeight="1">
      <c r="D708" s="4"/>
      <c r="E708" s="4"/>
      <c r="F708" s="4"/>
    </row>
    <row r="709" spans="4:6" ht="15.75" customHeight="1">
      <c r="D709" s="4"/>
      <c r="E709" s="4"/>
      <c r="F709" s="4"/>
    </row>
    <row r="710" spans="4:6" ht="15.75" customHeight="1">
      <c r="D710" s="4"/>
      <c r="E710" s="4"/>
      <c r="F710" s="4"/>
    </row>
    <row r="711" spans="4:6" ht="15.75" customHeight="1">
      <c r="D711" s="4"/>
      <c r="E711" s="4"/>
      <c r="F711" s="4"/>
    </row>
    <row r="712" spans="4:6" ht="15.75" customHeight="1">
      <c r="D712" s="4"/>
      <c r="E712" s="4"/>
      <c r="F712" s="4"/>
    </row>
    <row r="713" spans="4:6" ht="15.75" customHeight="1">
      <c r="D713" s="4"/>
      <c r="E713" s="4"/>
      <c r="F713" s="4"/>
    </row>
    <row r="714" spans="4:6" ht="15.75" customHeight="1">
      <c r="D714" s="4"/>
      <c r="E714" s="4"/>
      <c r="F714" s="4"/>
    </row>
    <row r="715" spans="4:6" ht="15.75" customHeight="1">
      <c r="D715" s="4"/>
      <c r="E715" s="4"/>
      <c r="F715" s="4"/>
    </row>
    <row r="716" spans="4:6" ht="15.75" customHeight="1">
      <c r="D716" s="4"/>
      <c r="E716" s="4"/>
      <c r="F716" s="4"/>
    </row>
    <row r="717" spans="4:6" ht="15.75" customHeight="1">
      <c r="D717" s="4"/>
      <c r="E717" s="4"/>
      <c r="F717" s="4"/>
    </row>
    <row r="718" spans="4:6" ht="15.75" customHeight="1">
      <c r="D718" s="4"/>
      <c r="E718" s="4"/>
      <c r="F718" s="4"/>
    </row>
    <row r="719" spans="4:6" ht="15.75" customHeight="1">
      <c r="D719" s="4"/>
      <c r="E719" s="4"/>
      <c r="F719" s="4"/>
    </row>
    <row r="720" spans="4:6" ht="15.75" customHeight="1">
      <c r="D720" s="4"/>
      <c r="E720" s="4"/>
      <c r="F720" s="4"/>
    </row>
    <row r="721" spans="4:6" ht="15.75" customHeight="1">
      <c r="D721" s="4"/>
      <c r="E721" s="4"/>
      <c r="F721" s="4"/>
    </row>
    <row r="722" spans="4:6" ht="15.75" customHeight="1">
      <c r="D722" s="4"/>
      <c r="E722" s="4"/>
      <c r="F722" s="4"/>
    </row>
    <row r="723" spans="4:6" ht="15.75" customHeight="1">
      <c r="D723" s="4"/>
      <c r="E723" s="4"/>
      <c r="F723" s="4"/>
    </row>
    <row r="724" spans="4:6" ht="15.75" customHeight="1">
      <c r="D724" s="4"/>
      <c r="E724" s="4"/>
      <c r="F724" s="4"/>
    </row>
    <row r="725" spans="4:6" ht="15.75" customHeight="1">
      <c r="D725" s="4"/>
      <c r="E725" s="4"/>
      <c r="F725" s="4"/>
    </row>
    <row r="726" spans="4:6" ht="15.75" customHeight="1">
      <c r="D726" s="4"/>
      <c r="E726" s="4"/>
      <c r="F726" s="4"/>
    </row>
    <row r="727" spans="4:6" ht="15.75" customHeight="1">
      <c r="D727" s="4"/>
      <c r="E727" s="4"/>
      <c r="F727" s="4"/>
    </row>
    <row r="728" spans="4:6" ht="15.75" customHeight="1">
      <c r="D728" s="4"/>
      <c r="E728" s="4"/>
      <c r="F728" s="4"/>
    </row>
    <row r="729" spans="4:6" ht="15.75" customHeight="1">
      <c r="D729" s="4"/>
      <c r="E729" s="4"/>
      <c r="F729" s="4"/>
    </row>
    <row r="730" spans="4:6" ht="15.75" customHeight="1">
      <c r="D730" s="4"/>
      <c r="E730" s="4"/>
      <c r="F730" s="4"/>
    </row>
    <row r="731" spans="4:6" ht="15.75" customHeight="1">
      <c r="D731" s="4"/>
      <c r="E731" s="4"/>
      <c r="F731" s="4"/>
    </row>
    <row r="732" spans="4:6" ht="15.75" customHeight="1">
      <c r="D732" s="4"/>
      <c r="E732" s="4"/>
      <c r="F732" s="4"/>
    </row>
    <row r="733" spans="4:6" ht="15.75" customHeight="1">
      <c r="D733" s="4"/>
      <c r="E733" s="4"/>
      <c r="F733" s="4"/>
    </row>
    <row r="734" spans="4:6" ht="15.75" customHeight="1">
      <c r="D734" s="4"/>
      <c r="E734" s="4"/>
      <c r="F734" s="4"/>
    </row>
    <row r="735" spans="4:6" ht="15.75" customHeight="1">
      <c r="D735" s="4"/>
      <c r="E735" s="4"/>
      <c r="F735" s="4"/>
    </row>
    <row r="736" spans="4:6" ht="15.75" customHeight="1">
      <c r="D736" s="4"/>
      <c r="E736" s="4"/>
      <c r="F736" s="4"/>
    </row>
    <row r="737" spans="4:6" ht="15.75" customHeight="1">
      <c r="D737" s="4"/>
      <c r="E737" s="4"/>
      <c r="F737" s="4"/>
    </row>
    <row r="738" spans="4:6" ht="15.75" customHeight="1">
      <c r="D738" s="4"/>
      <c r="E738" s="4"/>
      <c r="F738" s="4"/>
    </row>
    <row r="739" spans="4:6" ht="15.75" customHeight="1">
      <c r="D739" s="4"/>
      <c r="E739" s="4"/>
      <c r="F739" s="4"/>
    </row>
    <row r="740" spans="4:6" ht="15.75" customHeight="1">
      <c r="D740" s="4"/>
      <c r="E740" s="4"/>
      <c r="F740" s="4"/>
    </row>
    <row r="741" spans="4:6" ht="15.75" customHeight="1">
      <c r="D741" s="4"/>
      <c r="E741" s="4"/>
      <c r="F741" s="4"/>
    </row>
    <row r="742" spans="4:6" ht="15.75" customHeight="1">
      <c r="D742" s="4"/>
      <c r="E742" s="4"/>
      <c r="F742" s="4"/>
    </row>
    <row r="743" spans="4:6" ht="15.75" customHeight="1">
      <c r="D743" s="4"/>
      <c r="E743" s="4"/>
      <c r="F743" s="4"/>
    </row>
    <row r="744" spans="4:6" ht="15.75" customHeight="1">
      <c r="D744" s="4"/>
      <c r="E744" s="4"/>
      <c r="F744" s="4"/>
    </row>
    <row r="745" spans="4:6" ht="15.75" customHeight="1">
      <c r="D745" s="4"/>
      <c r="E745" s="4"/>
      <c r="F745" s="4"/>
    </row>
    <row r="746" spans="4:6" ht="15.75" customHeight="1">
      <c r="D746" s="4"/>
      <c r="E746" s="4"/>
      <c r="F746" s="4"/>
    </row>
    <row r="747" spans="4:6" ht="15.75" customHeight="1">
      <c r="D747" s="4"/>
      <c r="E747" s="4"/>
      <c r="F747" s="4"/>
    </row>
    <row r="748" spans="4:6" ht="15.75" customHeight="1">
      <c r="D748" s="4"/>
      <c r="E748" s="4"/>
      <c r="F748" s="4"/>
    </row>
    <row r="749" spans="4:6" ht="15.75" customHeight="1">
      <c r="D749" s="4"/>
      <c r="E749" s="4"/>
      <c r="F749" s="4"/>
    </row>
    <row r="750" spans="4:6" ht="15.75" customHeight="1">
      <c r="D750" s="4"/>
      <c r="E750" s="4"/>
      <c r="F750" s="4"/>
    </row>
    <row r="751" spans="4:6" ht="15.75" customHeight="1">
      <c r="D751" s="4"/>
      <c r="E751" s="4"/>
      <c r="F751" s="4"/>
    </row>
    <row r="752" spans="4:6" ht="15.75" customHeight="1">
      <c r="D752" s="4"/>
      <c r="E752" s="4"/>
      <c r="F752" s="4"/>
    </row>
    <row r="753" spans="4:6" ht="15.75" customHeight="1">
      <c r="D753" s="4"/>
      <c r="E753" s="4"/>
      <c r="F753" s="4"/>
    </row>
    <row r="754" spans="4:6" ht="15.75" customHeight="1">
      <c r="D754" s="4"/>
      <c r="E754" s="4"/>
      <c r="F754" s="4"/>
    </row>
    <row r="755" spans="4:6" ht="15.75" customHeight="1">
      <c r="D755" s="4"/>
      <c r="E755" s="4"/>
      <c r="F755" s="4"/>
    </row>
    <row r="756" spans="4:6" ht="15.75" customHeight="1">
      <c r="D756" s="4"/>
      <c r="E756" s="4"/>
      <c r="F756" s="4"/>
    </row>
    <row r="757" spans="4:6" ht="15.75" customHeight="1">
      <c r="D757" s="4"/>
      <c r="E757" s="4"/>
      <c r="F757" s="4"/>
    </row>
    <row r="758" spans="4:6" ht="15.75" customHeight="1">
      <c r="D758" s="4"/>
      <c r="E758" s="4"/>
      <c r="F758" s="4"/>
    </row>
    <row r="759" spans="4:6" ht="15.75" customHeight="1">
      <c r="D759" s="4"/>
      <c r="E759" s="4"/>
      <c r="F759" s="4"/>
    </row>
    <row r="760" spans="4:6" ht="15.75" customHeight="1">
      <c r="D760" s="4"/>
      <c r="E760" s="4"/>
      <c r="F760" s="4"/>
    </row>
    <row r="761" spans="4:6" ht="15.75" customHeight="1">
      <c r="D761" s="4"/>
      <c r="E761" s="4"/>
      <c r="F761" s="4"/>
    </row>
    <row r="762" spans="4:6" ht="15.75" customHeight="1">
      <c r="D762" s="4"/>
      <c r="E762" s="4"/>
      <c r="F762" s="4"/>
    </row>
    <row r="763" spans="4:6" ht="15.75" customHeight="1">
      <c r="D763" s="4"/>
      <c r="E763" s="4"/>
      <c r="F763" s="4"/>
    </row>
    <row r="764" spans="4:6" ht="15.75" customHeight="1">
      <c r="D764" s="4"/>
      <c r="E764" s="4"/>
      <c r="F764" s="4"/>
    </row>
    <row r="765" spans="4:6" ht="15.75" customHeight="1">
      <c r="D765" s="4"/>
      <c r="E765" s="4"/>
      <c r="F765" s="4"/>
    </row>
    <row r="766" spans="4:6" ht="15.75" customHeight="1">
      <c r="D766" s="4"/>
      <c r="E766" s="4"/>
      <c r="F766" s="4"/>
    </row>
    <row r="767" spans="4:6" ht="15.75" customHeight="1">
      <c r="D767" s="4"/>
      <c r="E767" s="4"/>
      <c r="F767" s="4"/>
    </row>
    <row r="768" spans="4:6" ht="15.75" customHeight="1">
      <c r="D768" s="4"/>
      <c r="E768" s="4"/>
      <c r="F768" s="4"/>
    </row>
    <row r="769" spans="4:6" ht="15.75" customHeight="1">
      <c r="D769" s="4"/>
      <c r="E769" s="4"/>
      <c r="F769" s="4"/>
    </row>
    <row r="770" spans="4:6" ht="15.75" customHeight="1">
      <c r="D770" s="4"/>
      <c r="E770" s="4"/>
      <c r="F770" s="4"/>
    </row>
    <row r="771" spans="4:6" ht="15.75" customHeight="1">
      <c r="D771" s="4"/>
      <c r="E771" s="4"/>
      <c r="F771" s="4"/>
    </row>
    <row r="772" spans="4:6" ht="15.75" customHeight="1">
      <c r="D772" s="4"/>
      <c r="E772" s="4"/>
      <c r="F772" s="4"/>
    </row>
    <row r="773" spans="4:6" ht="15.75" customHeight="1">
      <c r="D773" s="4"/>
      <c r="E773" s="4"/>
      <c r="F773" s="4"/>
    </row>
    <row r="774" spans="4:6" ht="15.75" customHeight="1">
      <c r="D774" s="4"/>
      <c r="E774" s="4"/>
      <c r="F774" s="4"/>
    </row>
    <row r="775" spans="4:6" ht="15.75" customHeight="1">
      <c r="D775" s="4"/>
      <c r="E775" s="4"/>
      <c r="F775" s="4"/>
    </row>
    <row r="776" spans="4:6" ht="15.75" customHeight="1">
      <c r="D776" s="4"/>
      <c r="E776" s="4"/>
      <c r="F776" s="4"/>
    </row>
    <row r="777" spans="4:6" ht="15.75" customHeight="1">
      <c r="D777" s="4"/>
      <c r="E777" s="4"/>
      <c r="F777" s="4"/>
    </row>
    <row r="778" spans="4:6" ht="15.75" customHeight="1">
      <c r="D778" s="4"/>
      <c r="E778" s="4"/>
      <c r="F778" s="4"/>
    </row>
    <row r="779" spans="4:6" ht="15.75" customHeight="1">
      <c r="D779" s="4"/>
      <c r="E779" s="4"/>
      <c r="F779" s="4"/>
    </row>
    <row r="780" spans="4:6" ht="15.75" customHeight="1">
      <c r="D780" s="4"/>
      <c r="E780" s="4"/>
      <c r="F780" s="4"/>
    </row>
    <row r="781" spans="4:6" ht="15.75" customHeight="1">
      <c r="D781" s="4"/>
      <c r="E781" s="4"/>
      <c r="F781" s="4"/>
    </row>
    <row r="782" spans="4:6" ht="15.75" customHeight="1">
      <c r="D782" s="4"/>
      <c r="E782" s="4"/>
      <c r="F782" s="4"/>
    </row>
    <row r="783" spans="4:6" ht="15.75" customHeight="1">
      <c r="D783" s="4"/>
      <c r="E783" s="4"/>
      <c r="F783" s="4"/>
    </row>
    <row r="784" spans="4:6" ht="15.75" customHeight="1">
      <c r="D784" s="4"/>
      <c r="E784" s="4"/>
      <c r="F784" s="4"/>
    </row>
    <row r="785" spans="4:6" ht="15.75" customHeight="1">
      <c r="D785" s="4"/>
      <c r="E785" s="4"/>
      <c r="F785" s="4"/>
    </row>
    <row r="786" spans="4:6" ht="15.75" customHeight="1">
      <c r="D786" s="4"/>
      <c r="E786" s="4"/>
      <c r="F786" s="4"/>
    </row>
    <row r="787" spans="4:6" ht="15.75" customHeight="1">
      <c r="D787" s="4"/>
      <c r="E787" s="4"/>
      <c r="F787" s="4"/>
    </row>
    <row r="788" spans="4:6" ht="15.75" customHeight="1">
      <c r="D788" s="4"/>
      <c r="E788" s="4"/>
      <c r="F788" s="4"/>
    </row>
    <row r="789" spans="4:6" ht="15.75" customHeight="1">
      <c r="D789" s="4"/>
      <c r="E789" s="4"/>
      <c r="F789" s="4"/>
    </row>
    <row r="790" spans="4:6" ht="15.75" customHeight="1">
      <c r="D790" s="4"/>
      <c r="E790" s="4"/>
      <c r="F790" s="4"/>
    </row>
    <row r="791" spans="4:6" ht="15.75" customHeight="1">
      <c r="D791" s="4"/>
      <c r="E791" s="4"/>
      <c r="F791" s="4"/>
    </row>
    <row r="792" spans="4:6" ht="15.75" customHeight="1">
      <c r="D792" s="4"/>
      <c r="E792" s="4"/>
      <c r="F792" s="4"/>
    </row>
    <row r="793" spans="4:6" ht="15.75" customHeight="1">
      <c r="D793" s="4"/>
      <c r="E793" s="4"/>
      <c r="F793" s="4"/>
    </row>
    <row r="794" spans="4:6" ht="15.75" customHeight="1">
      <c r="D794" s="4"/>
      <c r="E794" s="4"/>
      <c r="F794" s="4"/>
    </row>
    <row r="795" spans="4:6" ht="15.75" customHeight="1">
      <c r="D795" s="4"/>
      <c r="E795" s="4"/>
      <c r="F795" s="4"/>
    </row>
    <row r="796" spans="4:6" ht="15.75" customHeight="1">
      <c r="D796" s="4"/>
      <c r="E796" s="4"/>
      <c r="F796" s="4"/>
    </row>
    <row r="797" spans="4:6" ht="15.75" customHeight="1">
      <c r="D797" s="4"/>
      <c r="E797" s="4"/>
      <c r="F797" s="4"/>
    </row>
    <row r="798" spans="4:6" ht="15.75" customHeight="1">
      <c r="D798" s="4"/>
      <c r="E798" s="4"/>
      <c r="F798" s="4"/>
    </row>
    <row r="799" spans="4:6" ht="15.75" customHeight="1">
      <c r="D799" s="4"/>
      <c r="E799" s="4"/>
      <c r="F799" s="4"/>
    </row>
    <row r="800" spans="4:6" ht="15.75" customHeight="1">
      <c r="D800" s="4"/>
      <c r="E800" s="4"/>
      <c r="F800" s="4"/>
    </row>
    <row r="801" spans="4:6" ht="15.75" customHeight="1">
      <c r="D801" s="4"/>
      <c r="E801" s="4"/>
      <c r="F801" s="4"/>
    </row>
    <row r="802" spans="4:6" ht="15.75" customHeight="1">
      <c r="D802" s="4"/>
      <c r="E802" s="4"/>
      <c r="F802" s="4"/>
    </row>
    <row r="803" spans="4:6" ht="15.75" customHeight="1">
      <c r="D803" s="4"/>
      <c r="E803" s="4"/>
      <c r="F803" s="4"/>
    </row>
    <row r="804" spans="4:6" ht="15.75" customHeight="1">
      <c r="D804" s="4"/>
      <c r="E804" s="4"/>
      <c r="F804" s="4"/>
    </row>
    <row r="805" spans="4:6" ht="15.75" customHeight="1">
      <c r="D805" s="4"/>
      <c r="E805" s="4"/>
      <c r="F805" s="4"/>
    </row>
    <row r="806" spans="4:6" ht="15.75" customHeight="1">
      <c r="D806" s="4"/>
      <c r="E806" s="4"/>
      <c r="F806" s="4"/>
    </row>
    <row r="807" spans="4:6" ht="15.75" customHeight="1">
      <c r="D807" s="4"/>
      <c r="E807" s="4"/>
      <c r="F807" s="4"/>
    </row>
    <row r="808" spans="4:6" ht="15.75" customHeight="1">
      <c r="D808" s="4"/>
      <c r="E808" s="4"/>
      <c r="F808" s="4"/>
    </row>
    <row r="809" spans="4:6" ht="15.75" customHeight="1">
      <c r="D809" s="4"/>
      <c r="E809" s="4"/>
      <c r="F809" s="4"/>
    </row>
    <row r="810" spans="4:6" ht="15.75" customHeight="1">
      <c r="D810" s="4"/>
      <c r="E810" s="4"/>
      <c r="F810" s="4"/>
    </row>
    <row r="811" spans="4:6" ht="15.75" customHeight="1">
      <c r="D811" s="4"/>
      <c r="E811" s="4"/>
      <c r="F811" s="4"/>
    </row>
    <row r="812" spans="4:6" ht="15.75" customHeight="1">
      <c r="D812" s="4"/>
      <c r="E812" s="4"/>
      <c r="F812" s="4"/>
    </row>
    <row r="813" spans="4:6" ht="15.75" customHeight="1">
      <c r="D813" s="4"/>
      <c r="E813" s="4"/>
      <c r="F813" s="4"/>
    </row>
    <row r="814" spans="4:6" ht="15.75" customHeight="1">
      <c r="D814" s="4"/>
      <c r="E814" s="4"/>
      <c r="F814" s="4"/>
    </row>
    <row r="815" spans="4:6" ht="15.75" customHeight="1">
      <c r="D815" s="4"/>
      <c r="E815" s="4"/>
      <c r="F815" s="4"/>
    </row>
    <row r="816" spans="4:6" ht="15.75" customHeight="1">
      <c r="D816" s="4"/>
      <c r="E816" s="4"/>
      <c r="F816" s="4"/>
    </row>
    <row r="817" spans="4:6" ht="15.75" customHeight="1">
      <c r="D817" s="4"/>
      <c r="E817" s="4"/>
      <c r="F817" s="4"/>
    </row>
    <row r="818" spans="4:6" ht="15.75" customHeight="1">
      <c r="D818" s="4"/>
      <c r="E818" s="4"/>
      <c r="F818" s="4"/>
    </row>
    <row r="819" spans="4:6" ht="15.75" customHeight="1">
      <c r="D819" s="4"/>
      <c r="E819" s="4"/>
      <c r="F819" s="4"/>
    </row>
    <row r="820" spans="4:6" ht="15.75" customHeight="1">
      <c r="D820" s="4"/>
      <c r="E820" s="4"/>
      <c r="F820" s="4"/>
    </row>
    <row r="821" spans="4:6" ht="15.75" customHeight="1">
      <c r="D821" s="4"/>
      <c r="E821" s="4"/>
      <c r="F821" s="4"/>
    </row>
    <row r="822" spans="4:6" ht="15.75" customHeight="1">
      <c r="D822" s="4"/>
      <c r="E822" s="4"/>
      <c r="F822" s="4"/>
    </row>
    <row r="823" spans="4:6" ht="15.75" customHeight="1">
      <c r="D823" s="4"/>
      <c r="E823" s="4"/>
      <c r="F823" s="4"/>
    </row>
    <row r="824" spans="4:6" ht="15.75" customHeight="1">
      <c r="D824" s="4"/>
      <c r="E824" s="4"/>
      <c r="F824" s="4"/>
    </row>
    <row r="825" spans="4:6" ht="15.75" customHeight="1">
      <c r="D825" s="4"/>
      <c r="E825" s="4"/>
      <c r="F825" s="4"/>
    </row>
    <row r="826" spans="4:6" ht="15.75" customHeight="1">
      <c r="D826" s="4"/>
      <c r="E826" s="4"/>
      <c r="F826" s="4"/>
    </row>
    <row r="827" spans="4:6" ht="15.75" customHeight="1">
      <c r="D827" s="4"/>
      <c r="E827" s="4"/>
      <c r="F827" s="4"/>
    </row>
    <row r="828" spans="4:6" ht="15.75" customHeight="1">
      <c r="D828" s="4"/>
      <c r="E828" s="4"/>
      <c r="F828" s="4"/>
    </row>
    <row r="829" spans="4:6" ht="15.75" customHeight="1">
      <c r="D829" s="4"/>
      <c r="E829" s="4"/>
      <c r="F829" s="4"/>
    </row>
    <row r="830" spans="4:6" ht="15.75" customHeight="1">
      <c r="D830" s="4"/>
      <c r="E830" s="4"/>
      <c r="F830" s="4"/>
    </row>
    <row r="831" spans="4:6" ht="15.75" customHeight="1">
      <c r="D831" s="4"/>
      <c r="E831" s="4"/>
      <c r="F831" s="4"/>
    </row>
    <row r="832" spans="4:6" ht="15.75" customHeight="1">
      <c r="D832" s="4"/>
      <c r="E832" s="4"/>
      <c r="F832" s="4"/>
    </row>
    <row r="833" spans="4:6" ht="15.75" customHeight="1">
      <c r="D833" s="4"/>
      <c r="E833" s="4"/>
      <c r="F833" s="4"/>
    </row>
    <row r="834" spans="4:6" ht="15.75" customHeight="1">
      <c r="D834" s="4"/>
      <c r="E834" s="4"/>
      <c r="F834" s="4"/>
    </row>
    <row r="835" spans="4:6" ht="15.75" customHeight="1">
      <c r="D835" s="4"/>
      <c r="E835" s="4"/>
      <c r="F835" s="4"/>
    </row>
    <row r="836" spans="4:6" ht="15.75" customHeight="1">
      <c r="D836" s="4"/>
      <c r="E836" s="4"/>
      <c r="F836" s="4"/>
    </row>
    <row r="837" spans="4:6" ht="15.75" customHeight="1">
      <c r="D837" s="4"/>
      <c r="E837" s="4"/>
      <c r="F837" s="4"/>
    </row>
    <row r="838" spans="4:6" ht="15.75" customHeight="1">
      <c r="D838" s="4"/>
      <c r="E838" s="4"/>
      <c r="F838" s="4"/>
    </row>
    <row r="839" spans="4:6" ht="15.75" customHeight="1">
      <c r="D839" s="4"/>
      <c r="E839" s="4"/>
      <c r="F839" s="4"/>
    </row>
    <row r="840" spans="4:6" ht="15.75" customHeight="1">
      <c r="D840" s="4"/>
      <c r="E840" s="4"/>
      <c r="F840" s="4"/>
    </row>
    <row r="841" spans="4:6" ht="15.75" customHeight="1">
      <c r="D841" s="4"/>
      <c r="E841" s="4"/>
      <c r="F841" s="4"/>
    </row>
    <row r="842" spans="4:6" ht="15.75" customHeight="1">
      <c r="D842" s="4"/>
      <c r="E842" s="4"/>
      <c r="F842" s="4"/>
    </row>
    <row r="843" spans="4:6" ht="15.75" customHeight="1">
      <c r="D843" s="4"/>
      <c r="E843" s="4"/>
      <c r="F843" s="4"/>
    </row>
    <row r="844" spans="4:6" ht="15.75" customHeight="1">
      <c r="D844" s="4"/>
      <c r="E844" s="4"/>
      <c r="F844" s="4"/>
    </row>
    <row r="845" spans="4:6" ht="15.75" customHeight="1">
      <c r="D845" s="4"/>
      <c r="E845" s="4"/>
      <c r="F845" s="4"/>
    </row>
    <row r="846" spans="4:6" ht="15.75" customHeight="1">
      <c r="D846" s="4"/>
      <c r="E846" s="4"/>
      <c r="F846" s="4"/>
    </row>
    <row r="847" spans="4:6" ht="15.75" customHeight="1">
      <c r="D847" s="4"/>
      <c r="E847" s="4"/>
      <c r="F847" s="4"/>
    </row>
    <row r="848" spans="4:6" ht="15.75" customHeight="1">
      <c r="D848" s="4"/>
      <c r="E848" s="4"/>
      <c r="F848" s="4"/>
    </row>
    <row r="849" spans="4:6" ht="15.75" customHeight="1">
      <c r="D849" s="4"/>
      <c r="E849" s="4"/>
      <c r="F849" s="4"/>
    </row>
    <row r="850" spans="4:6" ht="15.75" customHeight="1">
      <c r="D850" s="4"/>
      <c r="E850" s="4"/>
      <c r="F850" s="4"/>
    </row>
    <row r="851" spans="4:6" ht="15.75" customHeight="1">
      <c r="D851" s="4"/>
      <c r="E851" s="4"/>
      <c r="F851" s="4"/>
    </row>
    <row r="852" spans="4:6" ht="15.75" customHeight="1">
      <c r="D852" s="4"/>
      <c r="E852" s="4"/>
      <c r="F852" s="4"/>
    </row>
    <row r="853" spans="4:6" ht="15.75" customHeight="1">
      <c r="D853" s="4"/>
      <c r="E853" s="4"/>
      <c r="F853" s="4"/>
    </row>
    <row r="854" spans="4:6" ht="15.75" customHeight="1">
      <c r="D854" s="4"/>
      <c r="E854" s="4"/>
      <c r="F854" s="4"/>
    </row>
    <row r="855" spans="4:6" ht="15.75" customHeight="1">
      <c r="D855" s="4"/>
      <c r="E855" s="4"/>
      <c r="F855" s="4"/>
    </row>
    <row r="856" spans="4:6" ht="15.75" customHeight="1">
      <c r="D856" s="4"/>
      <c r="E856" s="4"/>
      <c r="F856" s="4"/>
    </row>
    <row r="857" spans="4:6" ht="15.75" customHeight="1">
      <c r="D857" s="4"/>
      <c r="E857" s="4"/>
      <c r="F857" s="4"/>
    </row>
    <row r="858" spans="4:6" ht="15.75" customHeight="1">
      <c r="D858" s="4"/>
      <c r="E858" s="4"/>
      <c r="F858" s="4"/>
    </row>
    <row r="859" spans="4:6" ht="15.75" customHeight="1">
      <c r="D859" s="4"/>
      <c r="E859" s="4"/>
      <c r="F859" s="4"/>
    </row>
    <row r="860" spans="4:6" ht="15.75" customHeight="1">
      <c r="D860" s="4"/>
      <c r="E860" s="4"/>
      <c r="F860" s="4"/>
    </row>
    <row r="861" spans="4:6" ht="15.75" customHeight="1">
      <c r="D861" s="4"/>
      <c r="E861" s="4"/>
      <c r="F861" s="4"/>
    </row>
    <row r="862" spans="4:6" ht="15.75" customHeight="1">
      <c r="D862" s="4"/>
      <c r="E862" s="4"/>
      <c r="F862" s="4"/>
    </row>
    <row r="863" spans="4:6" ht="15.75" customHeight="1">
      <c r="D863" s="4"/>
      <c r="E863" s="4"/>
      <c r="F863" s="4"/>
    </row>
    <row r="864" spans="4:6" ht="15.75" customHeight="1">
      <c r="D864" s="4"/>
      <c r="E864" s="4"/>
      <c r="F864" s="4"/>
    </row>
    <row r="865" spans="4:6" ht="15.75" customHeight="1">
      <c r="D865" s="4"/>
      <c r="E865" s="4"/>
      <c r="F865" s="4"/>
    </row>
    <row r="866" spans="4:6" ht="15.75" customHeight="1">
      <c r="D866" s="4"/>
      <c r="E866" s="4"/>
      <c r="F866" s="4"/>
    </row>
    <row r="867" spans="4:6" ht="15.75" customHeight="1">
      <c r="D867" s="4"/>
      <c r="E867" s="4"/>
      <c r="F867" s="4"/>
    </row>
    <row r="868" spans="4:6" ht="15.75" customHeight="1">
      <c r="D868" s="4"/>
      <c r="E868" s="4"/>
      <c r="F868" s="4"/>
    </row>
    <row r="869" spans="4:6" ht="15.75" customHeight="1">
      <c r="D869" s="4"/>
      <c r="E869" s="4"/>
      <c r="F869" s="4"/>
    </row>
    <row r="870" spans="4:6" ht="15.75" customHeight="1">
      <c r="D870" s="4"/>
      <c r="E870" s="4"/>
      <c r="F870" s="4"/>
    </row>
    <row r="871" spans="4:6" ht="15.75" customHeight="1">
      <c r="D871" s="4"/>
      <c r="E871" s="4"/>
      <c r="F871" s="4"/>
    </row>
    <row r="872" spans="4:6" ht="15.75" customHeight="1">
      <c r="D872" s="4"/>
      <c r="E872" s="4"/>
      <c r="F872" s="4"/>
    </row>
    <row r="873" spans="4:6" ht="15.75" customHeight="1">
      <c r="D873" s="4"/>
      <c r="E873" s="4"/>
      <c r="F873" s="4"/>
    </row>
    <row r="874" spans="4:6" ht="15.75" customHeight="1">
      <c r="D874" s="4"/>
      <c r="E874" s="4"/>
      <c r="F874" s="4"/>
    </row>
    <row r="875" spans="4:6" ht="15.75" customHeight="1">
      <c r="D875" s="4"/>
      <c r="E875" s="4"/>
      <c r="F875" s="4"/>
    </row>
    <row r="876" spans="4:6" ht="15.75" customHeight="1">
      <c r="D876" s="4"/>
      <c r="E876" s="4"/>
      <c r="F876" s="4"/>
    </row>
    <row r="877" spans="4:6" ht="15.75" customHeight="1">
      <c r="D877" s="4"/>
      <c r="E877" s="4"/>
      <c r="F877" s="4"/>
    </row>
    <row r="878" spans="4:6" ht="15.75" customHeight="1">
      <c r="D878" s="4"/>
      <c r="E878" s="4"/>
      <c r="F878" s="4"/>
    </row>
    <row r="879" spans="4:6" ht="15.75" customHeight="1">
      <c r="D879" s="4"/>
      <c r="E879" s="4"/>
      <c r="F879" s="4"/>
    </row>
    <row r="880" spans="4:6" ht="15.75" customHeight="1">
      <c r="D880" s="4"/>
      <c r="E880" s="4"/>
      <c r="F880" s="4"/>
    </row>
    <row r="881" spans="4:6" ht="15.75" customHeight="1">
      <c r="D881" s="4"/>
      <c r="E881" s="4"/>
      <c r="F881" s="4"/>
    </row>
    <row r="882" spans="4:6" ht="15.75" customHeight="1">
      <c r="D882" s="4"/>
      <c r="E882" s="4"/>
      <c r="F882" s="4"/>
    </row>
    <row r="883" spans="4:6" ht="15.75" customHeight="1">
      <c r="D883" s="4"/>
      <c r="E883" s="4"/>
      <c r="F883" s="4"/>
    </row>
    <row r="884" spans="4:6" ht="15.75" customHeight="1">
      <c r="D884" s="4"/>
      <c r="E884" s="4"/>
      <c r="F884" s="4"/>
    </row>
    <row r="885" spans="4:6" ht="15.75" customHeight="1">
      <c r="D885" s="4"/>
      <c r="E885" s="4"/>
      <c r="F885" s="4"/>
    </row>
    <row r="886" spans="4:6" ht="15.75" customHeight="1">
      <c r="D886" s="4"/>
      <c r="E886" s="4"/>
      <c r="F886" s="4"/>
    </row>
    <row r="887" spans="4:6" ht="15.75" customHeight="1">
      <c r="D887" s="4"/>
      <c r="E887" s="4"/>
      <c r="F887" s="4"/>
    </row>
    <row r="888" spans="4:6" ht="15.75" customHeight="1">
      <c r="D888" s="4"/>
      <c r="E888" s="4"/>
      <c r="F888" s="4"/>
    </row>
    <row r="889" spans="4:6" ht="15.75" customHeight="1">
      <c r="D889" s="4"/>
      <c r="E889" s="4"/>
      <c r="F889" s="4"/>
    </row>
    <row r="890" spans="4:6" ht="15.75" customHeight="1">
      <c r="D890" s="4"/>
      <c r="E890" s="4"/>
      <c r="F890" s="4"/>
    </row>
    <row r="891" spans="4:6" ht="15.75" customHeight="1">
      <c r="D891" s="4"/>
      <c r="E891" s="4"/>
      <c r="F891" s="4"/>
    </row>
    <row r="892" spans="4:6" ht="15.75" customHeight="1">
      <c r="D892" s="4"/>
      <c r="E892" s="4"/>
      <c r="F892" s="4"/>
    </row>
    <row r="893" spans="4:6" ht="15.75" customHeight="1">
      <c r="D893" s="4"/>
      <c r="E893" s="4"/>
      <c r="F893" s="4"/>
    </row>
    <row r="894" spans="4:6" ht="15.75" customHeight="1">
      <c r="D894" s="4"/>
      <c r="E894" s="4"/>
      <c r="F894" s="4"/>
    </row>
    <row r="895" spans="4:6" ht="15.75" customHeight="1">
      <c r="D895" s="4"/>
      <c r="E895" s="4"/>
      <c r="F895" s="4"/>
    </row>
    <row r="896" spans="4:6" ht="15.75" customHeight="1">
      <c r="D896" s="4"/>
      <c r="E896" s="4"/>
      <c r="F896" s="4"/>
    </row>
    <row r="897" spans="4:6" ht="15.75" customHeight="1">
      <c r="D897" s="4"/>
      <c r="E897" s="4"/>
      <c r="F897" s="4"/>
    </row>
    <row r="898" spans="4:6" ht="15.75" customHeight="1">
      <c r="D898" s="4"/>
      <c r="E898" s="4"/>
      <c r="F898" s="4"/>
    </row>
    <row r="899" spans="4:6" ht="15.75" customHeight="1">
      <c r="D899" s="4"/>
      <c r="E899" s="4"/>
      <c r="F899" s="4"/>
    </row>
    <row r="900" spans="4:6" ht="15.75" customHeight="1">
      <c r="D900" s="4"/>
      <c r="E900" s="4"/>
      <c r="F900" s="4"/>
    </row>
    <row r="901" spans="4:6" ht="15.75" customHeight="1">
      <c r="D901" s="4"/>
      <c r="E901" s="4"/>
      <c r="F901" s="4"/>
    </row>
    <row r="902" spans="4:6" ht="15.75" customHeight="1">
      <c r="D902" s="4"/>
      <c r="E902" s="4"/>
      <c r="F902" s="4"/>
    </row>
    <row r="903" spans="4:6" ht="15.75" customHeight="1">
      <c r="D903" s="4"/>
      <c r="E903" s="4"/>
      <c r="F903" s="4"/>
    </row>
    <row r="904" spans="4:6" ht="15.75" customHeight="1">
      <c r="D904" s="4"/>
      <c r="E904" s="4"/>
      <c r="F904" s="4"/>
    </row>
    <row r="905" spans="4:6" ht="15.75" customHeight="1">
      <c r="D905" s="4"/>
      <c r="E905" s="4"/>
      <c r="F905" s="4"/>
    </row>
    <row r="906" spans="4:6" ht="15.75" customHeight="1">
      <c r="D906" s="4"/>
      <c r="E906" s="4"/>
      <c r="F906" s="4"/>
    </row>
    <row r="907" spans="4:6" ht="15.75" customHeight="1">
      <c r="D907" s="4"/>
      <c r="E907" s="4"/>
      <c r="F907" s="4"/>
    </row>
    <row r="908" spans="4:6" ht="15.75" customHeight="1">
      <c r="D908" s="4"/>
      <c r="E908" s="4"/>
      <c r="F908" s="4"/>
    </row>
    <row r="909" spans="4:6" ht="15.75" customHeight="1">
      <c r="D909" s="4"/>
      <c r="E909" s="4"/>
      <c r="F909" s="4"/>
    </row>
    <row r="910" spans="4:6" ht="15.75" customHeight="1">
      <c r="D910" s="4"/>
      <c r="E910" s="4"/>
      <c r="F910" s="4"/>
    </row>
    <row r="911" spans="4:6" ht="15.75" customHeight="1">
      <c r="D911" s="4"/>
      <c r="E911" s="4"/>
      <c r="F911" s="4"/>
    </row>
    <row r="912" spans="4:6" ht="15.75" customHeight="1">
      <c r="D912" s="4"/>
      <c r="E912" s="4"/>
      <c r="F912" s="4"/>
    </row>
    <row r="913" spans="4:6" ht="15.75" customHeight="1">
      <c r="D913" s="4"/>
      <c r="E913" s="4"/>
      <c r="F913" s="4"/>
    </row>
    <row r="914" spans="4:6" ht="15.75" customHeight="1">
      <c r="D914" s="4"/>
      <c r="E914" s="4"/>
      <c r="F914" s="4"/>
    </row>
    <row r="915" spans="4:6" ht="15.75" customHeight="1">
      <c r="D915" s="4"/>
      <c r="E915" s="4"/>
      <c r="F915" s="4"/>
    </row>
    <row r="916" spans="4:6" ht="15.75" customHeight="1">
      <c r="D916" s="4"/>
      <c r="E916" s="4"/>
      <c r="F916" s="4"/>
    </row>
    <row r="917" spans="4:6" ht="15.75" customHeight="1">
      <c r="D917" s="4"/>
      <c r="E917" s="4"/>
      <c r="F917" s="4"/>
    </row>
    <row r="918" spans="4:6" ht="15.75" customHeight="1">
      <c r="D918" s="4"/>
      <c r="E918" s="4"/>
      <c r="F918" s="4"/>
    </row>
    <row r="919" spans="4:6" ht="15.75" customHeight="1">
      <c r="D919" s="4"/>
      <c r="E919" s="4"/>
      <c r="F919" s="4"/>
    </row>
    <row r="920" spans="4:6" ht="15.75" customHeight="1">
      <c r="D920" s="4"/>
      <c r="E920" s="4"/>
      <c r="F920" s="4"/>
    </row>
    <row r="921" spans="4:6" ht="15.75" customHeight="1">
      <c r="D921" s="4"/>
      <c r="E921" s="4"/>
      <c r="F921" s="4"/>
    </row>
    <row r="922" spans="4:6" ht="15.75" customHeight="1">
      <c r="D922" s="4"/>
      <c r="E922" s="4"/>
      <c r="F922" s="4"/>
    </row>
    <row r="923" spans="4:6" ht="15.75" customHeight="1">
      <c r="D923" s="4"/>
      <c r="E923" s="4"/>
      <c r="F923" s="4"/>
    </row>
    <row r="924" spans="4:6" ht="15.75" customHeight="1">
      <c r="D924" s="4"/>
      <c r="E924" s="4"/>
      <c r="F924" s="4"/>
    </row>
    <row r="925" spans="4:6" ht="15.75" customHeight="1">
      <c r="D925" s="4"/>
      <c r="E925" s="4"/>
      <c r="F925" s="4"/>
    </row>
    <row r="926" spans="4:6" ht="15.75" customHeight="1">
      <c r="D926" s="4"/>
      <c r="E926" s="4"/>
      <c r="F926" s="4"/>
    </row>
    <row r="927" spans="4:6" ht="15.75" customHeight="1">
      <c r="D927" s="4"/>
      <c r="E927" s="4"/>
      <c r="F927" s="4"/>
    </row>
    <row r="928" spans="4:6" ht="15.75" customHeight="1">
      <c r="D928" s="4"/>
      <c r="E928" s="4"/>
      <c r="F928" s="4"/>
    </row>
    <row r="929" spans="4:6" ht="15.75" customHeight="1">
      <c r="D929" s="4"/>
      <c r="E929" s="4"/>
      <c r="F929" s="4"/>
    </row>
    <row r="930" spans="4:6" ht="15.75" customHeight="1">
      <c r="D930" s="4"/>
      <c r="E930" s="4"/>
      <c r="F930" s="4"/>
    </row>
    <row r="931" spans="4:6" ht="15.75" customHeight="1">
      <c r="D931" s="4"/>
      <c r="E931" s="4"/>
      <c r="F931" s="4"/>
    </row>
    <row r="932" spans="4:6" ht="15.75" customHeight="1">
      <c r="D932" s="4"/>
      <c r="E932" s="4"/>
      <c r="F932" s="4"/>
    </row>
    <row r="933" spans="4:6" ht="15.75" customHeight="1">
      <c r="D933" s="4"/>
      <c r="E933" s="4"/>
      <c r="F933" s="4"/>
    </row>
    <row r="934" spans="4:6" ht="15.75" customHeight="1">
      <c r="D934" s="4"/>
      <c r="E934" s="4"/>
      <c r="F934" s="4"/>
    </row>
    <row r="935" spans="4:6" ht="15.75" customHeight="1">
      <c r="D935" s="4"/>
      <c r="E935" s="4"/>
      <c r="F935" s="4"/>
    </row>
    <row r="936" spans="4:6" ht="15.75" customHeight="1">
      <c r="D936" s="4"/>
      <c r="E936" s="4"/>
      <c r="F936" s="4"/>
    </row>
    <row r="937" spans="4:6" ht="15.75" customHeight="1">
      <c r="D937" s="4"/>
      <c r="E937" s="4"/>
      <c r="F937" s="4"/>
    </row>
    <row r="938" spans="4:6" ht="15.75" customHeight="1">
      <c r="D938" s="4"/>
      <c r="E938" s="4"/>
      <c r="F938" s="4"/>
    </row>
    <row r="939" spans="4:6" ht="15.75" customHeight="1">
      <c r="D939" s="4"/>
      <c r="E939" s="4"/>
      <c r="F939" s="4"/>
    </row>
    <row r="940" spans="4:6" ht="15.75" customHeight="1">
      <c r="D940" s="4"/>
      <c r="E940" s="4"/>
      <c r="F940" s="4"/>
    </row>
    <row r="941" spans="4:6" ht="15.75" customHeight="1">
      <c r="D941" s="4"/>
      <c r="E941" s="4"/>
      <c r="F941" s="4"/>
    </row>
    <row r="942" spans="4:6" ht="15.75" customHeight="1">
      <c r="D942" s="4"/>
      <c r="E942" s="4"/>
      <c r="F942" s="4"/>
    </row>
    <row r="943" spans="4:6" ht="15.75" customHeight="1">
      <c r="D943" s="4"/>
      <c r="E943" s="4"/>
      <c r="F943" s="4"/>
    </row>
    <row r="944" spans="4:6" ht="15.75" customHeight="1">
      <c r="D944" s="4"/>
      <c r="E944" s="4"/>
      <c r="F944" s="4"/>
    </row>
    <row r="945" spans="4:6" ht="15.75" customHeight="1">
      <c r="D945" s="4"/>
      <c r="E945" s="4"/>
      <c r="F945" s="4"/>
    </row>
    <row r="946" spans="4:6" ht="15.75" customHeight="1">
      <c r="D946" s="4"/>
      <c r="E946" s="4"/>
      <c r="F946" s="4"/>
    </row>
    <row r="947" spans="4:6" ht="15.75" customHeight="1">
      <c r="D947" s="4"/>
      <c r="E947" s="4"/>
      <c r="F947" s="4"/>
    </row>
    <row r="948" spans="4:6" ht="15.75" customHeight="1">
      <c r="D948" s="4"/>
      <c r="E948" s="4"/>
      <c r="F948" s="4"/>
    </row>
    <row r="949" spans="4:6" ht="15.75" customHeight="1">
      <c r="D949" s="4"/>
      <c r="E949" s="4"/>
      <c r="F949" s="4"/>
    </row>
    <row r="950" spans="4:6" ht="15.75" customHeight="1">
      <c r="D950" s="4"/>
      <c r="E950" s="4"/>
      <c r="F950" s="4"/>
    </row>
    <row r="951" spans="4:6" ht="15.75" customHeight="1">
      <c r="D951" s="4"/>
      <c r="E951" s="4"/>
      <c r="F951" s="4"/>
    </row>
    <row r="952" spans="4:6" ht="15.75" customHeight="1">
      <c r="D952" s="4"/>
      <c r="E952" s="4"/>
      <c r="F952" s="4"/>
    </row>
    <row r="953" spans="4:6" ht="15.75" customHeight="1">
      <c r="D953" s="4"/>
      <c r="E953" s="4"/>
      <c r="F953" s="4"/>
    </row>
    <row r="954" spans="4:6" ht="15.75" customHeight="1">
      <c r="D954" s="4"/>
      <c r="E954" s="4"/>
      <c r="F954" s="4"/>
    </row>
    <row r="955" spans="4:6" ht="15.75" customHeight="1">
      <c r="D955" s="4"/>
      <c r="E955" s="4"/>
      <c r="F955" s="4"/>
    </row>
    <row r="956" spans="4:6" ht="15.75" customHeight="1">
      <c r="D956" s="4"/>
      <c r="E956" s="4"/>
      <c r="F956" s="4"/>
    </row>
    <row r="957" spans="4:6" ht="15.75" customHeight="1">
      <c r="D957" s="4"/>
      <c r="E957" s="4"/>
      <c r="F957" s="4"/>
    </row>
    <row r="958" spans="4:6" ht="15.75" customHeight="1">
      <c r="D958" s="4"/>
      <c r="E958" s="4"/>
      <c r="F958" s="4"/>
    </row>
    <row r="959" spans="4:6" ht="15.75" customHeight="1">
      <c r="D959" s="4"/>
      <c r="E959" s="4"/>
      <c r="F959" s="4"/>
    </row>
    <row r="960" spans="4:6" ht="15.75" customHeight="1">
      <c r="D960" s="4"/>
      <c r="E960" s="4"/>
      <c r="F960" s="4"/>
    </row>
    <row r="961" spans="4:6" ht="15.75" customHeight="1">
      <c r="D961" s="4"/>
      <c r="E961" s="4"/>
      <c r="F961" s="4"/>
    </row>
    <row r="962" spans="4:6" ht="15.75" customHeight="1">
      <c r="D962" s="4"/>
      <c r="E962" s="4"/>
      <c r="F962" s="4"/>
    </row>
    <row r="963" spans="4:6" ht="15.75" customHeight="1">
      <c r="D963" s="4"/>
      <c r="E963" s="4"/>
      <c r="F963" s="4"/>
    </row>
    <row r="964" spans="4:6" ht="15.75" customHeight="1">
      <c r="D964" s="4"/>
      <c r="E964" s="4"/>
      <c r="F964" s="4"/>
    </row>
    <row r="965" spans="4:6" ht="15.75" customHeight="1">
      <c r="D965" s="4"/>
      <c r="E965" s="4"/>
      <c r="F965" s="4"/>
    </row>
    <row r="966" spans="4:6" ht="15.75" customHeight="1">
      <c r="D966" s="4"/>
      <c r="E966" s="4"/>
      <c r="F966" s="4"/>
    </row>
    <row r="967" spans="4:6" ht="15.75" customHeight="1">
      <c r="D967" s="4"/>
      <c r="E967" s="4"/>
      <c r="F967" s="4"/>
    </row>
    <row r="968" spans="4:6" ht="15.75" customHeight="1">
      <c r="D968" s="4"/>
      <c r="E968" s="4"/>
      <c r="F968" s="4"/>
    </row>
    <row r="969" spans="4:6" ht="15.75" customHeight="1">
      <c r="D969" s="4"/>
      <c r="E969" s="4"/>
      <c r="F969" s="4"/>
    </row>
    <row r="970" spans="4:6" ht="15.75" customHeight="1">
      <c r="D970" s="4"/>
      <c r="E970" s="4"/>
      <c r="F970" s="4"/>
    </row>
    <row r="971" spans="4:6" ht="15.75" customHeight="1">
      <c r="D971" s="4"/>
      <c r="E971" s="4"/>
      <c r="F971" s="4"/>
    </row>
    <row r="972" spans="4:6" ht="15.75" customHeight="1">
      <c r="D972" s="4"/>
      <c r="E972" s="4"/>
      <c r="F972" s="4"/>
    </row>
    <row r="973" spans="4:6" ht="15.75" customHeight="1">
      <c r="D973" s="4"/>
      <c r="E973" s="4"/>
      <c r="F973" s="4"/>
    </row>
    <row r="974" spans="4:6" ht="15.75" customHeight="1">
      <c r="D974" s="4"/>
      <c r="E974" s="4"/>
      <c r="F974" s="4"/>
    </row>
    <row r="975" spans="4:6" ht="15.75" customHeight="1">
      <c r="D975" s="4"/>
      <c r="E975" s="4"/>
      <c r="F975" s="4"/>
    </row>
    <row r="976" spans="4:6" ht="15.75" customHeight="1">
      <c r="D976" s="4"/>
      <c r="E976" s="4"/>
      <c r="F976" s="4"/>
    </row>
    <row r="977" spans="4:6" ht="15.75" customHeight="1">
      <c r="D977" s="4"/>
      <c r="E977" s="4"/>
      <c r="F977" s="4"/>
    </row>
    <row r="978" spans="4:6" ht="15.75" customHeight="1">
      <c r="D978" s="4"/>
      <c r="E978" s="4"/>
      <c r="F978" s="4"/>
    </row>
    <row r="979" spans="4:6" ht="15.75" customHeight="1">
      <c r="D979" s="4"/>
      <c r="E979" s="4"/>
      <c r="F979" s="4"/>
    </row>
    <row r="980" spans="4:6" ht="15.75" customHeight="1">
      <c r="D980" s="4"/>
      <c r="E980" s="4"/>
      <c r="F980" s="4"/>
    </row>
    <row r="981" spans="4:6" ht="15.75" customHeight="1">
      <c r="D981" s="4"/>
      <c r="E981" s="4"/>
      <c r="F981" s="4"/>
    </row>
    <row r="982" spans="4:6" ht="15.75" customHeight="1">
      <c r="D982" s="4"/>
      <c r="E982" s="4"/>
      <c r="F982" s="4"/>
    </row>
    <row r="983" spans="4:6" ht="15.75" customHeight="1">
      <c r="D983" s="4"/>
      <c r="E983" s="4"/>
      <c r="F983" s="4"/>
    </row>
    <row r="984" spans="4:6" ht="15.75" customHeight="1">
      <c r="D984" s="4"/>
      <c r="E984" s="4"/>
      <c r="F984" s="4"/>
    </row>
    <row r="985" spans="4:6" ht="15.75" customHeight="1">
      <c r="D985" s="4"/>
      <c r="E985" s="4"/>
      <c r="F985" s="4"/>
    </row>
    <row r="986" spans="4:6" ht="15.75" customHeight="1">
      <c r="D986" s="4"/>
      <c r="E986" s="4"/>
      <c r="F986" s="4"/>
    </row>
    <row r="987" spans="4:6" ht="15.75" customHeight="1">
      <c r="D987" s="4"/>
      <c r="E987" s="4"/>
      <c r="F987" s="4"/>
    </row>
    <row r="988" spans="4:6" ht="15.75" customHeight="1">
      <c r="D988" s="4"/>
      <c r="E988" s="4"/>
      <c r="F988" s="4"/>
    </row>
    <row r="989" spans="4:6" ht="15.75" customHeight="1">
      <c r="D989" s="4"/>
      <c r="E989" s="4"/>
      <c r="F989" s="4"/>
    </row>
    <row r="990" spans="4:6" ht="15.75" customHeight="1">
      <c r="D990" s="4"/>
      <c r="E990" s="4"/>
      <c r="F990" s="4"/>
    </row>
    <row r="991" spans="4:6" ht="15.75" customHeight="1">
      <c r="D991" s="4"/>
      <c r="E991" s="4"/>
      <c r="F991" s="4"/>
    </row>
    <row r="992" spans="4:6" ht="15.75" customHeight="1">
      <c r="D992" s="4"/>
      <c r="E992" s="4"/>
      <c r="F992" s="4"/>
    </row>
    <row r="993" spans="4:6" ht="15.75" customHeight="1">
      <c r="D993" s="4"/>
      <c r="E993" s="4"/>
      <c r="F993" s="4"/>
    </row>
    <row r="994" spans="4:6" ht="15.75" customHeight="1">
      <c r="D994" s="4"/>
      <c r="E994" s="4"/>
      <c r="F994" s="4"/>
    </row>
    <row r="995" spans="4:6" ht="15.75" customHeight="1">
      <c r="D995" s="4"/>
      <c r="E995" s="4"/>
      <c r="F995" s="4"/>
    </row>
    <row r="996" spans="4:6" ht="15.75" customHeight="1">
      <c r="D996" s="4"/>
      <c r="E996" s="4"/>
      <c r="F996" s="4"/>
    </row>
    <row r="997" spans="4:6" ht="15.75" customHeight="1">
      <c r="D997" s="4"/>
      <c r="E997" s="4"/>
      <c r="F997" s="4"/>
    </row>
    <row r="998" spans="4:6" ht="15.75" customHeight="1">
      <c r="D998" s="4"/>
      <c r="E998" s="4"/>
      <c r="F998" s="4"/>
    </row>
    <row r="999" spans="4:6" ht="15.75" customHeight="1">
      <c r="D999" s="4"/>
      <c r="E999" s="4"/>
      <c r="F999" s="4"/>
    </row>
    <row r="1000" spans="4:6" ht="15.75" customHeight="1">
      <c r="D1000" s="4"/>
      <c r="E1000" s="4"/>
      <c r="F1000"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0C78-1CBD-4EE3-99C3-CE9634088535}">
  <sheetPr>
    <tabColor theme="6" tint="0.79998168889431442"/>
  </sheetPr>
  <dimension ref="A1:E1000"/>
  <sheetViews>
    <sheetView workbookViewId="0">
      <selection activeCell="E18" sqref="E18"/>
    </sheetView>
  </sheetViews>
  <sheetFormatPr defaultColWidth="12.6328125" defaultRowHeight="15" customHeight="1"/>
  <cols>
    <col min="1" max="1" width="11.36328125" bestFit="1" customWidth="1"/>
    <col min="2" max="2" width="16.453125" bestFit="1" customWidth="1"/>
    <col min="3" max="3" width="11.26953125" bestFit="1" customWidth="1"/>
    <col min="4" max="4" width="13.453125" bestFit="1" customWidth="1"/>
    <col min="5" max="5" width="16" bestFit="1" customWidth="1"/>
    <col min="6" max="26" width="8.6328125" customWidth="1"/>
  </cols>
  <sheetData>
    <row r="1" spans="1:5" ht="14.5">
      <c r="A1" s="2" t="s">
        <v>0</v>
      </c>
      <c r="B1" s="2" t="s">
        <v>5</v>
      </c>
      <c r="C1" s="2" t="s">
        <v>6</v>
      </c>
      <c r="D1" s="2" t="s">
        <v>8</v>
      </c>
      <c r="E1" s="2" t="s">
        <v>10</v>
      </c>
    </row>
    <row r="2" spans="1:5" ht="14.5">
      <c r="A2" s="2" t="s">
        <v>12</v>
      </c>
      <c r="B2" s="2" t="s">
        <v>13</v>
      </c>
      <c r="C2" s="2" t="s">
        <v>15</v>
      </c>
      <c r="D2" s="2" t="s">
        <v>18</v>
      </c>
      <c r="E2" s="2" t="s">
        <v>20</v>
      </c>
    </row>
    <row r="3" spans="1:5" ht="14.5">
      <c r="A3" s="2" t="s">
        <v>22</v>
      </c>
      <c r="B3" s="2" t="s">
        <v>24</v>
      </c>
      <c r="C3" s="2" t="s">
        <v>26</v>
      </c>
      <c r="D3" s="2" t="s">
        <v>27</v>
      </c>
      <c r="E3" s="2" t="s">
        <v>20</v>
      </c>
    </row>
    <row r="4" spans="1:5" ht="14.5">
      <c r="A4" s="2" t="s">
        <v>30</v>
      </c>
      <c r="B4" s="2" t="s">
        <v>33</v>
      </c>
      <c r="C4" s="2" t="s">
        <v>35</v>
      </c>
      <c r="D4" s="2" t="s">
        <v>27</v>
      </c>
      <c r="E4" s="2" t="s">
        <v>20</v>
      </c>
    </row>
    <row r="5" spans="1:5" ht="14.5">
      <c r="A5" s="2" t="s">
        <v>40</v>
      </c>
      <c r="B5" s="2" t="s">
        <v>43</v>
      </c>
      <c r="C5" s="2" t="s">
        <v>47</v>
      </c>
      <c r="D5" s="2" t="s">
        <v>48</v>
      </c>
      <c r="E5" s="2" t="s">
        <v>51</v>
      </c>
    </row>
    <row r="6" spans="1:5" ht="14.5">
      <c r="A6" s="2" t="s">
        <v>56</v>
      </c>
      <c r="B6" s="2" t="s">
        <v>58</v>
      </c>
      <c r="C6" s="2" t="s">
        <v>60</v>
      </c>
      <c r="D6" s="2" t="s">
        <v>18</v>
      </c>
      <c r="E6" s="2" t="s">
        <v>51</v>
      </c>
    </row>
    <row r="7" spans="1:5" ht="14.5">
      <c r="A7" s="2" t="s">
        <v>64</v>
      </c>
      <c r="B7" s="2" t="s">
        <v>66</v>
      </c>
      <c r="C7" s="2" t="s">
        <v>68</v>
      </c>
      <c r="D7" s="2" t="s">
        <v>70</v>
      </c>
      <c r="E7" s="2" t="s">
        <v>73</v>
      </c>
    </row>
    <row r="8" spans="1:5" ht="14.5">
      <c r="A8" s="2" t="s">
        <v>76</v>
      </c>
      <c r="B8" s="2" t="s">
        <v>78</v>
      </c>
      <c r="C8" s="2" t="s">
        <v>35</v>
      </c>
      <c r="D8" s="2" t="s">
        <v>70</v>
      </c>
      <c r="E8" s="2" t="s">
        <v>83</v>
      </c>
    </row>
    <row r="9" spans="1:5" ht="14.5">
      <c r="A9" s="2" t="s">
        <v>87</v>
      </c>
      <c r="B9" s="2" t="s">
        <v>89</v>
      </c>
      <c r="C9" s="2" t="s">
        <v>60</v>
      </c>
      <c r="D9" s="2" t="s">
        <v>70</v>
      </c>
      <c r="E9" s="2" t="s">
        <v>92</v>
      </c>
    </row>
    <row r="10" spans="1:5" ht="14.5">
      <c r="A10" s="2" t="s">
        <v>96</v>
      </c>
      <c r="B10" s="2" t="s">
        <v>99</v>
      </c>
      <c r="C10" s="2" t="s">
        <v>101</v>
      </c>
      <c r="D10" s="2" t="s">
        <v>48</v>
      </c>
      <c r="E10" s="2" t="s">
        <v>73</v>
      </c>
    </row>
    <row r="11" spans="1:5" ht="14.5">
      <c r="A11" s="2" t="s">
        <v>106</v>
      </c>
      <c r="B11" s="2" t="s">
        <v>109</v>
      </c>
      <c r="C11" s="2" t="s">
        <v>101</v>
      </c>
      <c r="D11" s="2" t="s">
        <v>111</v>
      </c>
      <c r="E11" s="2" t="s">
        <v>73</v>
      </c>
    </row>
    <row r="12" spans="1:5" ht="14.5">
      <c r="A12" s="2" t="s">
        <v>114</v>
      </c>
      <c r="B12" s="2" t="s">
        <v>115</v>
      </c>
      <c r="C12" s="2" t="s">
        <v>101</v>
      </c>
      <c r="D12" s="2" t="s">
        <v>18</v>
      </c>
      <c r="E12" s="2" t="s">
        <v>92</v>
      </c>
    </row>
    <row r="13" spans="1:5" ht="14.5">
      <c r="A13" s="2" t="s">
        <v>120</v>
      </c>
      <c r="B13" s="2" t="s">
        <v>121</v>
      </c>
      <c r="C13" s="2" t="s">
        <v>123</v>
      </c>
      <c r="D13" s="2" t="s">
        <v>27</v>
      </c>
      <c r="E13" s="2" t="s">
        <v>51</v>
      </c>
    </row>
    <row r="14" spans="1:5" ht="14.5">
      <c r="A14" s="2" t="s">
        <v>127</v>
      </c>
      <c r="B14" s="2" t="s">
        <v>129</v>
      </c>
      <c r="C14" s="2" t="s">
        <v>131</v>
      </c>
      <c r="D14" s="2" t="s">
        <v>111</v>
      </c>
      <c r="E14" s="2" t="s">
        <v>73</v>
      </c>
    </row>
    <row r="15" spans="1:5" ht="14.5">
      <c r="A15" s="2" t="s">
        <v>135</v>
      </c>
      <c r="B15" s="2" t="s">
        <v>138</v>
      </c>
      <c r="C15" s="2" t="s">
        <v>68</v>
      </c>
      <c r="D15" s="2" t="s">
        <v>140</v>
      </c>
      <c r="E15" s="2" t="s">
        <v>51</v>
      </c>
    </row>
    <row r="16" spans="1:5" ht="14.5">
      <c r="A16" s="2" t="s">
        <v>143</v>
      </c>
      <c r="B16" s="2" t="s">
        <v>145</v>
      </c>
      <c r="C16" s="2" t="s">
        <v>146</v>
      </c>
      <c r="D16" s="2" t="s">
        <v>70</v>
      </c>
      <c r="E16" s="2" t="s">
        <v>83</v>
      </c>
    </row>
    <row r="17" spans="1:5" ht="14.5">
      <c r="A17" s="2" t="s">
        <v>148</v>
      </c>
      <c r="B17" s="2" t="s">
        <v>149</v>
      </c>
      <c r="C17" s="2" t="s">
        <v>26</v>
      </c>
      <c r="D17" s="2" t="s">
        <v>27</v>
      </c>
      <c r="E17" s="2" t="s">
        <v>73</v>
      </c>
    </row>
    <row r="18" spans="1:5" ht="14.5">
      <c r="A18" s="2" t="s">
        <v>105</v>
      </c>
      <c r="B18" s="2" t="s">
        <v>153</v>
      </c>
      <c r="C18" s="2" t="s">
        <v>155</v>
      </c>
      <c r="D18" s="2" t="s">
        <v>140</v>
      </c>
      <c r="E18" s="2" t="s">
        <v>51</v>
      </c>
    </row>
    <row r="19" spans="1:5" ht="14.5">
      <c r="A19" s="2" t="s">
        <v>158</v>
      </c>
      <c r="B19" s="2" t="s">
        <v>161</v>
      </c>
      <c r="C19" s="2" t="s">
        <v>123</v>
      </c>
      <c r="D19" s="2" t="s">
        <v>140</v>
      </c>
      <c r="E19" s="2" t="s">
        <v>73</v>
      </c>
    </row>
    <row r="20" spans="1:5" ht="14.5">
      <c r="A20" s="2" t="s">
        <v>165</v>
      </c>
      <c r="B20" s="2" t="s">
        <v>167</v>
      </c>
      <c r="C20" s="2" t="s">
        <v>169</v>
      </c>
      <c r="D20" s="2" t="s">
        <v>70</v>
      </c>
      <c r="E20" s="2" t="s">
        <v>51</v>
      </c>
    </row>
    <row r="21" spans="1:5" ht="15.75" customHeight="1">
      <c r="A21" s="2" t="s">
        <v>171</v>
      </c>
      <c r="B21" s="2" t="s">
        <v>173</v>
      </c>
      <c r="C21" s="2" t="s">
        <v>35</v>
      </c>
      <c r="D21" s="2" t="s">
        <v>140</v>
      </c>
      <c r="E21" s="2" t="s">
        <v>20</v>
      </c>
    </row>
    <row r="22" spans="1:5" ht="15.75" customHeight="1">
      <c r="A22" s="2" t="s">
        <v>177</v>
      </c>
      <c r="B22" s="2" t="s">
        <v>178</v>
      </c>
      <c r="C22" s="2" t="s">
        <v>47</v>
      </c>
      <c r="D22" s="2" t="s">
        <v>111</v>
      </c>
      <c r="E22" s="2" t="s">
        <v>73</v>
      </c>
    </row>
    <row r="23" spans="1:5" ht="15.75" customHeight="1">
      <c r="A23" s="2" t="s">
        <v>182</v>
      </c>
      <c r="B23" s="2" t="s">
        <v>183</v>
      </c>
      <c r="C23" s="2" t="s">
        <v>184</v>
      </c>
      <c r="D23" s="2" t="s">
        <v>18</v>
      </c>
      <c r="E23" s="2" t="s">
        <v>92</v>
      </c>
    </row>
    <row r="24" spans="1:5" ht="15.75" customHeight="1">
      <c r="A24" s="2" t="s">
        <v>185</v>
      </c>
      <c r="B24" s="2" t="s">
        <v>186</v>
      </c>
      <c r="C24" s="2" t="s">
        <v>15</v>
      </c>
      <c r="D24" s="2" t="s">
        <v>18</v>
      </c>
      <c r="E24" s="2" t="s">
        <v>92</v>
      </c>
    </row>
    <row r="25" spans="1:5" ht="15.75" customHeight="1">
      <c r="A25" s="2" t="s">
        <v>144</v>
      </c>
      <c r="B25" s="2" t="s">
        <v>188</v>
      </c>
      <c r="C25" s="2" t="s">
        <v>146</v>
      </c>
      <c r="D25" s="2" t="s">
        <v>27</v>
      </c>
      <c r="E25" s="2" t="s">
        <v>20</v>
      </c>
    </row>
    <row r="26" spans="1:5" ht="15.75" customHeight="1">
      <c r="A26" s="2" t="s">
        <v>192</v>
      </c>
      <c r="B26" s="2" t="s">
        <v>195</v>
      </c>
      <c r="C26" s="2" t="s">
        <v>60</v>
      </c>
      <c r="D26" s="2" t="s">
        <v>27</v>
      </c>
      <c r="E26" s="2" t="s">
        <v>20</v>
      </c>
    </row>
    <row r="27" spans="1:5" ht="15.75" customHeight="1">
      <c r="A27" s="2" t="s">
        <v>198</v>
      </c>
      <c r="B27" s="2" t="s">
        <v>200</v>
      </c>
      <c r="C27" s="2" t="s">
        <v>203</v>
      </c>
      <c r="D27" s="2" t="s">
        <v>70</v>
      </c>
      <c r="E27" s="2" t="s">
        <v>51</v>
      </c>
    </row>
    <row r="28" spans="1:5" ht="15.75" customHeight="1">
      <c r="A28" s="2" t="s">
        <v>206</v>
      </c>
      <c r="B28" s="2" t="s">
        <v>207</v>
      </c>
      <c r="C28" s="2" t="s">
        <v>101</v>
      </c>
      <c r="D28" s="2" t="s">
        <v>27</v>
      </c>
      <c r="E28" s="2" t="s">
        <v>73</v>
      </c>
    </row>
    <row r="29" spans="1:5" ht="15.75" customHeight="1">
      <c r="A29" s="2" t="s">
        <v>211</v>
      </c>
      <c r="B29" s="2" t="s">
        <v>212</v>
      </c>
      <c r="C29" s="2" t="s">
        <v>213</v>
      </c>
      <c r="D29" s="2" t="s">
        <v>48</v>
      </c>
      <c r="E29" s="2" t="s">
        <v>92</v>
      </c>
    </row>
    <row r="30" spans="1:5" ht="15.75" customHeight="1">
      <c r="A30" s="2" t="s">
        <v>214</v>
      </c>
      <c r="B30" s="2" t="s">
        <v>215</v>
      </c>
      <c r="C30" s="2" t="s">
        <v>131</v>
      </c>
      <c r="D30" s="2" t="s">
        <v>140</v>
      </c>
      <c r="E30" s="2" t="s">
        <v>83</v>
      </c>
    </row>
    <row r="31" spans="1:5" ht="15.75" customHeight="1">
      <c r="A31" s="2" t="s">
        <v>220</v>
      </c>
      <c r="B31" s="2" t="s">
        <v>222</v>
      </c>
      <c r="C31" s="2" t="s">
        <v>60</v>
      </c>
      <c r="D31" s="2" t="s">
        <v>18</v>
      </c>
      <c r="E31" s="2" t="s">
        <v>83</v>
      </c>
    </row>
    <row r="32" spans="1:5" ht="15.75" customHeight="1">
      <c r="A32" s="2" t="s">
        <v>224</v>
      </c>
      <c r="B32" s="2" t="s">
        <v>225</v>
      </c>
      <c r="C32" s="2" t="s">
        <v>131</v>
      </c>
      <c r="D32" s="2" t="s">
        <v>48</v>
      </c>
      <c r="E32" s="2" t="s">
        <v>20</v>
      </c>
    </row>
    <row r="33" spans="1:5" ht="15.75" customHeight="1">
      <c r="A33" s="2" t="s">
        <v>227</v>
      </c>
      <c r="B33" s="2" t="s">
        <v>228</v>
      </c>
      <c r="C33" s="2" t="s">
        <v>101</v>
      </c>
      <c r="D33" s="2" t="s">
        <v>111</v>
      </c>
      <c r="E33" s="2" t="s">
        <v>92</v>
      </c>
    </row>
    <row r="34" spans="1:5" ht="15.75" customHeight="1">
      <c r="A34" s="2" t="s">
        <v>221</v>
      </c>
      <c r="B34" s="2" t="s">
        <v>230</v>
      </c>
      <c r="C34" s="2" t="s">
        <v>68</v>
      </c>
      <c r="D34" s="2" t="s">
        <v>70</v>
      </c>
      <c r="E34" s="2" t="s">
        <v>20</v>
      </c>
    </row>
    <row r="35" spans="1:5" ht="15.75" customHeight="1">
      <c r="A35" s="2" t="s">
        <v>86</v>
      </c>
      <c r="B35" s="2" t="s">
        <v>234</v>
      </c>
      <c r="C35" s="2" t="s">
        <v>235</v>
      </c>
      <c r="D35" s="2" t="s">
        <v>27</v>
      </c>
      <c r="E35" s="2" t="s">
        <v>92</v>
      </c>
    </row>
    <row r="36" spans="1:5" ht="15.75" customHeight="1">
      <c r="A36" s="2" t="s">
        <v>237</v>
      </c>
      <c r="B36" s="2" t="s">
        <v>238</v>
      </c>
      <c r="C36" s="2" t="s">
        <v>240</v>
      </c>
      <c r="D36" s="2" t="s">
        <v>111</v>
      </c>
      <c r="E36" s="2" t="s">
        <v>51</v>
      </c>
    </row>
    <row r="37" spans="1:5" ht="15.75" customHeight="1">
      <c r="A37" s="2" t="s">
        <v>241</v>
      </c>
      <c r="B37" s="2" t="s">
        <v>242</v>
      </c>
      <c r="C37" s="2" t="s">
        <v>47</v>
      </c>
      <c r="D37" s="2" t="s">
        <v>48</v>
      </c>
      <c r="E37" s="2" t="s">
        <v>20</v>
      </c>
    </row>
    <row r="38" spans="1:5" ht="15.75" customHeight="1">
      <c r="A38" s="2" t="s">
        <v>246</v>
      </c>
      <c r="B38" s="2" t="s">
        <v>247</v>
      </c>
      <c r="C38" s="2" t="s">
        <v>146</v>
      </c>
      <c r="D38" s="2" t="s">
        <v>48</v>
      </c>
      <c r="E38" s="2" t="s">
        <v>92</v>
      </c>
    </row>
    <row r="39" spans="1:5" ht="15.75" customHeight="1">
      <c r="A39" s="2" t="s">
        <v>75</v>
      </c>
      <c r="B39" s="2" t="s">
        <v>248</v>
      </c>
      <c r="C39" s="2" t="s">
        <v>60</v>
      </c>
      <c r="D39" s="2" t="s">
        <v>140</v>
      </c>
      <c r="E39" s="2" t="s">
        <v>92</v>
      </c>
    </row>
    <row r="40" spans="1:5" ht="15.75" customHeight="1">
      <c r="A40" s="2" t="s">
        <v>231</v>
      </c>
      <c r="B40" s="2" t="s">
        <v>250</v>
      </c>
      <c r="C40" s="2" t="s">
        <v>252</v>
      </c>
      <c r="D40" s="2" t="s">
        <v>140</v>
      </c>
      <c r="E40" s="2" t="s">
        <v>92</v>
      </c>
    </row>
    <row r="41" spans="1:5" ht="15.75" customHeight="1">
      <c r="A41" s="2" t="s">
        <v>254</v>
      </c>
      <c r="B41" s="2" t="s">
        <v>255</v>
      </c>
      <c r="C41" s="2" t="s">
        <v>256</v>
      </c>
      <c r="D41" s="2" t="s">
        <v>18</v>
      </c>
      <c r="E41" s="2" t="s">
        <v>51</v>
      </c>
    </row>
    <row r="42" spans="1:5" ht="15.75" customHeight="1">
      <c r="A42" s="2" t="s">
        <v>257</v>
      </c>
      <c r="B42" s="2" t="s">
        <v>259</v>
      </c>
      <c r="C42" s="2" t="s">
        <v>146</v>
      </c>
      <c r="D42" s="2" t="s">
        <v>18</v>
      </c>
      <c r="E42" s="2" t="s">
        <v>92</v>
      </c>
    </row>
    <row r="43" spans="1:5" ht="15.75" customHeight="1">
      <c r="A43" s="2" t="s">
        <v>261</v>
      </c>
      <c r="B43" s="2" t="s">
        <v>262</v>
      </c>
      <c r="C43" s="2" t="s">
        <v>256</v>
      </c>
      <c r="D43" s="2" t="s">
        <v>140</v>
      </c>
      <c r="E43" s="2" t="s">
        <v>83</v>
      </c>
    </row>
    <row r="44" spans="1:5" ht="15.75" customHeight="1">
      <c r="A44" s="2" t="s">
        <v>160</v>
      </c>
      <c r="B44" s="2" t="s">
        <v>264</v>
      </c>
      <c r="C44" s="2" t="s">
        <v>265</v>
      </c>
      <c r="D44" s="2" t="s">
        <v>140</v>
      </c>
      <c r="E44" s="2" t="s">
        <v>73</v>
      </c>
    </row>
    <row r="45" spans="1:5" ht="15.75" customHeight="1">
      <c r="A45" s="2" t="s">
        <v>267</v>
      </c>
      <c r="B45" s="2" t="s">
        <v>268</v>
      </c>
      <c r="C45" s="2" t="s">
        <v>269</v>
      </c>
      <c r="D45" s="2" t="s">
        <v>18</v>
      </c>
      <c r="E45" s="2" t="s">
        <v>92</v>
      </c>
    </row>
    <row r="46" spans="1:5" ht="15.75" customHeight="1">
      <c r="A46" s="2" t="s">
        <v>239</v>
      </c>
      <c r="B46" s="2" t="s">
        <v>271</v>
      </c>
      <c r="C46" s="2" t="s">
        <v>131</v>
      </c>
      <c r="D46" s="2" t="s">
        <v>140</v>
      </c>
      <c r="E46" s="2" t="s">
        <v>83</v>
      </c>
    </row>
    <row r="47" spans="1:5" ht="15.75" customHeight="1">
      <c r="A47" s="2" t="s">
        <v>272</v>
      </c>
      <c r="B47" s="2" t="s">
        <v>273</v>
      </c>
      <c r="C47" s="2" t="s">
        <v>213</v>
      </c>
      <c r="D47" s="2" t="s">
        <v>18</v>
      </c>
      <c r="E47" s="2" t="s">
        <v>20</v>
      </c>
    </row>
    <row r="48" spans="1:5" ht="15.75" customHeight="1">
      <c r="A48" s="2" t="s">
        <v>277</v>
      </c>
      <c r="B48" s="2" t="s">
        <v>278</v>
      </c>
      <c r="C48" s="2" t="s">
        <v>101</v>
      </c>
      <c r="D48" s="2" t="s">
        <v>27</v>
      </c>
      <c r="E48" s="2" t="s">
        <v>92</v>
      </c>
    </row>
    <row r="49" spans="1:5" ht="15.75" customHeight="1">
      <c r="A49" s="2" t="s">
        <v>279</v>
      </c>
      <c r="B49" s="2" t="s">
        <v>280</v>
      </c>
      <c r="C49" s="2" t="s">
        <v>26</v>
      </c>
      <c r="D49" s="2" t="s">
        <v>48</v>
      </c>
      <c r="E49" s="2" t="s">
        <v>92</v>
      </c>
    </row>
    <row r="50" spans="1:5" ht="15.75" customHeight="1">
      <c r="A50" s="2" t="s">
        <v>283</v>
      </c>
      <c r="B50" s="2" t="s">
        <v>284</v>
      </c>
      <c r="C50" s="2" t="s">
        <v>252</v>
      </c>
      <c r="D50" s="2" t="s">
        <v>27</v>
      </c>
      <c r="E50" s="2" t="s">
        <v>92</v>
      </c>
    </row>
    <row r="51" spans="1:5" ht="15.75" customHeight="1">
      <c r="A51" s="2" t="s">
        <v>133</v>
      </c>
      <c r="B51" s="2" t="s">
        <v>286</v>
      </c>
      <c r="C51" s="2" t="s">
        <v>269</v>
      </c>
      <c r="D51" s="2" t="s">
        <v>70</v>
      </c>
      <c r="E51" s="2" t="s">
        <v>92</v>
      </c>
    </row>
    <row r="52" spans="1:5" ht="15.75" customHeight="1">
      <c r="A52" s="2" t="s">
        <v>65</v>
      </c>
      <c r="B52" s="2" t="s">
        <v>288</v>
      </c>
      <c r="C52" s="2" t="s">
        <v>131</v>
      </c>
      <c r="D52" s="2" t="s">
        <v>70</v>
      </c>
      <c r="E52" s="2" t="s">
        <v>92</v>
      </c>
    </row>
    <row r="53" spans="1:5" ht="15.75" customHeight="1">
      <c r="A53" s="2" t="s">
        <v>290</v>
      </c>
      <c r="B53" s="2" t="s">
        <v>291</v>
      </c>
      <c r="C53" s="2" t="s">
        <v>131</v>
      </c>
      <c r="D53" s="2" t="s">
        <v>18</v>
      </c>
      <c r="E53" s="2" t="s">
        <v>92</v>
      </c>
    </row>
    <row r="54" spans="1:5" ht="15.75" customHeight="1">
      <c r="A54" s="2" t="s">
        <v>293</v>
      </c>
      <c r="B54" s="2" t="s">
        <v>294</v>
      </c>
      <c r="C54" s="2" t="s">
        <v>295</v>
      </c>
      <c r="D54" s="2" t="s">
        <v>140</v>
      </c>
      <c r="E54" s="2" t="s">
        <v>20</v>
      </c>
    </row>
    <row r="55" spans="1:5" ht="15.75" customHeight="1">
      <c r="A55" s="2" t="s">
        <v>190</v>
      </c>
      <c r="B55" s="2" t="s">
        <v>296</v>
      </c>
      <c r="C55" s="2" t="s">
        <v>68</v>
      </c>
      <c r="D55" s="2" t="s">
        <v>27</v>
      </c>
      <c r="E55" s="2" t="s">
        <v>92</v>
      </c>
    </row>
    <row r="56" spans="1:5" ht="15.75" customHeight="1">
      <c r="A56" s="2" t="s">
        <v>298</v>
      </c>
      <c r="B56" s="2" t="s">
        <v>300</v>
      </c>
      <c r="C56" s="2" t="s">
        <v>131</v>
      </c>
      <c r="D56" s="2" t="s">
        <v>48</v>
      </c>
      <c r="E56" s="2" t="s">
        <v>73</v>
      </c>
    </row>
    <row r="57" spans="1:5" ht="15.75" customHeight="1">
      <c r="A57" s="2" t="s">
        <v>301</v>
      </c>
      <c r="B57" s="2" t="s">
        <v>303</v>
      </c>
      <c r="C57" s="2" t="s">
        <v>123</v>
      </c>
      <c r="D57" s="2" t="s">
        <v>48</v>
      </c>
      <c r="E57" s="2" t="s">
        <v>92</v>
      </c>
    </row>
    <row r="58" spans="1:5" ht="15.75" customHeight="1">
      <c r="A58" s="2" t="s">
        <v>306</v>
      </c>
      <c r="B58" s="2" t="s">
        <v>307</v>
      </c>
      <c r="C58" s="2" t="s">
        <v>146</v>
      </c>
      <c r="D58" s="2" t="s">
        <v>140</v>
      </c>
      <c r="E58" s="2" t="s">
        <v>20</v>
      </c>
    </row>
    <row r="59" spans="1:5" ht="15.75" customHeight="1">
      <c r="A59" s="2" t="s">
        <v>309</v>
      </c>
      <c r="B59" s="2" t="s">
        <v>310</v>
      </c>
      <c r="C59" s="2" t="s">
        <v>101</v>
      </c>
      <c r="D59" s="2" t="s">
        <v>70</v>
      </c>
      <c r="E59" s="2" t="s">
        <v>92</v>
      </c>
    </row>
    <row r="60" spans="1:5" ht="15.75" customHeight="1">
      <c r="A60" s="2" t="s">
        <v>312</v>
      </c>
      <c r="B60" s="2" t="s">
        <v>314</v>
      </c>
      <c r="C60" s="2" t="s">
        <v>60</v>
      </c>
      <c r="D60" s="2" t="s">
        <v>70</v>
      </c>
      <c r="E60" s="2" t="s">
        <v>51</v>
      </c>
    </row>
    <row r="61" spans="1:5" ht="15.75" customHeight="1">
      <c r="A61" s="2" t="s">
        <v>55</v>
      </c>
      <c r="B61" s="2" t="s">
        <v>316</v>
      </c>
      <c r="C61" s="2" t="s">
        <v>26</v>
      </c>
      <c r="D61" s="2" t="s">
        <v>48</v>
      </c>
      <c r="E61" s="2" t="s">
        <v>20</v>
      </c>
    </row>
    <row r="62" spans="1:5" ht="15.75" customHeight="1">
      <c r="A62" s="2" t="s">
        <v>37</v>
      </c>
      <c r="B62" s="2" t="s">
        <v>319</v>
      </c>
      <c r="C62" s="2" t="s">
        <v>35</v>
      </c>
      <c r="D62" s="2" t="s">
        <v>70</v>
      </c>
      <c r="E62" s="2" t="s">
        <v>83</v>
      </c>
    </row>
    <row r="63" spans="1:5" ht="15.75" customHeight="1">
      <c r="A63" s="2" t="s">
        <v>204</v>
      </c>
      <c r="B63" s="2" t="s">
        <v>321</v>
      </c>
      <c r="C63" s="2" t="s">
        <v>35</v>
      </c>
      <c r="D63" s="2" t="s">
        <v>70</v>
      </c>
      <c r="E63" s="2" t="s">
        <v>51</v>
      </c>
    </row>
    <row r="64" spans="1:5" ht="15.75" customHeight="1">
      <c r="A64" s="2" t="s">
        <v>324</v>
      </c>
      <c r="B64" s="2" t="s">
        <v>325</v>
      </c>
      <c r="C64" s="2" t="s">
        <v>252</v>
      </c>
      <c r="D64" s="2" t="s">
        <v>18</v>
      </c>
      <c r="E64" s="2" t="s">
        <v>73</v>
      </c>
    </row>
    <row r="65" spans="1:5" ht="15.75" customHeight="1">
      <c r="A65" s="2" t="s">
        <v>327</v>
      </c>
      <c r="B65" s="2" t="s">
        <v>328</v>
      </c>
      <c r="C65" s="2" t="s">
        <v>329</v>
      </c>
      <c r="D65" s="2" t="s">
        <v>48</v>
      </c>
      <c r="E65" s="2" t="s">
        <v>20</v>
      </c>
    </row>
    <row r="66" spans="1:5" ht="15.75" customHeight="1">
      <c r="A66" s="2" t="s">
        <v>331</v>
      </c>
      <c r="B66" s="2" t="s">
        <v>332</v>
      </c>
      <c r="C66" s="2" t="s">
        <v>123</v>
      </c>
      <c r="D66" s="2" t="s">
        <v>48</v>
      </c>
      <c r="E66" s="2" t="s">
        <v>20</v>
      </c>
    </row>
    <row r="67" spans="1:5" ht="15.75" customHeight="1">
      <c r="A67" s="2" t="s">
        <v>299</v>
      </c>
      <c r="B67" s="2" t="s">
        <v>334</v>
      </c>
      <c r="C67" s="2" t="s">
        <v>26</v>
      </c>
      <c r="D67" s="2" t="s">
        <v>70</v>
      </c>
      <c r="E67" s="2" t="s">
        <v>92</v>
      </c>
    </row>
    <row r="68" spans="1:5" ht="15.75" customHeight="1">
      <c r="A68" s="2" t="s">
        <v>336</v>
      </c>
      <c r="B68" s="2" t="s">
        <v>338</v>
      </c>
      <c r="C68" s="2" t="s">
        <v>339</v>
      </c>
      <c r="D68" s="2" t="s">
        <v>48</v>
      </c>
      <c r="E68" s="2" t="s">
        <v>83</v>
      </c>
    </row>
    <row r="69" spans="1:5" ht="15.75" customHeight="1">
      <c r="A69" s="2" t="s">
        <v>342</v>
      </c>
      <c r="B69" s="2" t="s">
        <v>343</v>
      </c>
      <c r="C69" s="2" t="s">
        <v>146</v>
      </c>
      <c r="D69" s="2" t="s">
        <v>27</v>
      </c>
      <c r="E69" s="2" t="s">
        <v>73</v>
      </c>
    </row>
    <row r="70" spans="1:5" ht="15.75" customHeight="1">
      <c r="A70" s="2" t="s">
        <v>344</v>
      </c>
      <c r="B70" s="2" t="s">
        <v>345</v>
      </c>
      <c r="C70" s="2" t="s">
        <v>346</v>
      </c>
      <c r="D70" s="2" t="s">
        <v>140</v>
      </c>
      <c r="E70" s="2" t="s">
        <v>83</v>
      </c>
    </row>
    <row r="71" spans="1:5" ht="15.75" customHeight="1">
      <c r="A71" s="2" t="s">
        <v>348</v>
      </c>
      <c r="B71" s="2" t="s">
        <v>350</v>
      </c>
      <c r="C71" s="2" t="s">
        <v>123</v>
      </c>
      <c r="D71" s="2" t="s">
        <v>18</v>
      </c>
      <c r="E71" s="2" t="s">
        <v>92</v>
      </c>
    </row>
    <row r="72" spans="1:5" ht="15.75" customHeight="1">
      <c r="A72" s="2" t="s">
        <v>352</v>
      </c>
      <c r="B72" s="2" t="s">
        <v>354</v>
      </c>
      <c r="C72" s="2" t="s">
        <v>355</v>
      </c>
      <c r="D72" s="2" t="s">
        <v>18</v>
      </c>
      <c r="E72" s="2" t="s">
        <v>83</v>
      </c>
    </row>
    <row r="73" spans="1:5" ht="15.75" customHeight="1">
      <c r="A73" s="2" t="s">
        <v>270</v>
      </c>
      <c r="B73" s="2" t="s">
        <v>356</v>
      </c>
      <c r="C73" s="2" t="s">
        <v>357</v>
      </c>
      <c r="D73" s="2" t="s">
        <v>27</v>
      </c>
      <c r="E73" s="2" t="s">
        <v>20</v>
      </c>
    </row>
    <row r="74" spans="1:5" ht="15.75" customHeight="1">
      <c r="A74" s="2" t="s">
        <v>359</v>
      </c>
      <c r="B74" s="2" t="s">
        <v>360</v>
      </c>
      <c r="C74" s="2" t="s">
        <v>252</v>
      </c>
      <c r="D74" s="2" t="s">
        <v>70</v>
      </c>
      <c r="E74" s="2" t="s">
        <v>51</v>
      </c>
    </row>
    <row r="75" spans="1:5" ht="15.75" customHeight="1">
      <c r="A75" s="2" t="s">
        <v>362</v>
      </c>
      <c r="B75" s="2" t="s">
        <v>365</v>
      </c>
      <c r="C75" s="2" t="s">
        <v>252</v>
      </c>
      <c r="D75" s="2" t="s">
        <v>111</v>
      </c>
      <c r="E75" s="2" t="s">
        <v>51</v>
      </c>
    </row>
    <row r="76" spans="1:5" ht="15.75" customHeight="1">
      <c r="A76" s="2" t="s">
        <v>366</v>
      </c>
      <c r="B76" s="2" t="s">
        <v>367</v>
      </c>
      <c r="C76" s="2" t="s">
        <v>357</v>
      </c>
      <c r="D76" s="2" t="s">
        <v>111</v>
      </c>
      <c r="E76" s="2" t="s">
        <v>73</v>
      </c>
    </row>
    <row r="77" spans="1:5" ht="15.75" customHeight="1">
      <c r="A77" s="2" t="s">
        <v>368</v>
      </c>
      <c r="B77" s="2" t="s">
        <v>369</v>
      </c>
      <c r="C77" s="2" t="s">
        <v>269</v>
      </c>
      <c r="D77" s="2" t="s">
        <v>140</v>
      </c>
      <c r="E77" s="2" t="s">
        <v>73</v>
      </c>
    </row>
    <row r="78" spans="1:5" ht="15.75" customHeight="1">
      <c r="A78" s="2" t="s">
        <v>349</v>
      </c>
      <c r="B78" s="2" t="s">
        <v>372</v>
      </c>
      <c r="C78" s="2" t="s">
        <v>256</v>
      </c>
      <c r="D78" s="2" t="s">
        <v>27</v>
      </c>
      <c r="E78" s="2" t="s">
        <v>83</v>
      </c>
    </row>
    <row r="79" spans="1:5" ht="15.75" customHeight="1">
      <c r="A79" s="2" t="s">
        <v>373</v>
      </c>
      <c r="B79" s="2" t="s">
        <v>374</v>
      </c>
      <c r="C79" s="2" t="s">
        <v>357</v>
      </c>
      <c r="D79" s="2" t="s">
        <v>70</v>
      </c>
      <c r="E79" s="2" t="s">
        <v>73</v>
      </c>
    </row>
    <row r="80" spans="1:5" ht="15.75" customHeight="1">
      <c r="A80" s="2" t="s">
        <v>260</v>
      </c>
      <c r="B80" s="2" t="s">
        <v>377</v>
      </c>
      <c r="C80" s="2" t="s">
        <v>256</v>
      </c>
      <c r="D80" s="2" t="s">
        <v>70</v>
      </c>
      <c r="E80" s="2" t="s">
        <v>92</v>
      </c>
    </row>
    <row r="81" spans="1:5" ht="15.75" customHeight="1">
      <c r="A81" s="2" t="s">
        <v>379</v>
      </c>
      <c r="B81" s="2" t="s">
        <v>381</v>
      </c>
      <c r="C81" s="2" t="s">
        <v>382</v>
      </c>
      <c r="D81" s="2" t="s">
        <v>48</v>
      </c>
      <c r="E81" s="2" t="s">
        <v>83</v>
      </c>
    </row>
    <row r="82" spans="1:5" ht="15.75" customHeight="1">
      <c r="A82" s="2" t="s">
        <v>383</v>
      </c>
      <c r="B82" s="2" t="s">
        <v>385</v>
      </c>
      <c r="C82" s="2" t="s">
        <v>146</v>
      </c>
      <c r="D82" s="2" t="s">
        <v>70</v>
      </c>
      <c r="E82" s="2" t="s">
        <v>92</v>
      </c>
    </row>
    <row r="83" spans="1:5" ht="15.75" customHeight="1">
      <c r="A83" s="2" t="s">
        <v>176</v>
      </c>
      <c r="B83" s="2" t="s">
        <v>386</v>
      </c>
      <c r="C83" s="2" t="s">
        <v>146</v>
      </c>
      <c r="D83" s="2" t="s">
        <v>48</v>
      </c>
      <c r="E83" s="2" t="s">
        <v>92</v>
      </c>
    </row>
    <row r="84" spans="1:5" ht="15.75" customHeight="1">
      <c r="A84" s="2" t="s">
        <v>124</v>
      </c>
      <c r="B84" s="2" t="s">
        <v>387</v>
      </c>
      <c r="C84" s="2" t="s">
        <v>35</v>
      </c>
      <c r="D84" s="2" t="s">
        <v>48</v>
      </c>
      <c r="E84" s="2" t="s">
        <v>51</v>
      </c>
    </row>
    <row r="85" spans="1:5" ht="15.75" customHeight="1">
      <c r="A85" s="2" t="s">
        <v>388</v>
      </c>
      <c r="B85" s="2" t="s">
        <v>390</v>
      </c>
      <c r="C85" s="2" t="s">
        <v>252</v>
      </c>
      <c r="D85" s="2" t="s">
        <v>18</v>
      </c>
      <c r="E85" s="2" t="s">
        <v>83</v>
      </c>
    </row>
    <row r="86" spans="1:5" ht="15.75" customHeight="1">
      <c r="A86" s="2" t="s">
        <v>276</v>
      </c>
      <c r="B86" s="2" t="s">
        <v>391</v>
      </c>
      <c r="C86" s="2" t="s">
        <v>252</v>
      </c>
      <c r="D86" s="2" t="s">
        <v>18</v>
      </c>
      <c r="E86" s="2" t="s">
        <v>92</v>
      </c>
    </row>
    <row r="87" spans="1:5" ht="15.75" customHeight="1">
      <c r="A87" s="2" t="s">
        <v>392</v>
      </c>
      <c r="B87" s="2" t="s">
        <v>393</v>
      </c>
      <c r="C87" s="2" t="s">
        <v>131</v>
      </c>
      <c r="D87" s="2" t="s">
        <v>111</v>
      </c>
      <c r="E87" s="2" t="s">
        <v>73</v>
      </c>
    </row>
    <row r="88" spans="1:5" ht="15.75" customHeight="1">
      <c r="A88" s="2" t="s">
        <v>371</v>
      </c>
      <c r="B88" s="2" t="s">
        <v>395</v>
      </c>
      <c r="C88" s="2" t="s">
        <v>396</v>
      </c>
      <c r="D88" s="2" t="s">
        <v>140</v>
      </c>
      <c r="E88" s="2" t="s">
        <v>73</v>
      </c>
    </row>
    <row r="89" spans="1:5" ht="15.75" customHeight="1">
      <c r="A89" s="2" t="s">
        <v>397</v>
      </c>
      <c r="B89" s="2" t="s">
        <v>399</v>
      </c>
      <c r="C89" s="2" t="s">
        <v>213</v>
      </c>
      <c r="D89" s="2" t="s">
        <v>27</v>
      </c>
      <c r="E89" s="2" t="s">
        <v>92</v>
      </c>
    </row>
    <row r="90" spans="1:5" ht="15.75" customHeight="1">
      <c r="A90" s="2" t="s">
        <v>400</v>
      </c>
      <c r="B90" s="2" t="s">
        <v>401</v>
      </c>
      <c r="C90" s="2" t="s">
        <v>240</v>
      </c>
      <c r="D90" s="2" t="s">
        <v>27</v>
      </c>
      <c r="E90" s="2" t="s">
        <v>83</v>
      </c>
    </row>
    <row r="91" spans="1:5" ht="15.75" customHeight="1">
      <c r="A91" s="2" t="s">
        <v>402</v>
      </c>
      <c r="B91" s="2" t="s">
        <v>404</v>
      </c>
      <c r="C91" s="2" t="s">
        <v>329</v>
      </c>
      <c r="D91" s="2" t="s">
        <v>48</v>
      </c>
      <c r="E91" s="2" t="s">
        <v>83</v>
      </c>
    </row>
    <row r="92" spans="1:5" ht="15.75" customHeight="1">
      <c r="A92" s="2" t="s">
        <v>313</v>
      </c>
      <c r="B92" s="2" t="s">
        <v>405</v>
      </c>
      <c r="C92" s="2" t="s">
        <v>269</v>
      </c>
      <c r="D92" s="2" t="s">
        <v>70</v>
      </c>
      <c r="E92" s="2" t="s">
        <v>92</v>
      </c>
    </row>
    <row r="93" spans="1:5" ht="15.75" customHeight="1">
      <c r="A93" s="2" t="s">
        <v>407</v>
      </c>
      <c r="B93" s="2" t="s">
        <v>408</v>
      </c>
      <c r="C93" s="2" t="s">
        <v>329</v>
      </c>
      <c r="D93" s="2" t="s">
        <v>140</v>
      </c>
      <c r="E93" s="2" t="s">
        <v>73</v>
      </c>
    </row>
    <row r="94" spans="1:5" ht="15.75" customHeight="1">
      <c r="A94" s="2" t="s">
        <v>282</v>
      </c>
      <c r="B94" s="2" t="s">
        <v>410</v>
      </c>
      <c r="C94" s="2" t="s">
        <v>101</v>
      </c>
      <c r="D94" s="2" t="s">
        <v>140</v>
      </c>
      <c r="E94" s="2" t="s">
        <v>92</v>
      </c>
    </row>
    <row r="95" spans="1:5" ht="15.75" customHeight="1">
      <c r="A95" s="2" t="s">
        <v>113</v>
      </c>
      <c r="B95" s="2" t="s">
        <v>412</v>
      </c>
      <c r="C95" s="2" t="s">
        <v>35</v>
      </c>
      <c r="D95" s="2" t="s">
        <v>48</v>
      </c>
      <c r="E95" s="2" t="s">
        <v>20</v>
      </c>
    </row>
    <row r="96" spans="1:5" ht="15.75" customHeight="1">
      <c r="A96" s="2" t="s">
        <v>376</v>
      </c>
      <c r="B96" s="2" t="s">
        <v>414</v>
      </c>
      <c r="C96" s="2" t="s">
        <v>131</v>
      </c>
      <c r="D96" s="2" t="s">
        <v>48</v>
      </c>
      <c r="E96" s="2" t="s">
        <v>20</v>
      </c>
    </row>
    <row r="97" spans="1:5" ht="15.75" customHeight="1">
      <c r="A97" s="2" t="s">
        <v>416</v>
      </c>
      <c r="B97" s="2" t="s">
        <v>417</v>
      </c>
      <c r="C97" s="2" t="s">
        <v>47</v>
      </c>
      <c r="D97" s="2" t="s">
        <v>27</v>
      </c>
      <c r="E97" s="2" t="s">
        <v>83</v>
      </c>
    </row>
    <row r="98" spans="1:5" ht="15.75" customHeight="1">
      <c r="A98" s="2" t="s">
        <v>251</v>
      </c>
      <c r="B98" s="2" t="s">
        <v>419</v>
      </c>
      <c r="C98" s="2" t="s">
        <v>26</v>
      </c>
      <c r="D98" s="2" t="s">
        <v>70</v>
      </c>
      <c r="E98" s="2" t="s">
        <v>83</v>
      </c>
    </row>
    <row r="99" spans="1:5" ht="15.75" customHeight="1">
      <c r="A99" s="2" t="s">
        <v>420</v>
      </c>
      <c r="B99" s="2" t="s">
        <v>421</v>
      </c>
      <c r="C99" s="2" t="s">
        <v>68</v>
      </c>
      <c r="D99" s="2" t="s">
        <v>70</v>
      </c>
      <c r="E99" s="2" t="s">
        <v>73</v>
      </c>
    </row>
    <row r="100" spans="1:5" ht="15.75" customHeight="1">
      <c r="A100" s="2" t="s">
        <v>322</v>
      </c>
      <c r="B100" s="2" t="s">
        <v>423</v>
      </c>
      <c r="C100" s="2" t="s">
        <v>256</v>
      </c>
      <c r="D100" s="2" t="s">
        <v>70</v>
      </c>
      <c r="E100" s="2" t="s">
        <v>83</v>
      </c>
    </row>
    <row r="101" spans="1:5" ht="15.75" customHeight="1">
      <c r="A101" s="2" t="s">
        <v>93</v>
      </c>
      <c r="B101" s="2" t="s">
        <v>425</v>
      </c>
      <c r="C101" s="2" t="s">
        <v>269</v>
      </c>
      <c r="D101" s="2" t="s">
        <v>70</v>
      </c>
      <c r="E101" s="2" t="s">
        <v>20</v>
      </c>
    </row>
    <row r="102" spans="1:5" ht="15.75" customHeight="1"/>
    <row r="103" spans="1:5" ht="15.75" customHeight="1"/>
    <row r="104" spans="1:5" ht="15.75" customHeight="1"/>
    <row r="105" spans="1:5" ht="15.75" customHeight="1"/>
    <row r="106" spans="1:5" ht="15.75" customHeight="1"/>
    <row r="107" spans="1:5" ht="15.75" customHeight="1"/>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I15" sqref="I15"/>
    </sheetView>
  </sheetViews>
  <sheetFormatPr defaultColWidth="12.6328125" defaultRowHeight="15" customHeight="1"/>
  <cols>
    <col min="1" max="1" width="12" customWidth="1"/>
    <col min="2" max="2" width="15.08984375" customWidth="1"/>
    <col min="3" max="3" width="11.90625" customWidth="1"/>
    <col min="4" max="4" width="12" customWidth="1"/>
    <col min="5" max="5" width="11.453125" style="23" customWidth="1"/>
    <col min="6" max="6" width="11.7265625" style="23" customWidth="1"/>
    <col min="14" max="33" width="8.6328125" customWidth="1"/>
  </cols>
  <sheetData>
    <row r="1" spans="1:6" ht="14.5">
      <c r="A1" s="2" t="s">
        <v>2</v>
      </c>
      <c r="B1" s="2" t="s">
        <v>3</v>
      </c>
      <c r="C1" s="2" t="s">
        <v>4</v>
      </c>
      <c r="D1" s="4" t="s">
        <v>7</v>
      </c>
      <c r="E1" s="22" t="s">
        <v>11</v>
      </c>
      <c r="F1" s="22" t="s">
        <v>14</v>
      </c>
    </row>
    <row r="2" spans="1:6" ht="14.5">
      <c r="A2" s="2" t="s">
        <v>17</v>
      </c>
      <c r="B2" s="2" t="s">
        <v>661</v>
      </c>
      <c r="C2" s="2" t="s">
        <v>21</v>
      </c>
      <c r="D2" s="4" t="s">
        <v>23</v>
      </c>
      <c r="E2" s="22">
        <v>1.2</v>
      </c>
      <c r="F2" s="22">
        <v>0.6</v>
      </c>
    </row>
    <row r="3" spans="1:6" ht="14.5">
      <c r="A3" s="2" t="s">
        <v>28</v>
      </c>
      <c r="B3" s="2" t="s">
        <v>31</v>
      </c>
      <c r="C3" s="2" t="s">
        <v>21</v>
      </c>
      <c r="D3" s="4" t="s">
        <v>34</v>
      </c>
      <c r="E3" s="22">
        <v>1.8</v>
      </c>
      <c r="F3" s="22">
        <v>0.9</v>
      </c>
    </row>
    <row r="4" spans="1:6" ht="14.5">
      <c r="A4" s="2" t="s">
        <v>38</v>
      </c>
      <c r="B4" s="2" t="s">
        <v>39</v>
      </c>
      <c r="C4" s="2" t="s">
        <v>88</v>
      </c>
      <c r="D4" s="4" t="s">
        <v>46</v>
      </c>
      <c r="E4" s="22">
        <v>1.5</v>
      </c>
      <c r="F4" s="22">
        <v>0.8</v>
      </c>
    </row>
    <row r="5" spans="1:6" ht="14.5">
      <c r="A5" s="2" t="s">
        <v>50</v>
      </c>
      <c r="B5" s="2" t="s">
        <v>662</v>
      </c>
      <c r="C5" s="2" t="s">
        <v>88</v>
      </c>
      <c r="D5" s="4" t="s">
        <v>23</v>
      </c>
      <c r="E5" s="22">
        <v>1.6</v>
      </c>
      <c r="F5" s="22">
        <v>0.85</v>
      </c>
    </row>
    <row r="6" spans="1:6" ht="14.5">
      <c r="A6" s="2" t="s">
        <v>69</v>
      </c>
      <c r="B6" s="2" t="s">
        <v>663</v>
      </c>
      <c r="C6" s="2" t="s">
        <v>74</v>
      </c>
      <c r="D6" s="4" t="s">
        <v>34</v>
      </c>
      <c r="E6" s="22">
        <v>2</v>
      </c>
      <c r="F6" s="22">
        <v>1.1000000000000001</v>
      </c>
    </row>
    <row r="7" spans="1:6" ht="14.5">
      <c r="A7" s="2" t="s">
        <v>84</v>
      </c>
      <c r="B7" s="2" t="s">
        <v>85</v>
      </c>
      <c r="C7" s="2" t="s">
        <v>88</v>
      </c>
      <c r="D7" s="4" t="s">
        <v>23</v>
      </c>
      <c r="E7" s="22">
        <v>1.7</v>
      </c>
      <c r="F7" s="22">
        <v>0.9</v>
      </c>
    </row>
    <row r="8" spans="1:6" ht="14.5">
      <c r="A8" s="2" t="s">
        <v>95</v>
      </c>
      <c r="B8" s="2" t="s">
        <v>664</v>
      </c>
      <c r="C8" s="2" t="s">
        <v>100</v>
      </c>
      <c r="D8" s="4" t="s">
        <v>102</v>
      </c>
      <c r="E8" s="22">
        <v>2.5</v>
      </c>
      <c r="F8" s="22">
        <v>1.4</v>
      </c>
    </row>
    <row r="9" spans="1:6" ht="14.5">
      <c r="A9" s="2" t="s">
        <v>108</v>
      </c>
      <c r="B9" s="2" t="s">
        <v>665</v>
      </c>
      <c r="C9" s="2" t="s">
        <v>74</v>
      </c>
      <c r="D9" s="4" t="s">
        <v>23</v>
      </c>
      <c r="E9" s="22">
        <v>2.1</v>
      </c>
      <c r="F9" s="22">
        <v>1.2</v>
      </c>
    </row>
    <row r="10" spans="1:6" ht="14.5">
      <c r="A10" s="2" t="s">
        <v>117</v>
      </c>
      <c r="B10" s="2" t="s">
        <v>118</v>
      </c>
      <c r="C10" s="2" t="s">
        <v>21</v>
      </c>
      <c r="D10" s="4" t="s">
        <v>34</v>
      </c>
      <c r="E10" s="22">
        <v>1.9</v>
      </c>
      <c r="F10" s="22">
        <v>1</v>
      </c>
    </row>
    <row r="11" spans="1:6" ht="14.5">
      <c r="A11" s="2" t="s">
        <v>125</v>
      </c>
      <c r="B11" s="2" t="s">
        <v>128</v>
      </c>
      <c r="C11" s="2" t="s">
        <v>130</v>
      </c>
      <c r="D11" s="4" t="s">
        <v>23</v>
      </c>
      <c r="E11" s="22">
        <v>2.2000000000000002</v>
      </c>
      <c r="F11" s="22">
        <v>1.3</v>
      </c>
    </row>
    <row r="12" spans="1:6" ht="14.5">
      <c r="A12" s="2" t="s">
        <v>139</v>
      </c>
      <c r="B12" s="2" t="s">
        <v>666</v>
      </c>
      <c r="C12" s="2" t="s">
        <v>74</v>
      </c>
      <c r="D12" s="4" t="s">
        <v>34</v>
      </c>
      <c r="E12" s="22">
        <v>2.2999999999999998</v>
      </c>
      <c r="F12" s="22">
        <v>1.25</v>
      </c>
    </row>
    <row r="13" spans="1:6" ht="29">
      <c r="A13" s="2" t="s">
        <v>57</v>
      </c>
      <c r="B13" s="11" t="s">
        <v>154</v>
      </c>
      <c r="C13" s="2" t="s">
        <v>21</v>
      </c>
      <c r="D13" s="4" t="s">
        <v>159</v>
      </c>
      <c r="E13" s="22">
        <v>2</v>
      </c>
      <c r="F13" s="22">
        <v>1</v>
      </c>
    </row>
    <row r="14" spans="1:6" ht="14.5">
      <c r="A14" s="2" t="s">
        <v>134</v>
      </c>
      <c r="B14" s="2" t="s">
        <v>166</v>
      </c>
      <c r="C14" s="2" t="s">
        <v>21</v>
      </c>
      <c r="D14" s="4" t="s">
        <v>46</v>
      </c>
      <c r="E14" s="22">
        <v>1.8</v>
      </c>
      <c r="F14" s="22">
        <v>0.95</v>
      </c>
    </row>
    <row r="15" spans="1:6" ht="14.5">
      <c r="A15" s="2" t="s">
        <v>172</v>
      </c>
      <c r="B15" s="2" t="s">
        <v>174</v>
      </c>
      <c r="C15" s="2" t="s">
        <v>88</v>
      </c>
      <c r="D15" s="4" t="s">
        <v>46</v>
      </c>
      <c r="E15" s="22">
        <v>1.6</v>
      </c>
      <c r="F15" s="22">
        <v>0.85</v>
      </c>
    </row>
    <row r="16" spans="1:6" ht="14.5">
      <c r="A16" s="2" t="s">
        <v>180</v>
      </c>
      <c r="B16" s="2" t="s">
        <v>181</v>
      </c>
      <c r="C16" s="2" t="s">
        <v>74</v>
      </c>
      <c r="D16" s="4" t="s">
        <v>34</v>
      </c>
      <c r="E16" s="22">
        <v>2.4</v>
      </c>
      <c r="F16" s="22">
        <v>1.35</v>
      </c>
    </row>
    <row r="17" spans="1:6" ht="14.5">
      <c r="A17" s="2" t="s">
        <v>170</v>
      </c>
      <c r="B17" s="2" t="s">
        <v>667</v>
      </c>
      <c r="C17" s="2" t="s">
        <v>21</v>
      </c>
      <c r="D17" s="4" t="s">
        <v>23</v>
      </c>
      <c r="E17" s="22">
        <v>1.9</v>
      </c>
      <c r="F17" s="22">
        <v>0.95</v>
      </c>
    </row>
    <row r="18" spans="1:6" ht="14.5">
      <c r="A18" s="2" t="s">
        <v>41</v>
      </c>
      <c r="B18" s="2" t="s">
        <v>668</v>
      </c>
      <c r="C18" s="2" t="s">
        <v>130</v>
      </c>
      <c r="D18" s="4" t="s">
        <v>23</v>
      </c>
      <c r="E18" s="22">
        <v>2.2000000000000002</v>
      </c>
      <c r="F18" s="22">
        <v>1.2</v>
      </c>
    </row>
    <row r="19" spans="1:6" ht="14.5">
      <c r="A19" s="2" t="s">
        <v>199</v>
      </c>
      <c r="B19" s="2" t="s">
        <v>202</v>
      </c>
      <c r="C19" s="2" t="s">
        <v>88</v>
      </c>
      <c r="D19" s="4" t="s">
        <v>46</v>
      </c>
      <c r="E19" s="22">
        <v>1.7</v>
      </c>
      <c r="F19" s="22">
        <v>0.9</v>
      </c>
    </row>
    <row r="20" spans="1:6" ht="14.5">
      <c r="A20" s="2" t="s">
        <v>151</v>
      </c>
      <c r="B20" s="2" t="s">
        <v>209</v>
      </c>
      <c r="C20" s="2" t="s">
        <v>74</v>
      </c>
      <c r="D20" s="4" t="s">
        <v>102</v>
      </c>
      <c r="E20" s="22">
        <v>1.5</v>
      </c>
      <c r="F20" s="22">
        <v>0.8</v>
      </c>
    </row>
    <row r="21" spans="1:6" ht="15.75" customHeight="1">
      <c r="A21" s="2" t="s">
        <v>217</v>
      </c>
      <c r="B21" s="2" t="s">
        <v>669</v>
      </c>
      <c r="C21" s="2" t="s">
        <v>21</v>
      </c>
      <c r="D21" s="4" t="s">
        <v>23</v>
      </c>
      <c r="E21" s="22">
        <v>1.4</v>
      </c>
      <c r="F21" s="22">
        <v>0.7</v>
      </c>
    </row>
    <row r="22" spans="1:6" ht="15.75" customHeight="1">
      <c r="D22" s="4"/>
      <c r="E22" s="22"/>
      <c r="F22" s="22"/>
    </row>
    <row r="23" spans="1:6" ht="15.75" customHeight="1">
      <c r="D23" s="4"/>
      <c r="E23" s="22"/>
      <c r="F23" s="22"/>
    </row>
    <row r="24" spans="1:6" ht="15.75" customHeight="1">
      <c r="D24" s="4"/>
      <c r="E24" s="22"/>
      <c r="F24" s="22"/>
    </row>
    <row r="25" spans="1:6" ht="15.75" customHeight="1">
      <c r="D25" s="4"/>
      <c r="E25" s="22"/>
      <c r="F25" s="22"/>
    </row>
    <row r="26" spans="1:6" ht="15.75" customHeight="1">
      <c r="D26" s="4"/>
      <c r="E26" s="22"/>
      <c r="F26" s="22"/>
    </row>
    <row r="27" spans="1:6" ht="15.75" customHeight="1">
      <c r="D27" s="4"/>
      <c r="E27" s="22"/>
      <c r="F27" s="22"/>
    </row>
    <row r="28" spans="1:6" ht="15.75" customHeight="1">
      <c r="D28" s="4"/>
      <c r="E28" s="22"/>
      <c r="F28" s="22"/>
    </row>
    <row r="29" spans="1:6" ht="15.75" customHeight="1">
      <c r="D29" s="4"/>
      <c r="E29" s="22"/>
      <c r="F29" s="22"/>
    </row>
    <row r="30" spans="1:6" ht="15.75" customHeight="1">
      <c r="D30" s="4"/>
      <c r="E30" s="22"/>
      <c r="F30" s="22"/>
    </row>
    <row r="31" spans="1:6" ht="15.75" customHeight="1">
      <c r="D31" s="4"/>
      <c r="E31" s="22"/>
      <c r="F31" s="22"/>
    </row>
    <row r="32" spans="1:6" ht="15.75" customHeight="1">
      <c r="D32" s="4"/>
      <c r="E32" s="22"/>
      <c r="F32" s="22"/>
    </row>
    <row r="33" spans="4:6" ht="15.75" customHeight="1">
      <c r="D33" s="4"/>
      <c r="E33" s="22"/>
      <c r="F33" s="22"/>
    </row>
    <row r="34" spans="4:6" ht="15.75" customHeight="1">
      <c r="D34" s="4"/>
      <c r="E34" s="22"/>
      <c r="F34" s="22"/>
    </row>
    <row r="35" spans="4:6" ht="15.75" customHeight="1">
      <c r="D35" s="4"/>
      <c r="E35" s="22"/>
      <c r="F35" s="22"/>
    </row>
    <row r="36" spans="4:6" ht="15.75" customHeight="1">
      <c r="D36" s="4"/>
      <c r="E36" s="22"/>
      <c r="F36" s="22"/>
    </row>
    <row r="37" spans="4:6" ht="15.75" customHeight="1">
      <c r="D37" s="4"/>
      <c r="E37" s="22"/>
      <c r="F37" s="22"/>
    </row>
    <row r="38" spans="4:6" ht="15.75" customHeight="1">
      <c r="D38" s="4"/>
      <c r="E38" s="22"/>
      <c r="F38" s="22"/>
    </row>
    <row r="39" spans="4:6" ht="15.75" customHeight="1">
      <c r="D39" s="4"/>
      <c r="E39" s="22"/>
      <c r="F39" s="22"/>
    </row>
    <row r="40" spans="4:6" ht="15.75" customHeight="1">
      <c r="D40" s="4"/>
      <c r="E40" s="22"/>
      <c r="F40" s="22"/>
    </row>
    <row r="41" spans="4:6" ht="15.75" customHeight="1">
      <c r="D41" s="4"/>
      <c r="E41" s="22"/>
      <c r="F41" s="22"/>
    </row>
    <row r="42" spans="4:6" ht="15.75" customHeight="1">
      <c r="D42" s="4"/>
      <c r="E42" s="22"/>
      <c r="F42" s="22"/>
    </row>
    <row r="43" spans="4:6" ht="15.75" customHeight="1">
      <c r="D43" s="4"/>
      <c r="E43" s="22"/>
      <c r="F43" s="22"/>
    </row>
    <row r="44" spans="4:6" ht="15.75" customHeight="1">
      <c r="D44" s="4"/>
      <c r="E44" s="22"/>
      <c r="F44" s="22"/>
    </row>
    <row r="45" spans="4:6" ht="15.75" customHeight="1">
      <c r="D45" s="4"/>
      <c r="E45" s="22"/>
      <c r="F45" s="22"/>
    </row>
    <row r="46" spans="4:6" ht="15.75" customHeight="1">
      <c r="D46" s="4"/>
      <c r="E46" s="22"/>
      <c r="F46" s="22"/>
    </row>
    <row r="47" spans="4:6" ht="15.75" customHeight="1">
      <c r="D47" s="4"/>
      <c r="E47" s="22"/>
      <c r="F47" s="22"/>
    </row>
    <row r="48" spans="4:6" ht="15.75" customHeight="1">
      <c r="D48" s="4"/>
      <c r="E48" s="22"/>
      <c r="F48" s="22"/>
    </row>
    <row r="49" spans="4:6" ht="15.75" customHeight="1">
      <c r="D49" s="4"/>
      <c r="E49" s="22"/>
      <c r="F49" s="22"/>
    </row>
    <row r="50" spans="4:6" ht="15.75" customHeight="1">
      <c r="D50" s="4"/>
      <c r="E50" s="22"/>
      <c r="F50" s="22"/>
    </row>
    <row r="51" spans="4:6" ht="15.75" customHeight="1">
      <c r="D51" s="4"/>
      <c r="E51" s="22"/>
      <c r="F51" s="22"/>
    </row>
    <row r="52" spans="4:6" ht="15.75" customHeight="1">
      <c r="D52" s="4"/>
      <c r="E52" s="22"/>
      <c r="F52" s="22"/>
    </row>
    <row r="53" spans="4:6" ht="15.75" customHeight="1">
      <c r="D53" s="4"/>
      <c r="E53" s="22"/>
      <c r="F53" s="22"/>
    </row>
    <row r="54" spans="4:6" ht="15.75" customHeight="1">
      <c r="D54" s="4"/>
      <c r="E54" s="22"/>
      <c r="F54" s="22"/>
    </row>
    <row r="55" spans="4:6" ht="15.75" customHeight="1">
      <c r="D55" s="4"/>
      <c r="E55" s="22"/>
      <c r="F55" s="22"/>
    </row>
    <row r="56" spans="4:6" ht="15.75" customHeight="1">
      <c r="D56" s="4"/>
      <c r="E56" s="22"/>
      <c r="F56" s="22"/>
    </row>
    <row r="57" spans="4:6" ht="15.75" customHeight="1">
      <c r="D57" s="4"/>
      <c r="E57" s="22"/>
      <c r="F57" s="22"/>
    </row>
    <row r="58" spans="4:6" ht="15.75" customHeight="1">
      <c r="D58" s="4"/>
      <c r="E58" s="22"/>
      <c r="F58" s="22"/>
    </row>
    <row r="59" spans="4:6" ht="15.75" customHeight="1">
      <c r="D59" s="4"/>
      <c r="E59" s="22"/>
      <c r="F59" s="22"/>
    </row>
    <row r="60" spans="4:6" ht="15.75" customHeight="1">
      <c r="D60" s="4"/>
      <c r="E60" s="22"/>
      <c r="F60" s="22"/>
    </row>
    <row r="61" spans="4:6" ht="15.75" customHeight="1">
      <c r="D61" s="4"/>
      <c r="E61" s="22"/>
      <c r="F61" s="22"/>
    </row>
    <row r="62" spans="4:6" ht="15.75" customHeight="1">
      <c r="D62" s="4"/>
      <c r="E62" s="22"/>
      <c r="F62" s="22"/>
    </row>
    <row r="63" spans="4:6" ht="15.75" customHeight="1">
      <c r="D63" s="4"/>
      <c r="E63" s="22"/>
      <c r="F63" s="22"/>
    </row>
    <row r="64" spans="4:6" ht="15.75" customHeight="1">
      <c r="D64" s="4"/>
      <c r="E64" s="22"/>
      <c r="F64" s="22"/>
    </row>
    <row r="65" spans="4:6" ht="15.75" customHeight="1">
      <c r="D65" s="4"/>
      <c r="E65" s="22"/>
      <c r="F65" s="22"/>
    </row>
    <row r="66" spans="4:6" ht="15.75" customHeight="1">
      <c r="D66" s="4"/>
      <c r="E66" s="22"/>
      <c r="F66" s="22"/>
    </row>
    <row r="67" spans="4:6" ht="15.75" customHeight="1">
      <c r="D67" s="4"/>
      <c r="E67" s="22"/>
      <c r="F67" s="22"/>
    </row>
    <row r="68" spans="4:6" ht="15.75" customHeight="1">
      <c r="D68" s="4"/>
      <c r="E68" s="22"/>
      <c r="F68" s="22"/>
    </row>
    <row r="69" spans="4:6" ht="15.75" customHeight="1">
      <c r="D69" s="4"/>
      <c r="E69" s="22"/>
      <c r="F69" s="22"/>
    </row>
    <row r="70" spans="4:6" ht="15.75" customHeight="1">
      <c r="D70" s="4"/>
      <c r="E70" s="22"/>
      <c r="F70" s="22"/>
    </row>
    <row r="71" spans="4:6" ht="15.75" customHeight="1">
      <c r="D71" s="4"/>
      <c r="E71" s="22"/>
      <c r="F71" s="22"/>
    </row>
    <row r="72" spans="4:6" ht="15.75" customHeight="1">
      <c r="D72" s="4"/>
      <c r="E72" s="22"/>
      <c r="F72" s="22"/>
    </row>
    <row r="73" spans="4:6" ht="15.75" customHeight="1">
      <c r="D73" s="4"/>
      <c r="E73" s="22"/>
      <c r="F73" s="22"/>
    </row>
    <row r="74" spans="4:6" ht="15.75" customHeight="1">
      <c r="D74" s="4"/>
      <c r="E74" s="22"/>
      <c r="F74" s="22"/>
    </row>
    <row r="75" spans="4:6" ht="15.75" customHeight="1">
      <c r="D75" s="4"/>
      <c r="E75" s="22"/>
      <c r="F75" s="22"/>
    </row>
    <row r="76" spans="4:6" ht="15.75" customHeight="1">
      <c r="D76" s="4"/>
      <c r="E76" s="22"/>
      <c r="F76" s="22"/>
    </row>
    <row r="77" spans="4:6" ht="15.75" customHeight="1">
      <c r="D77" s="4"/>
      <c r="E77" s="22"/>
      <c r="F77" s="22"/>
    </row>
    <row r="78" spans="4:6" ht="15.75" customHeight="1">
      <c r="D78" s="4"/>
      <c r="E78" s="22"/>
      <c r="F78" s="22"/>
    </row>
    <row r="79" spans="4:6" ht="15.75" customHeight="1">
      <c r="D79" s="4"/>
      <c r="E79" s="22"/>
      <c r="F79" s="22"/>
    </row>
    <row r="80" spans="4:6" ht="15.75" customHeight="1">
      <c r="D80" s="4"/>
      <c r="E80" s="22"/>
      <c r="F80" s="22"/>
    </row>
    <row r="81" spans="4:6" ht="15.75" customHeight="1">
      <c r="D81" s="4"/>
      <c r="E81" s="22"/>
      <c r="F81" s="22"/>
    </row>
    <row r="82" spans="4:6" ht="15.75" customHeight="1">
      <c r="D82" s="4"/>
      <c r="E82" s="22"/>
      <c r="F82" s="22"/>
    </row>
    <row r="83" spans="4:6" ht="15.75" customHeight="1">
      <c r="D83" s="4"/>
      <c r="E83" s="22"/>
      <c r="F83" s="22"/>
    </row>
    <row r="84" spans="4:6" ht="15.75" customHeight="1">
      <c r="D84" s="4"/>
      <c r="E84" s="22"/>
      <c r="F84" s="22"/>
    </row>
    <row r="85" spans="4:6" ht="15.75" customHeight="1">
      <c r="D85" s="4"/>
      <c r="E85" s="22"/>
      <c r="F85" s="22"/>
    </row>
    <row r="86" spans="4:6" ht="15.75" customHeight="1">
      <c r="D86" s="4"/>
      <c r="E86" s="22"/>
      <c r="F86" s="22"/>
    </row>
    <row r="87" spans="4:6" ht="15.75" customHeight="1">
      <c r="D87" s="4"/>
      <c r="E87" s="22"/>
      <c r="F87" s="22"/>
    </row>
    <row r="88" spans="4:6" ht="15.75" customHeight="1">
      <c r="D88" s="4"/>
      <c r="E88" s="22"/>
      <c r="F88" s="22"/>
    </row>
    <row r="89" spans="4:6" ht="15.75" customHeight="1">
      <c r="D89" s="4"/>
      <c r="E89" s="22"/>
      <c r="F89" s="22"/>
    </row>
    <row r="90" spans="4:6" ht="15.75" customHeight="1">
      <c r="D90" s="4"/>
      <c r="E90" s="22"/>
      <c r="F90" s="22"/>
    </row>
    <row r="91" spans="4:6" ht="15.75" customHeight="1">
      <c r="D91" s="4"/>
      <c r="E91" s="22"/>
      <c r="F91" s="22"/>
    </row>
    <row r="92" spans="4:6" ht="15.75" customHeight="1">
      <c r="D92" s="4"/>
      <c r="E92" s="22"/>
      <c r="F92" s="22"/>
    </row>
    <row r="93" spans="4:6" ht="15.75" customHeight="1">
      <c r="D93" s="4"/>
      <c r="E93" s="22"/>
      <c r="F93" s="22"/>
    </row>
    <row r="94" spans="4:6" ht="15.75" customHeight="1">
      <c r="D94" s="4"/>
      <c r="E94" s="22"/>
      <c r="F94" s="22"/>
    </row>
    <row r="95" spans="4:6" ht="15.75" customHeight="1">
      <c r="D95" s="4"/>
      <c r="E95" s="22"/>
      <c r="F95" s="22"/>
    </row>
    <row r="96" spans="4:6" ht="15.75" customHeight="1">
      <c r="D96" s="4"/>
      <c r="E96" s="22"/>
      <c r="F96" s="22"/>
    </row>
    <row r="97" spans="4:6" ht="15.75" customHeight="1">
      <c r="D97" s="4"/>
      <c r="E97" s="22"/>
      <c r="F97" s="22"/>
    </row>
    <row r="98" spans="4:6" ht="15.75" customHeight="1">
      <c r="D98" s="4"/>
      <c r="E98" s="22"/>
      <c r="F98" s="22"/>
    </row>
    <row r="99" spans="4:6" ht="15.75" customHeight="1">
      <c r="D99" s="4"/>
      <c r="E99" s="22"/>
      <c r="F99" s="22"/>
    </row>
    <row r="100" spans="4:6" ht="15.75" customHeight="1">
      <c r="D100" s="4"/>
      <c r="E100" s="22"/>
      <c r="F100" s="22"/>
    </row>
    <row r="101" spans="4:6" ht="15.75" customHeight="1">
      <c r="D101" s="4"/>
      <c r="E101" s="22"/>
      <c r="F101" s="22"/>
    </row>
    <row r="102" spans="4:6" ht="15.75" customHeight="1">
      <c r="D102" s="4"/>
      <c r="E102" s="22"/>
      <c r="F102" s="22"/>
    </row>
    <row r="103" spans="4:6" ht="15.75" customHeight="1">
      <c r="D103" s="4"/>
      <c r="E103" s="22"/>
      <c r="F103" s="22"/>
    </row>
    <row r="104" spans="4:6" ht="15.75" customHeight="1">
      <c r="D104" s="4"/>
      <c r="E104" s="22"/>
      <c r="F104" s="22"/>
    </row>
    <row r="105" spans="4:6" ht="15.75" customHeight="1">
      <c r="D105" s="4"/>
      <c r="E105" s="22"/>
      <c r="F105" s="22"/>
    </row>
    <row r="106" spans="4:6" ht="15.75" customHeight="1">
      <c r="D106" s="4"/>
      <c r="E106" s="22"/>
      <c r="F106" s="22"/>
    </row>
    <row r="107" spans="4:6" ht="15.75" customHeight="1">
      <c r="D107" s="4"/>
      <c r="E107" s="22"/>
      <c r="F107" s="22"/>
    </row>
    <row r="108" spans="4:6" ht="15.75" customHeight="1">
      <c r="D108" s="4"/>
      <c r="E108" s="22"/>
      <c r="F108" s="22"/>
    </row>
    <row r="109" spans="4:6" ht="15.75" customHeight="1">
      <c r="D109" s="4"/>
      <c r="E109" s="22"/>
      <c r="F109" s="22"/>
    </row>
    <row r="110" spans="4:6" ht="15.75" customHeight="1">
      <c r="D110" s="4"/>
      <c r="E110" s="22"/>
      <c r="F110" s="22"/>
    </row>
    <row r="111" spans="4:6" ht="15.75" customHeight="1">
      <c r="D111" s="4"/>
      <c r="E111" s="22"/>
      <c r="F111" s="22"/>
    </row>
    <row r="112" spans="4:6" ht="15.75" customHeight="1">
      <c r="D112" s="4"/>
      <c r="E112" s="22"/>
      <c r="F112" s="22"/>
    </row>
    <row r="113" spans="4:6" ht="15.75" customHeight="1">
      <c r="D113" s="4"/>
      <c r="E113" s="22"/>
      <c r="F113" s="22"/>
    </row>
    <row r="114" spans="4:6" ht="15.75" customHeight="1">
      <c r="D114" s="4"/>
      <c r="E114" s="22"/>
      <c r="F114" s="22"/>
    </row>
    <row r="115" spans="4:6" ht="15.75" customHeight="1">
      <c r="D115" s="4"/>
      <c r="E115" s="22"/>
      <c r="F115" s="22"/>
    </row>
    <row r="116" spans="4:6" ht="15.75" customHeight="1">
      <c r="D116" s="4"/>
      <c r="E116" s="22"/>
      <c r="F116" s="22"/>
    </row>
    <row r="117" spans="4:6" ht="15.75" customHeight="1">
      <c r="D117" s="4"/>
      <c r="E117" s="22"/>
      <c r="F117" s="22"/>
    </row>
    <row r="118" spans="4:6" ht="15.75" customHeight="1">
      <c r="D118" s="4"/>
      <c r="E118" s="22"/>
      <c r="F118" s="22"/>
    </row>
    <row r="119" spans="4:6" ht="15.75" customHeight="1">
      <c r="D119" s="4"/>
      <c r="E119" s="22"/>
      <c r="F119" s="22"/>
    </row>
    <row r="120" spans="4:6" ht="15.75" customHeight="1">
      <c r="D120" s="4"/>
      <c r="E120" s="22"/>
      <c r="F120" s="22"/>
    </row>
    <row r="121" spans="4:6" ht="15.75" customHeight="1">
      <c r="D121" s="4"/>
      <c r="E121" s="22"/>
      <c r="F121" s="22"/>
    </row>
    <row r="122" spans="4:6" ht="15.75" customHeight="1">
      <c r="D122" s="4"/>
      <c r="E122" s="22"/>
      <c r="F122" s="22"/>
    </row>
    <row r="123" spans="4:6" ht="15.75" customHeight="1">
      <c r="D123" s="4"/>
      <c r="E123" s="22"/>
      <c r="F123" s="22"/>
    </row>
    <row r="124" spans="4:6" ht="15.75" customHeight="1">
      <c r="D124" s="4"/>
      <c r="E124" s="22"/>
      <c r="F124" s="22"/>
    </row>
    <row r="125" spans="4:6" ht="15.75" customHeight="1">
      <c r="D125" s="4"/>
      <c r="E125" s="22"/>
      <c r="F125" s="22"/>
    </row>
    <row r="126" spans="4:6" ht="15.75" customHeight="1">
      <c r="D126" s="4"/>
      <c r="E126" s="22"/>
      <c r="F126" s="22"/>
    </row>
    <row r="127" spans="4:6" ht="15.75" customHeight="1">
      <c r="D127" s="4"/>
      <c r="E127" s="22"/>
      <c r="F127" s="22"/>
    </row>
    <row r="128" spans="4:6" ht="15.75" customHeight="1">
      <c r="D128" s="4"/>
      <c r="E128" s="22"/>
      <c r="F128" s="22"/>
    </row>
    <row r="129" spans="4:6" ht="15.75" customHeight="1">
      <c r="D129" s="4"/>
      <c r="E129" s="22"/>
      <c r="F129" s="22"/>
    </row>
    <row r="130" spans="4:6" ht="15.75" customHeight="1">
      <c r="D130" s="4"/>
      <c r="E130" s="22"/>
      <c r="F130" s="22"/>
    </row>
    <row r="131" spans="4:6" ht="15.75" customHeight="1">
      <c r="D131" s="4"/>
      <c r="E131" s="22"/>
      <c r="F131" s="22"/>
    </row>
    <row r="132" spans="4:6" ht="15.75" customHeight="1">
      <c r="D132" s="4"/>
      <c r="E132" s="22"/>
      <c r="F132" s="22"/>
    </row>
    <row r="133" spans="4:6" ht="15.75" customHeight="1">
      <c r="D133" s="4"/>
      <c r="E133" s="22"/>
      <c r="F133" s="22"/>
    </row>
    <row r="134" spans="4:6" ht="15.75" customHeight="1">
      <c r="D134" s="4"/>
      <c r="E134" s="22"/>
      <c r="F134" s="22"/>
    </row>
    <row r="135" spans="4:6" ht="15.75" customHeight="1">
      <c r="D135" s="4"/>
      <c r="E135" s="22"/>
      <c r="F135" s="22"/>
    </row>
    <row r="136" spans="4:6" ht="15.75" customHeight="1">
      <c r="D136" s="4"/>
      <c r="E136" s="22"/>
      <c r="F136" s="22"/>
    </row>
    <row r="137" spans="4:6" ht="15.75" customHeight="1">
      <c r="D137" s="4"/>
      <c r="E137" s="22"/>
      <c r="F137" s="22"/>
    </row>
    <row r="138" spans="4:6" ht="15.75" customHeight="1">
      <c r="D138" s="4"/>
      <c r="E138" s="22"/>
      <c r="F138" s="22"/>
    </row>
    <row r="139" spans="4:6" ht="15.75" customHeight="1">
      <c r="D139" s="4"/>
      <c r="E139" s="22"/>
      <c r="F139" s="22"/>
    </row>
    <row r="140" spans="4:6" ht="15.75" customHeight="1">
      <c r="D140" s="4"/>
      <c r="E140" s="22"/>
      <c r="F140" s="22"/>
    </row>
    <row r="141" spans="4:6" ht="15.75" customHeight="1">
      <c r="D141" s="4"/>
      <c r="E141" s="22"/>
      <c r="F141" s="22"/>
    </row>
    <row r="142" spans="4:6" ht="15.75" customHeight="1">
      <c r="D142" s="4"/>
      <c r="E142" s="22"/>
      <c r="F142" s="22"/>
    </row>
    <row r="143" spans="4:6" ht="15.75" customHeight="1">
      <c r="D143" s="4"/>
      <c r="E143" s="22"/>
      <c r="F143" s="22"/>
    </row>
    <row r="144" spans="4:6" ht="15.75" customHeight="1">
      <c r="D144" s="4"/>
      <c r="E144" s="22"/>
      <c r="F144" s="22"/>
    </row>
    <row r="145" spans="4:6" ht="15.75" customHeight="1">
      <c r="D145" s="4"/>
      <c r="E145" s="22"/>
      <c r="F145" s="22"/>
    </row>
    <row r="146" spans="4:6" ht="15.75" customHeight="1">
      <c r="D146" s="4"/>
      <c r="E146" s="22"/>
      <c r="F146" s="22"/>
    </row>
    <row r="147" spans="4:6" ht="15.75" customHeight="1">
      <c r="D147" s="4"/>
      <c r="E147" s="22"/>
      <c r="F147" s="22"/>
    </row>
    <row r="148" spans="4:6" ht="15.75" customHeight="1">
      <c r="D148" s="4"/>
      <c r="E148" s="22"/>
      <c r="F148" s="22"/>
    </row>
    <row r="149" spans="4:6" ht="15.75" customHeight="1">
      <c r="D149" s="4"/>
      <c r="E149" s="22"/>
      <c r="F149" s="22"/>
    </row>
    <row r="150" spans="4:6" ht="15.75" customHeight="1">
      <c r="D150" s="4"/>
      <c r="E150" s="22"/>
      <c r="F150" s="22"/>
    </row>
    <row r="151" spans="4:6" ht="15.75" customHeight="1">
      <c r="D151" s="4"/>
      <c r="E151" s="22"/>
      <c r="F151" s="22"/>
    </row>
    <row r="152" spans="4:6" ht="15.75" customHeight="1">
      <c r="D152" s="4"/>
      <c r="E152" s="22"/>
      <c r="F152" s="22"/>
    </row>
    <row r="153" spans="4:6" ht="15.75" customHeight="1">
      <c r="D153" s="4"/>
      <c r="E153" s="22"/>
      <c r="F153" s="22"/>
    </row>
    <row r="154" spans="4:6" ht="15.75" customHeight="1">
      <c r="D154" s="4"/>
      <c r="E154" s="22"/>
      <c r="F154" s="22"/>
    </row>
    <row r="155" spans="4:6" ht="15.75" customHeight="1">
      <c r="D155" s="4"/>
      <c r="E155" s="22"/>
      <c r="F155" s="22"/>
    </row>
    <row r="156" spans="4:6" ht="15.75" customHeight="1">
      <c r="D156" s="4"/>
      <c r="E156" s="22"/>
      <c r="F156" s="22"/>
    </row>
    <row r="157" spans="4:6" ht="15.75" customHeight="1">
      <c r="D157" s="4"/>
      <c r="E157" s="22"/>
      <c r="F157" s="22"/>
    </row>
    <row r="158" spans="4:6" ht="15.75" customHeight="1">
      <c r="D158" s="4"/>
      <c r="E158" s="22"/>
      <c r="F158" s="22"/>
    </row>
    <row r="159" spans="4:6" ht="15.75" customHeight="1">
      <c r="D159" s="4"/>
      <c r="E159" s="22"/>
      <c r="F159" s="22"/>
    </row>
    <row r="160" spans="4:6" ht="15.75" customHeight="1">
      <c r="D160" s="4"/>
      <c r="E160" s="22"/>
      <c r="F160" s="22"/>
    </row>
    <row r="161" spans="4:6" ht="15.75" customHeight="1">
      <c r="D161" s="4"/>
      <c r="E161" s="22"/>
      <c r="F161" s="22"/>
    </row>
    <row r="162" spans="4:6" ht="15.75" customHeight="1">
      <c r="D162" s="4"/>
      <c r="E162" s="22"/>
      <c r="F162" s="22"/>
    </row>
    <row r="163" spans="4:6" ht="15.75" customHeight="1">
      <c r="D163" s="4"/>
      <c r="E163" s="22"/>
      <c r="F163" s="22"/>
    </row>
    <row r="164" spans="4:6" ht="15.75" customHeight="1">
      <c r="D164" s="4"/>
      <c r="E164" s="22"/>
      <c r="F164" s="22"/>
    </row>
    <row r="165" spans="4:6" ht="15.75" customHeight="1">
      <c r="D165" s="4"/>
      <c r="E165" s="22"/>
      <c r="F165" s="22"/>
    </row>
    <row r="166" spans="4:6" ht="15.75" customHeight="1">
      <c r="D166" s="4"/>
      <c r="E166" s="22"/>
      <c r="F166" s="22"/>
    </row>
    <row r="167" spans="4:6" ht="15.75" customHeight="1">
      <c r="D167" s="4"/>
      <c r="E167" s="22"/>
      <c r="F167" s="22"/>
    </row>
    <row r="168" spans="4:6" ht="15.75" customHeight="1">
      <c r="D168" s="4"/>
      <c r="E168" s="22"/>
      <c r="F168" s="22"/>
    </row>
    <row r="169" spans="4:6" ht="15.75" customHeight="1">
      <c r="D169" s="4"/>
      <c r="E169" s="22"/>
      <c r="F169" s="22"/>
    </row>
    <row r="170" spans="4:6" ht="15.75" customHeight="1">
      <c r="D170" s="4"/>
      <c r="E170" s="22"/>
      <c r="F170" s="22"/>
    </row>
    <row r="171" spans="4:6" ht="15.75" customHeight="1">
      <c r="D171" s="4"/>
      <c r="E171" s="22"/>
      <c r="F171" s="22"/>
    </row>
    <row r="172" spans="4:6" ht="15.75" customHeight="1">
      <c r="D172" s="4"/>
      <c r="E172" s="22"/>
      <c r="F172" s="22"/>
    </row>
    <row r="173" spans="4:6" ht="15.75" customHeight="1">
      <c r="D173" s="4"/>
      <c r="E173" s="22"/>
      <c r="F173" s="22"/>
    </row>
    <row r="174" spans="4:6" ht="15.75" customHeight="1">
      <c r="D174" s="4"/>
      <c r="E174" s="22"/>
      <c r="F174" s="22"/>
    </row>
    <row r="175" spans="4:6" ht="15.75" customHeight="1">
      <c r="D175" s="4"/>
      <c r="E175" s="22"/>
      <c r="F175" s="22"/>
    </row>
    <row r="176" spans="4:6" ht="15.75" customHeight="1">
      <c r="D176" s="4"/>
      <c r="E176" s="22"/>
      <c r="F176" s="22"/>
    </row>
    <row r="177" spans="4:6" ht="15.75" customHeight="1">
      <c r="D177" s="4"/>
      <c r="E177" s="22"/>
      <c r="F177" s="22"/>
    </row>
    <row r="178" spans="4:6" ht="15.75" customHeight="1">
      <c r="D178" s="4"/>
      <c r="E178" s="22"/>
      <c r="F178" s="22"/>
    </row>
    <row r="179" spans="4:6" ht="15.75" customHeight="1">
      <c r="D179" s="4"/>
      <c r="E179" s="22"/>
      <c r="F179" s="22"/>
    </row>
    <row r="180" spans="4:6" ht="15.75" customHeight="1">
      <c r="D180" s="4"/>
      <c r="E180" s="22"/>
      <c r="F180" s="22"/>
    </row>
    <row r="181" spans="4:6" ht="15.75" customHeight="1">
      <c r="D181" s="4"/>
      <c r="E181" s="22"/>
      <c r="F181" s="22"/>
    </row>
    <row r="182" spans="4:6" ht="15.75" customHeight="1">
      <c r="D182" s="4"/>
      <c r="E182" s="22"/>
      <c r="F182" s="22"/>
    </row>
    <row r="183" spans="4:6" ht="15.75" customHeight="1">
      <c r="D183" s="4"/>
      <c r="E183" s="22"/>
      <c r="F183" s="22"/>
    </row>
    <row r="184" spans="4:6" ht="15.75" customHeight="1">
      <c r="D184" s="4"/>
      <c r="E184" s="22"/>
      <c r="F184" s="22"/>
    </row>
    <row r="185" spans="4:6" ht="15.75" customHeight="1">
      <c r="D185" s="4"/>
      <c r="E185" s="22"/>
      <c r="F185" s="22"/>
    </row>
    <row r="186" spans="4:6" ht="15.75" customHeight="1">
      <c r="D186" s="4"/>
      <c r="E186" s="22"/>
      <c r="F186" s="22"/>
    </row>
    <row r="187" spans="4:6" ht="15.75" customHeight="1">
      <c r="D187" s="4"/>
      <c r="E187" s="22"/>
      <c r="F187" s="22"/>
    </row>
    <row r="188" spans="4:6" ht="15.75" customHeight="1">
      <c r="D188" s="4"/>
      <c r="E188" s="22"/>
      <c r="F188" s="22"/>
    </row>
    <row r="189" spans="4:6" ht="15.75" customHeight="1">
      <c r="D189" s="4"/>
      <c r="E189" s="22"/>
      <c r="F189" s="22"/>
    </row>
    <row r="190" spans="4:6" ht="15.75" customHeight="1">
      <c r="D190" s="4"/>
      <c r="E190" s="22"/>
      <c r="F190" s="22"/>
    </row>
    <row r="191" spans="4:6" ht="15.75" customHeight="1">
      <c r="D191" s="4"/>
      <c r="E191" s="22"/>
      <c r="F191" s="22"/>
    </row>
    <row r="192" spans="4:6" ht="15.75" customHeight="1">
      <c r="D192" s="4"/>
      <c r="E192" s="22"/>
      <c r="F192" s="22"/>
    </row>
    <row r="193" spans="4:6" ht="15.75" customHeight="1">
      <c r="D193" s="4"/>
      <c r="E193" s="22"/>
      <c r="F193" s="22"/>
    </row>
    <row r="194" spans="4:6" ht="15.75" customHeight="1">
      <c r="D194" s="4"/>
      <c r="E194" s="22"/>
      <c r="F194" s="22"/>
    </row>
    <row r="195" spans="4:6" ht="15.75" customHeight="1">
      <c r="D195" s="4"/>
      <c r="E195" s="22"/>
      <c r="F195" s="22"/>
    </row>
    <row r="196" spans="4:6" ht="15.75" customHeight="1">
      <c r="D196" s="4"/>
      <c r="E196" s="22"/>
      <c r="F196" s="22"/>
    </row>
    <row r="197" spans="4:6" ht="15.75" customHeight="1">
      <c r="D197" s="4"/>
      <c r="E197" s="22"/>
      <c r="F197" s="22"/>
    </row>
    <row r="198" spans="4:6" ht="15.75" customHeight="1">
      <c r="D198" s="4"/>
      <c r="E198" s="22"/>
      <c r="F198" s="22"/>
    </row>
    <row r="199" spans="4:6" ht="15.75" customHeight="1">
      <c r="D199" s="4"/>
      <c r="E199" s="22"/>
      <c r="F199" s="22"/>
    </row>
    <row r="200" spans="4:6" ht="15.75" customHeight="1">
      <c r="D200" s="4"/>
      <c r="E200" s="22"/>
      <c r="F200" s="22"/>
    </row>
    <row r="201" spans="4:6" ht="15.75" customHeight="1">
      <c r="D201" s="4"/>
      <c r="E201" s="22"/>
      <c r="F201" s="22"/>
    </row>
    <row r="202" spans="4:6" ht="15.75" customHeight="1">
      <c r="D202" s="4"/>
      <c r="E202" s="22"/>
      <c r="F202" s="22"/>
    </row>
    <row r="203" spans="4:6" ht="15.75" customHeight="1">
      <c r="D203" s="4"/>
      <c r="E203" s="22"/>
      <c r="F203" s="22"/>
    </row>
    <row r="204" spans="4:6" ht="15.75" customHeight="1">
      <c r="D204" s="4"/>
      <c r="E204" s="22"/>
      <c r="F204" s="22"/>
    </row>
    <row r="205" spans="4:6" ht="15.75" customHeight="1">
      <c r="D205" s="4"/>
      <c r="E205" s="22"/>
      <c r="F205" s="22"/>
    </row>
    <row r="206" spans="4:6" ht="15.75" customHeight="1">
      <c r="D206" s="4"/>
      <c r="E206" s="22"/>
      <c r="F206" s="22"/>
    </row>
    <row r="207" spans="4:6" ht="15.75" customHeight="1">
      <c r="D207" s="4"/>
      <c r="E207" s="22"/>
      <c r="F207" s="22"/>
    </row>
    <row r="208" spans="4:6" ht="15.75" customHeight="1">
      <c r="D208" s="4"/>
      <c r="E208" s="22"/>
      <c r="F208" s="22"/>
    </row>
    <row r="209" spans="4:6" ht="15.75" customHeight="1">
      <c r="D209" s="4"/>
      <c r="E209" s="22"/>
      <c r="F209" s="22"/>
    </row>
    <row r="210" spans="4:6" ht="15.75" customHeight="1">
      <c r="D210" s="4"/>
      <c r="E210" s="22"/>
      <c r="F210" s="22"/>
    </row>
    <row r="211" spans="4:6" ht="15.75" customHeight="1">
      <c r="D211" s="4"/>
      <c r="E211" s="22"/>
      <c r="F211" s="22"/>
    </row>
    <row r="212" spans="4:6" ht="15.75" customHeight="1">
      <c r="D212" s="4"/>
      <c r="E212" s="22"/>
      <c r="F212" s="22"/>
    </row>
    <row r="213" spans="4:6" ht="15.75" customHeight="1">
      <c r="D213" s="4"/>
      <c r="E213" s="22"/>
      <c r="F213" s="22"/>
    </row>
    <row r="214" spans="4:6" ht="15.75" customHeight="1">
      <c r="D214" s="4"/>
      <c r="E214" s="22"/>
      <c r="F214" s="22"/>
    </row>
    <row r="215" spans="4:6" ht="15.75" customHeight="1">
      <c r="D215" s="4"/>
      <c r="E215" s="22"/>
      <c r="F215" s="22"/>
    </row>
    <row r="216" spans="4:6" ht="15.75" customHeight="1">
      <c r="D216" s="4"/>
      <c r="E216" s="22"/>
      <c r="F216" s="22"/>
    </row>
    <row r="217" spans="4:6" ht="15.75" customHeight="1">
      <c r="D217" s="4"/>
      <c r="E217" s="22"/>
      <c r="F217" s="22"/>
    </row>
    <row r="218" spans="4:6" ht="15.75" customHeight="1">
      <c r="D218" s="4"/>
      <c r="E218" s="22"/>
      <c r="F218" s="22"/>
    </row>
    <row r="219" spans="4:6" ht="15.75" customHeight="1">
      <c r="D219" s="4"/>
      <c r="E219" s="22"/>
      <c r="F219" s="22"/>
    </row>
    <row r="220" spans="4:6" ht="15.75" customHeight="1">
      <c r="D220" s="4"/>
      <c r="E220" s="22"/>
      <c r="F220" s="22"/>
    </row>
    <row r="221" spans="4:6" ht="15.75" customHeight="1">
      <c r="D221" s="4"/>
      <c r="E221" s="22"/>
      <c r="F221" s="22"/>
    </row>
    <row r="222" spans="4:6" ht="15.75" customHeight="1">
      <c r="D222" s="4"/>
      <c r="E222" s="22"/>
      <c r="F222" s="22"/>
    </row>
    <row r="223" spans="4:6" ht="15.75" customHeight="1">
      <c r="D223" s="4"/>
      <c r="E223" s="22"/>
      <c r="F223" s="22"/>
    </row>
    <row r="224" spans="4:6" ht="15.75" customHeight="1">
      <c r="D224" s="4"/>
      <c r="E224" s="22"/>
      <c r="F224" s="22"/>
    </row>
    <row r="225" spans="4:6" ht="15.75" customHeight="1">
      <c r="D225" s="4"/>
      <c r="E225" s="22"/>
      <c r="F225" s="22"/>
    </row>
    <row r="226" spans="4:6" ht="15.75" customHeight="1">
      <c r="D226" s="4"/>
      <c r="E226" s="22"/>
      <c r="F226" s="22"/>
    </row>
    <row r="227" spans="4:6" ht="15.75" customHeight="1">
      <c r="D227" s="4"/>
      <c r="E227" s="22"/>
      <c r="F227" s="22"/>
    </row>
    <row r="228" spans="4:6" ht="15.75" customHeight="1">
      <c r="D228" s="4"/>
      <c r="E228" s="22"/>
      <c r="F228" s="22"/>
    </row>
    <row r="229" spans="4:6" ht="15.75" customHeight="1">
      <c r="D229" s="4"/>
      <c r="E229" s="22"/>
      <c r="F229" s="22"/>
    </row>
    <row r="230" spans="4:6" ht="15.75" customHeight="1">
      <c r="D230" s="4"/>
      <c r="E230" s="22"/>
      <c r="F230" s="22"/>
    </row>
    <row r="231" spans="4:6" ht="15.75" customHeight="1">
      <c r="D231" s="4"/>
      <c r="E231" s="22"/>
      <c r="F231" s="22"/>
    </row>
    <row r="232" spans="4:6" ht="15.75" customHeight="1">
      <c r="D232" s="4"/>
      <c r="E232" s="22"/>
      <c r="F232" s="22"/>
    </row>
    <row r="233" spans="4:6" ht="15.75" customHeight="1">
      <c r="D233" s="4"/>
      <c r="E233" s="22"/>
      <c r="F233" s="22"/>
    </row>
    <row r="234" spans="4:6" ht="15.75" customHeight="1">
      <c r="D234" s="4"/>
      <c r="E234" s="22"/>
      <c r="F234" s="22"/>
    </row>
    <row r="235" spans="4:6" ht="15.75" customHeight="1">
      <c r="D235" s="4"/>
      <c r="E235" s="22"/>
      <c r="F235" s="22"/>
    </row>
    <row r="236" spans="4:6" ht="15.75" customHeight="1">
      <c r="D236" s="4"/>
      <c r="E236" s="22"/>
      <c r="F236" s="22"/>
    </row>
    <row r="237" spans="4:6" ht="15.75" customHeight="1">
      <c r="D237" s="4"/>
      <c r="E237" s="22"/>
      <c r="F237" s="22"/>
    </row>
    <row r="238" spans="4:6" ht="15.75" customHeight="1">
      <c r="D238" s="4"/>
      <c r="E238" s="22"/>
      <c r="F238" s="22"/>
    </row>
    <row r="239" spans="4:6" ht="15.75" customHeight="1">
      <c r="D239" s="4"/>
      <c r="E239" s="22"/>
      <c r="F239" s="22"/>
    </row>
    <row r="240" spans="4:6" ht="15.75" customHeight="1">
      <c r="D240" s="4"/>
      <c r="E240" s="22"/>
      <c r="F240" s="22"/>
    </row>
    <row r="241" spans="4:6" ht="15.75" customHeight="1">
      <c r="D241" s="4"/>
      <c r="E241" s="22"/>
      <c r="F241" s="22"/>
    </row>
    <row r="242" spans="4:6" ht="15.75" customHeight="1">
      <c r="D242" s="4"/>
      <c r="E242" s="22"/>
      <c r="F242" s="22"/>
    </row>
    <row r="243" spans="4:6" ht="15.75" customHeight="1">
      <c r="D243" s="4"/>
      <c r="E243" s="22"/>
      <c r="F243" s="22"/>
    </row>
    <row r="244" spans="4:6" ht="15.75" customHeight="1">
      <c r="D244" s="4"/>
      <c r="E244" s="22"/>
      <c r="F244" s="22"/>
    </row>
    <row r="245" spans="4:6" ht="15.75" customHeight="1">
      <c r="D245" s="4"/>
      <c r="E245" s="22"/>
      <c r="F245" s="22"/>
    </row>
    <row r="246" spans="4:6" ht="15.75" customHeight="1">
      <c r="D246" s="4"/>
      <c r="E246" s="22"/>
      <c r="F246" s="22"/>
    </row>
    <row r="247" spans="4:6" ht="15.75" customHeight="1">
      <c r="D247" s="4"/>
      <c r="E247" s="22"/>
      <c r="F247" s="22"/>
    </row>
    <row r="248" spans="4:6" ht="15.75" customHeight="1">
      <c r="D248" s="4"/>
      <c r="E248" s="22"/>
      <c r="F248" s="22"/>
    </row>
    <row r="249" spans="4:6" ht="15.75" customHeight="1">
      <c r="D249" s="4"/>
      <c r="E249" s="22"/>
      <c r="F249" s="22"/>
    </row>
    <row r="250" spans="4:6" ht="15.75" customHeight="1">
      <c r="D250" s="4"/>
      <c r="E250" s="22"/>
      <c r="F250" s="22"/>
    </row>
    <row r="251" spans="4:6" ht="15.75" customHeight="1">
      <c r="D251" s="4"/>
      <c r="E251" s="22"/>
      <c r="F251" s="22"/>
    </row>
    <row r="252" spans="4:6" ht="15.75" customHeight="1">
      <c r="D252" s="4"/>
      <c r="E252" s="22"/>
      <c r="F252" s="22"/>
    </row>
    <row r="253" spans="4:6" ht="15.75" customHeight="1">
      <c r="D253" s="4"/>
      <c r="E253" s="22"/>
      <c r="F253" s="22"/>
    </row>
    <row r="254" spans="4:6" ht="15.75" customHeight="1">
      <c r="D254" s="4"/>
      <c r="E254" s="22"/>
      <c r="F254" s="22"/>
    </row>
    <row r="255" spans="4:6" ht="15.75" customHeight="1">
      <c r="D255" s="4"/>
      <c r="E255" s="22"/>
      <c r="F255" s="22"/>
    </row>
    <row r="256" spans="4:6" ht="15.75" customHeight="1">
      <c r="D256" s="4"/>
      <c r="E256" s="22"/>
      <c r="F256" s="22"/>
    </row>
    <row r="257" spans="4:6" ht="15.75" customHeight="1">
      <c r="D257" s="4"/>
      <c r="E257" s="22"/>
      <c r="F257" s="22"/>
    </row>
    <row r="258" spans="4:6" ht="15.75" customHeight="1">
      <c r="D258" s="4"/>
      <c r="E258" s="22"/>
      <c r="F258" s="22"/>
    </row>
    <row r="259" spans="4:6" ht="15.75" customHeight="1">
      <c r="D259" s="4"/>
      <c r="E259" s="22"/>
      <c r="F259" s="22"/>
    </row>
    <row r="260" spans="4:6" ht="15.75" customHeight="1">
      <c r="D260" s="4"/>
      <c r="E260" s="22"/>
      <c r="F260" s="22"/>
    </row>
    <row r="261" spans="4:6" ht="15.75" customHeight="1">
      <c r="D261" s="4"/>
      <c r="E261" s="22"/>
      <c r="F261" s="22"/>
    </row>
    <row r="262" spans="4:6" ht="15.75" customHeight="1">
      <c r="D262" s="4"/>
      <c r="E262" s="22"/>
      <c r="F262" s="22"/>
    </row>
    <row r="263" spans="4:6" ht="15.75" customHeight="1">
      <c r="D263" s="4"/>
      <c r="E263" s="22"/>
      <c r="F263" s="22"/>
    </row>
    <row r="264" spans="4:6" ht="15.75" customHeight="1">
      <c r="D264" s="4"/>
      <c r="E264" s="22"/>
      <c r="F264" s="22"/>
    </row>
    <row r="265" spans="4:6" ht="15.75" customHeight="1">
      <c r="D265" s="4"/>
      <c r="E265" s="22"/>
      <c r="F265" s="22"/>
    </row>
    <row r="266" spans="4:6" ht="15.75" customHeight="1">
      <c r="D266" s="4"/>
      <c r="E266" s="22"/>
      <c r="F266" s="22"/>
    </row>
    <row r="267" spans="4:6" ht="15.75" customHeight="1">
      <c r="D267" s="4"/>
      <c r="E267" s="22"/>
      <c r="F267" s="22"/>
    </row>
    <row r="268" spans="4:6" ht="15.75" customHeight="1">
      <c r="D268" s="4"/>
      <c r="E268" s="22"/>
      <c r="F268" s="22"/>
    </row>
    <row r="269" spans="4:6" ht="15.75" customHeight="1">
      <c r="D269" s="4"/>
      <c r="E269" s="22"/>
      <c r="F269" s="22"/>
    </row>
    <row r="270" spans="4:6" ht="15.75" customHeight="1">
      <c r="D270" s="4"/>
      <c r="E270" s="22"/>
      <c r="F270" s="22"/>
    </row>
    <row r="271" spans="4:6" ht="15.75" customHeight="1">
      <c r="D271" s="4"/>
      <c r="E271" s="22"/>
      <c r="F271" s="22"/>
    </row>
    <row r="272" spans="4:6" ht="15.75" customHeight="1">
      <c r="D272" s="4"/>
      <c r="E272" s="22"/>
      <c r="F272" s="22"/>
    </row>
    <row r="273" spans="4:6" ht="15.75" customHeight="1">
      <c r="D273" s="4"/>
      <c r="E273" s="22"/>
      <c r="F273" s="22"/>
    </row>
    <row r="274" spans="4:6" ht="15.75" customHeight="1">
      <c r="D274" s="4"/>
      <c r="E274" s="22"/>
      <c r="F274" s="22"/>
    </row>
    <row r="275" spans="4:6" ht="15.75" customHeight="1">
      <c r="D275" s="4"/>
      <c r="E275" s="22"/>
      <c r="F275" s="22"/>
    </row>
    <row r="276" spans="4:6" ht="15.75" customHeight="1">
      <c r="D276" s="4"/>
      <c r="E276" s="22"/>
      <c r="F276" s="22"/>
    </row>
    <row r="277" spans="4:6" ht="15.75" customHeight="1">
      <c r="D277" s="4"/>
      <c r="E277" s="22"/>
      <c r="F277" s="22"/>
    </row>
    <row r="278" spans="4:6" ht="15.75" customHeight="1">
      <c r="D278" s="4"/>
      <c r="E278" s="22"/>
      <c r="F278" s="22"/>
    </row>
    <row r="279" spans="4:6" ht="15.75" customHeight="1">
      <c r="D279" s="4"/>
      <c r="E279" s="22"/>
      <c r="F279" s="22"/>
    </row>
    <row r="280" spans="4:6" ht="15.75" customHeight="1">
      <c r="D280" s="4"/>
      <c r="E280" s="22"/>
      <c r="F280" s="22"/>
    </row>
    <row r="281" spans="4:6" ht="15.75" customHeight="1">
      <c r="D281" s="4"/>
      <c r="E281" s="22"/>
      <c r="F281" s="22"/>
    </row>
    <row r="282" spans="4:6" ht="15.75" customHeight="1">
      <c r="D282" s="4"/>
      <c r="E282" s="22"/>
      <c r="F282" s="22"/>
    </row>
    <row r="283" spans="4:6" ht="15.75" customHeight="1">
      <c r="D283" s="4"/>
      <c r="E283" s="22"/>
      <c r="F283" s="22"/>
    </row>
    <row r="284" spans="4:6" ht="15.75" customHeight="1">
      <c r="D284" s="4"/>
      <c r="E284" s="22"/>
      <c r="F284" s="22"/>
    </row>
    <row r="285" spans="4:6" ht="15.75" customHeight="1">
      <c r="D285" s="4"/>
      <c r="E285" s="22"/>
      <c r="F285" s="22"/>
    </row>
    <row r="286" spans="4:6" ht="15.75" customHeight="1">
      <c r="D286" s="4"/>
      <c r="E286" s="22"/>
      <c r="F286" s="22"/>
    </row>
    <row r="287" spans="4:6" ht="15.75" customHeight="1">
      <c r="D287" s="4"/>
      <c r="E287" s="22"/>
      <c r="F287" s="22"/>
    </row>
    <row r="288" spans="4:6" ht="15.75" customHeight="1">
      <c r="D288" s="4"/>
      <c r="E288" s="22"/>
      <c r="F288" s="22"/>
    </row>
    <row r="289" spans="4:6" ht="15.75" customHeight="1">
      <c r="D289" s="4"/>
      <c r="E289" s="22"/>
      <c r="F289" s="22"/>
    </row>
    <row r="290" spans="4:6" ht="15.75" customHeight="1">
      <c r="D290" s="4"/>
      <c r="E290" s="22"/>
      <c r="F290" s="22"/>
    </row>
    <row r="291" spans="4:6" ht="15.75" customHeight="1">
      <c r="D291" s="4"/>
      <c r="E291" s="22"/>
      <c r="F291" s="22"/>
    </row>
    <row r="292" spans="4:6" ht="15.75" customHeight="1">
      <c r="D292" s="4"/>
      <c r="E292" s="22"/>
      <c r="F292" s="22"/>
    </row>
    <row r="293" spans="4:6" ht="15.75" customHeight="1">
      <c r="D293" s="4"/>
      <c r="E293" s="22"/>
      <c r="F293" s="22"/>
    </row>
    <row r="294" spans="4:6" ht="15.75" customHeight="1">
      <c r="D294" s="4"/>
      <c r="E294" s="22"/>
      <c r="F294" s="22"/>
    </row>
    <row r="295" spans="4:6" ht="15.75" customHeight="1">
      <c r="D295" s="4"/>
      <c r="E295" s="22"/>
      <c r="F295" s="22"/>
    </row>
    <row r="296" spans="4:6" ht="15.75" customHeight="1">
      <c r="D296" s="4"/>
      <c r="E296" s="22"/>
      <c r="F296" s="22"/>
    </row>
    <row r="297" spans="4:6" ht="15.75" customHeight="1">
      <c r="D297" s="4"/>
      <c r="E297" s="22"/>
      <c r="F297" s="22"/>
    </row>
    <row r="298" spans="4:6" ht="15.75" customHeight="1">
      <c r="D298" s="4"/>
      <c r="E298" s="22"/>
      <c r="F298" s="22"/>
    </row>
    <row r="299" spans="4:6" ht="15.75" customHeight="1">
      <c r="D299" s="4"/>
      <c r="E299" s="22"/>
      <c r="F299" s="22"/>
    </row>
    <row r="300" spans="4:6" ht="15.75" customHeight="1">
      <c r="D300" s="4"/>
      <c r="E300" s="22"/>
      <c r="F300" s="22"/>
    </row>
    <row r="301" spans="4:6" ht="15.75" customHeight="1">
      <c r="D301" s="4"/>
      <c r="E301" s="22"/>
      <c r="F301" s="22"/>
    </row>
    <row r="302" spans="4:6" ht="15.75" customHeight="1">
      <c r="D302" s="4"/>
      <c r="E302" s="22"/>
      <c r="F302" s="22"/>
    </row>
    <row r="303" spans="4:6" ht="15.75" customHeight="1">
      <c r="D303" s="4"/>
      <c r="E303" s="22"/>
      <c r="F303" s="22"/>
    </row>
    <row r="304" spans="4:6" ht="15.75" customHeight="1">
      <c r="D304" s="4"/>
      <c r="E304" s="22"/>
      <c r="F304" s="22"/>
    </row>
    <row r="305" spans="4:6" ht="15.75" customHeight="1">
      <c r="D305" s="4"/>
      <c r="E305" s="22"/>
      <c r="F305" s="22"/>
    </row>
    <row r="306" spans="4:6" ht="15.75" customHeight="1">
      <c r="D306" s="4"/>
      <c r="E306" s="22"/>
      <c r="F306" s="22"/>
    </row>
    <row r="307" spans="4:6" ht="15.75" customHeight="1">
      <c r="D307" s="4"/>
      <c r="E307" s="22"/>
      <c r="F307" s="22"/>
    </row>
    <row r="308" spans="4:6" ht="15.75" customHeight="1">
      <c r="D308" s="4"/>
      <c r="E308" s="22"/>
      <c r="F308" s="22"/>
    </row>
    <row r="309" spans="4:6" ht="15.75" customHeight="1">
      <c r="D309" s="4"/>
      <c r="E309" s="22"/>
      <c r="F309" s="22"/>
    </row>
    <row r="310" spans="4:6" ht="15.75" customHeight="1">
      <c r="D310" s="4"/>
      <c r="E310" s="22"/>
      <c r="F310" s="22"/>
    </row>
    <row r="311" spans="4:6" ht="15.75" customHeight="1">
      <c r="D311" s="4"/>
      <c r="E311" s="22"/>
      <c r="F311" s="22"/>
    </row>
    <row r="312" spans="4:6" ht="15.75" customHeight="1">
      <c r="D312" s="4"/>
      <c r="E312" s="22"/>
      <c r="F312" s="22"/>
    </row>
    <row r="313" spans="4:6" ht="15.75" customHeight="1">
      <c r="D313" s="4"/>
      <c r="E313" s="22"/>
      <c r="F313" s="22"/>
    </row>
    <row r="314" spans="4:6" ht="15.75" customHeight="1">
      <c r="D314" s="4"/>
      <c r="E314" s="22"/>
      <c r="F314" s="22"/>
    </row>
    <row r="315" spans="4:6" ht="15.75" customHeight="1">
      <c r="D315" s="4"/>
      <c r="E315" s="22"/>
      <c r="F315" s="22"/>
    </row>
    <row r="316" spans="4:6" ht="15.75" customHeight="1">
      <c r="D316" s="4"/>
      <c r="E316" s="22"/>
      <c r="F316" s="22"/>
    </row>
    <row r="317" spans="4:6" ht="15.75" customHeight="1">
      <c r="D317" s="4"/>
      <c r="E317" s="22"/>
      <c r="F317" s="22"/>
    </row>
    <row r="318" spans="4:6" ht="15.75" customHeight="1">
      <c r="D318" s="4"/>
      <c r="E318" s="22"/>
      <c r="F318" s="22"/>
    </row>
    <row r="319" spans="4:6" ht="15.75" customHeight="1">
      <c r="D319" s="4"/>
      <c r="E319" s="22"/>
      <c r="F319" s="22"/>
    </row>
    <row r="320" spans="4:6" ht="15.75" customHeight="1">
      <c r="D320" s="4"/>
      <c r="E320" s="22"/>
      <c r="F320" s="22"/>
    </row>
    <row r="321" spans="4:6" ht="15.75" customHeight="1">
      <c r="D321" s="4"/>
      <c r="E321" s="22"/>
      <c r="F321" s="22"/>
    </row>
    <row r="322" spans="4:6" ht="15.75" customHeight="1">
      <c r="D322" s="4"/>
      <c r="E322" s="22"/>
      <c r="F322" s="22"/>
    </row>
    <row r="323" spans="4:6" ht="15.75" customHeight="1">
      <c r="D323" s="4"/>
      <c r="E323" s="22"/>
      <c r="F323" s="22"/>
    </row>
    <row r="324" spans="4:6" ht="15.75" customHeight="1">
      <c r="D324" s="4"/>
      <c r="E324" s="22"/>
      <c r="F324" s="22"/>
    </row>
    <row r="325" spans="4:6" ht="15.75" customHeight="1">
      <c r="D325" s="4"/>
      <c r="E325" s="22"/>
      <c r="F325" s="22"/>
    </row>
    <row r="326" spans="4:6" ht="15.75" customHeight="1">
      <c r="D326" s="4"/>
      <c r="E326" s="22"/>
      <c r="F326" s="22"/>
    </row>
    <row r="327" spans="4:6" ht="15.75" customHeight="1">
      <c r="D327" s="4"/>
      <c r="E327" s="22"/>
      <c r="F327" s="22"/>
    </row>
    <row r="328" spans="4:6" ht="15.75" customHeight="1">
      <c r="D328" s="4"/>
      <c r="E328" s="22"/>
      <c r="F328" s="22"/>
    </row>
    <row r="329" spans="4:6" ht="15.75" customHeight="1">
      <c r="D329" s="4"/>
      <c r="E329" s="22"/>
      <c r="F329" s="22"/>
    </row>
    <row r="330" spans="4:6" ht="15.75" customHeight="1">
      <c r="D330" s="4"/>
      <c r="E330" s="22"/>
      <c r="F330" s="22"/>
    </row>
    <row r="331" spans="4:6" ht="15.75" customHeight="1">
      <c r="D331" s="4"/>
      <c r="E331" s="22"/>
      <c r="F331" s="22"/>
    </row>
    <row r="332" spans="4:6" ht="15.75" customHeight="1">
      <c r="D332" s="4"/>
      <c r="E332" s="22"/>
      <c r="F332" s="22"/>
    </row>
    <row r="333" spans="4:6" ht="15.75" customHeight="1">
      <c r="D333" s="4"/>
      <c r="E333" s="22"/>
      <c r="F333" s="22"/>
    </row>
    <row r="334" spans="4:6" ht="15.75" customHeight="1">
      <c r="D334" s="4"/>
      <c r="E334" s="22"/>
      <c r="F334" s="22"/>
    </row>
    <row r="335" spans="4:6" ht="15.75" customHeight="1">
      <c r="D335" s="4"/>
      <c r="E335" s="22"/>
      <c r="F335" s="22"/>
    </row>
    <row r="336" spans="4:6" ht="15.75" customHeight="1">
      <c r="D336" s="4"/>
      <c r="E336" s="22"/>
      <c r="F336" s="22"/>
    </row>
    <row r="337" spans="4:6" ht="15.75" customHeight="1">
      <c r="D337" s="4"/>
      <c r="E337" s="22"/>
      <c r="F337" s="22"/>
    </row>
    <row r="338" spans="4:6" ht="15.75" customHeight="1">
      <c r="D338" s="4"/>
      <c r="E338" s="22"/>
      <c r="F338" s="22"/>
    </row>
    <row r="339" spans="4:6" ht="15.75" customHeight="1">
      <c r="D339" s="4"/>
      <c r="E339" s="22"/>
      <c r="F339" s="22"/>
    </row>
    <row r="340" spans="4:6" ht="15.75" customHeight="1">
      <c r="D340" s="4"/>
      <c r="E340" s="22"/>
      <c r="F340" s="22"/>
    </row>
    <row r="341" spans="4:6" ht="15.75" customHeight="1">
      <c r="D341" s="4"/>
      <c r="E341" s="22"/>
      <c r="F341" s="22"/>
    </row>
    <row r="342" spans="4:6" ht="15.75" customHeight="1">
      <c r="D342" s="4"/>
      <c r="E342" s="22"/>
      <c r="F342" s="22"/>
    </row>
    <row r="343" spans="4:6" ht="15.75" customHeight="1">
      <c r="D343" s="4"/>
      <c r="E343" s="22"/>
      <c r="F343" s="22"/>
    </row>
    <row r="344" spans="4:6" ht="15.75" customHeight="1">
      <c r="D344" s="4"/>
      <c r="E344" s="22"/>
      <c r="F344" s="22"/>
    </row>
    <row r="345" spans="4:6" ht="15.75" customHeight="1">
      <c r="D345" s="4"/>
      <c r="E345" s="22"/>
      <c r="F345" s="22"/>
    </row>
    <row r="346" spans="4:6" ht="15.75" customHeight="1">
      <c r="D346" s="4"/>
      <c r="E346" s="22"/>
      <c r="F346" s="22"/>
    </row>
    <row r="347" spans="4:6" ht="15.75" customHeight="1">
      <c r="D347" s="4"/>
      <c r="E347" s="22"/>
      <c r="F347" s="22"/>
    </row>
    <row r="348" spans="4:6" ht="15.75" customHeight="1">
      <c r="D348" s="4"/>
      <c r="E348" s="22"/>
      <c r="F348" s="22"/>
    </row>
    <row r="349" spans="4:6" ht="15.75" customHeight="1">
      <c r="D349" s="4"/>
      <c r="E349" s="22"/>
      <c r="F349" s="22"/>
    </row>
    <row r="350" spans="4:6" ht="15.75" customHeight="1">
      <c r="D350" s="4"/>
      <c r="E350" s="22"/>
      <c r="F350" s="22"/>
    </row>
    <row r="351" spans="4:6" ht="15.75" customHeight="1">
      <c r="D351" s="4"/>
      <c r="E351" s="22"/>
      <c r="F351" s="22"/>
    </row>
    <row r="352" spans="4:6" ht="15.75" customHeight="1">
      <c r="D352" s="4"/>
      <c r="E352" s="22"/>
      <c r="F352" s="22"/>
    </row>
    <row r="353" spans="4:6" ht="15.75" customHeight="1">
      <c r="D353" s="4"/>
      <c r="E353" s="22"/>
      <c r="F353" s="22"/>
    </row>
    <row r="354" spans="4:6" ht="15.75" customHeight="1">
      <c r="D354" s="4"/>
      <c r="E354" s="22"/>
      <c r="F354" s="22"/>
    </row>
    <row r="355" spans="4:6" ht="15.75" customHeight="1">
      <c r="D355" s="4"/>
      <c r="E355" s="22"/>
      <c r="F355" s="22"/>
    </row>
    <row r="356" spans="4:6" ht="15.75" customHeight="1">
      <c r="D356" s="4"/>
      <c r="E356" s="22"/>
      <c r="F356" s="22"/>
    </row>
    <row r="357" spans="4:6" ht="15.75" customHeight="1">
      <c r="D357" s="4"/>
      <c r="E357" s="22"/>
      <c r="F357" s="22"/>
    </row>
    <row r="358" spans="4:6" ht="15.75" customHeight="1">
      <c r="D358" s="4"/>
      <c r="E358" s="22"/>
      <c r="F358" s="22"/>
    </row>
    <row r="359" spans="4:6" ht="15.75" customHeight="1">
      <c r="D359" s="4"/>
      <c r="E359" s="22"/>
      <c r="F359" s="22"/>
    </row>
    <row r="360" spans="4:6" ht="15.75" customHeight="1">
      <c r="D360" s="4"/>
      <c r="E360" s="22"/>
      <c r="F360" s="22"/>
    </row>
    <row r="361" spans="4:6" ht="15.75" customHeight="1">
      <c r="D361" s="4"/>
      <c r="E361" s="22"/>
      <c r="F361" s="22"/>
    </row>
    <row r="362" spans="4:6" ht="15.75" customHeight="1">
      <c r="D362" s="4"/>
      <c r="E362" s="22"/>
      <c r="F362" s="22"/>
    </row>
    <row r="363" spans="4:6" ht="15.75" customHeight="1">
      <c r="D363" s="4"/>
      <c r="E363" s="22"/>
      <c r="F363" s="22"/>
    </row>
    <row r="364" spans="4:6" ht="15.75" customHeight="1">
      <c r="D364" s="4"/>
      <c r="E364" s="22"/>
      <c r="F364" s="22"/>
    </row>
    <row r="365" spans="4:6" ht="15.75" customHeight="1">
      <c r="D365" s="4"/>
      <c r="E365" s="22"/>
      <c r="F365" s="22"/>
    </row>
    <row r="366" spans="4:6" ht="15.75" customHeight="1">
      <c r="D366" s="4"/>
      <c r="E366" s="22"/>
      <c r="F366" s="22"/>
    </row>
    <row r="367" spans="4:6" ht="15.75" customHeight="1">
      <c r="D367" s="4"/>
      <c r="E367" s="22"/>
      <c r="F367" s="22"/>
    </row>
    <row r="368" spans="4:6" ht="15.75" customHeight="1">
      <c r="D368" s="4"/>
      <c r="E368" s="22"/>
      <c r="F368" s="22"/>
    </row>
    <row r="369" spans="4:6" ht="15.75" customHeight="1">
      <c r="D369" s="4"/>
      <c r="E369" s="22"/>
      <c r="F369" s="22"/>
    </row>
    <row r="370" spans="4:6" ht="15.75" customHeight="1">
      <c r="D370" s="4"/>
      <c r="E370" s="22"/>
      <c r="F370" s="22"/>
    </row>
    <row r="371" spans="4:6" ht="15.75" customHeight="1">
      <c r="D371" s="4"/>
      <c r="E371" s="22"/>
      <c r="F371" s="22"/>
    </row>
    <row r="372" spans="4:6" ht="15.75" customHeight="1">
      <c r="D372" s="4"/>
      <c r="E372" s="22"/>
      <c r="F372" s="22"/>
    </row>
    <row r="373" spans="4:6" ht="15.75" customHeight="1">
      <c r="D373" s="4"/>
      <c r="E373" s="22"/>
      <c r="F373" s="22"/>
    </row>
    <row r="374" spans="4:6" ht="15.75" customHeight="1">
      <c r="D374" s="4"/>
      <c r="E374" s="22"/>
      <c r="F374" s="22"/>
    </row>
    <row r="375" spans="4:6" ht="15.75" customHeight="1">
      <c r="D375" s="4"/>
      <c r="E375" s="22"/>
      <c r="F375" s="22"/>
    </row>
    <row r="376" spans="4:6" ht="15.75" customHeight="1">
      <c r="D376" s="4"/>
      <c r="E376" s="22"/>
      <c r="F376" s="22"/>
    </row>
    <row r="377" spans="4:6" ht="15.75" customHeight="1">
      <c r="D377" s="4"/>
      <c r="E377" s="22"/>
      <c r="F377" s="22"/>
    </row>
    <row r="378" spans="4:6" ht="15.75" customHeight="1">
      <c r="D378" s="4"/>
      <c r="E378" s="22"/>
      <c r="F378" s="22"/>
    </row>
    <row r="379" spans="4:6" ht="15.75" customHeight="1">
      <c r="D379" s="4"/>
      <c r="E379" s="22"/>
      <c r="F379" s="22"/>
    </row>
    <row r="380" spans="4:6" ht="15.75" customHeight="1">
      <c r="D380" s="4"/>
      <c r="E380" s="22"/>
      <c r="F380" s="22"/>
    </row>
    <row r="381" spans="4:6" ht="15.75" customHeight="1">
      <c r="D381" s="4"/>
      <c r="E381" s="22"/>
      <c r="F381" s="22"/>
    </row>
    <row r="382" spans="4:6" ht="15.75" customHeight="1">
      <c r="D382" s="4"/>
      <c r="E382" s="22"/>
      <c r="F382" s="22"/>
    </row>
    <row r="383" spans="4:6" ht="15.75" customHeight="1">
      <c r="D383" s="4"/>
      <c r="E383" s="22"/>
      <c r="F383" s="22"/>
    </row>
    <row r="384" spans="4:6" ht="15.75" customHeight="1">
      <c r="D384" s="4"/>
      <c r="E384" s="22"/>
      <c r="F384" s="22"/>
    </row>
    <row r="385" spans="4:6" ht="15.75" customHeight="1">
      <c r="D385" s="4"/>
      <c r="E385" s="22"/>
      <c r="F385" s="22"/>
    </row>
    <row r="386" spans="4:6" ht="15.75" customHeight="1">
      <c r="D386" s="4"/>
      <c r="E386" s="22"/>
      <c r="F386" s="22"/>
    </row>
    <row r="387" spans="4:6" ht="15.75" customHeight="1">
      <c r="D387" s="4"/>
      <c r="E387" s="22"/>
      <c r="F387" s="22"/>
    </row>
    <row r="388" spans="4:6" ht="15.75" customHeight="1">
      <c r="D388" s="4"/>
      <c r="E388" s="22"/>
      <c r="F388" s="22"/>
    </row>
    <row r="389" spans="4:6" ht="15.75" customHeight="1">
      <c r="D389" s="4"/>
      <c r="E389" s="22"/>
      <c r="F389" s="22"/>
    </row>
    <row r="390" spans="4:6" ht="15.75" customHeight="1">
      <c r="D390" s="4"/>
      <c r="E390" s="22"/>
      <c r="F390" s="22"/>
    </row>
    <row r="391" spans="4:6" ht="15.75" customHeight="1">
      <c r="D391" s="4"/>
      <c r="E391" s="22"/>
      <c r="F391" s="22"/>
    </row>
    <row r="392" spans="4:6" ht="15.75" customHeight="1">
      <c r="D392" s="4"/>
      <c r="E392" s="22"/>
      <c r="F392" s="22"/>
    </row>
    <row r="393" spans="4:6" ht="15.75" customHeight="1">
      <c r="D393" s="4"/>
      <c r="E393" s="22"/>
      <c r="F393" s="22"/>
    </row>
    <row r="394" spans="4:6" ht="15.75" customHeight="1">
      <c r="D394" s="4"/>
      <c r="E394" s="22"/>
      <c r="F394" s="22"/>
    </row>
    <row r="395" spans="4:6" ht="15.75" customHeight="1">
      <c r="D395" s="4"/>
      <c r="E395" s="22"/>
      <c r="F395" s="22"/>
    </row>
    <row r="396" spans="4:6" ht="15.75" customHeight="1">
      <c r="D396" s="4"/>
      <c r="E396" s="22"/>
      <c r="F396" s="22"/>
    </row>
    <row r="397" spans="4:6" ht="15.75" customHeight="1">
      <c r="D397" s="4"/>
      <c r="E397" s="22"/>
      <c r="F397" s="22"/>
    </row>
    <row r="398" spans="4:6" ht="15.75" customHeight="1">
      <c r="D398" s="4"/>
      <c r="E398" s="22"/>
      <c r="F398" s="22"/>
    </row>
    <row r="399" spans="4:6" ht="15.75" customHeight="1">
      <c r="D399" s="4"/>
      <c r="E399" s="22"/>
      <c r="F399" s="22"/>
    </row>
    <row r="400" spans="4:6" ht="15.75" customHeight="1">
      <c r="D400" s="4"/>
      <c r="E400" s="22"/>
      <c r="F400" s="22"/>
    </row>
    <row r="401" spans="4:6" ht="15.75" customHeight="1">
      <c r="D401" s="4"/>
      <c r="E401" s="22"/>
      <c r="F401" s="22"/>
    </row>
    <row r="402" spans="4:6" ht="15.75" customHeight="1">
      <c r="D402" s="4"/>
      <c r="E402" s="22"/>
      <c r="F402" s="22"/>
    </row>
    <row r="403" spans="4:6" ht="15.75" customHeight="1">
      <c r="D403" s="4"/>
      <c r="E403" s="22"/>
      <c r="F403" s="22"/>
    </row>
    <row r="404" spans="4:6" ht="15.75" customHeight="1">
      <c r="D404" s="4"/>
      <c r="E404" s="22"/>
      <c r="F404" s="22"/>
    </row>
    <row r="405" spans="4:6" ht="15.75" customHeight="1">
      <c r="D405" s="4"/>
      <c r="E405" s="22"/>
      <c r="F405" s="22"/>
    </row>
    <row r="406" spans="4:6" ht="15.75" customHeight="1">
      <c r="D406" s="4"/>
      <c r="E406" s="22"/>
      <c r="F406" s="22"/>
    </row>
    <row r="407" spans="4:6" ht="15.75" customHeight="1">
      <c r="D407" s="4"/>
      <c r="E407" s="22"/>
      <c r="F407" s="22"/>
    </row>
    <row r="408" spans="4:6" ht="15.75" customHeight="1">
      <c r="D408" s="4"/>
      <c r="E408" s="22"/>
      <c r="F408" s="22"/>
    </row>
    <row r="409" spans="4:6" ht="15.75" customHeight="1">
      <c r="D409" s="4"/>
      <c r="E409" s="22"/>
      <c r="F409" s="22"/>
    </row>
    <row r="410" spans="4:6" ht="15.75" customHeight="1">
      <c r="D410" s="4"/>
      <c r="E410" s="22"/>
      <c r="F410" s="22"/>
    </row>
    <row r="411" spans="4:6" ht="15.75" customHeight="1">
      <c r="D411" s="4"/>
      <c r="E411" s="22"/>
      <c r="F411" s="22"/>
    </row>
    <row r="412" spans="4:6" ht="15.75" customHeight="1">
      <c r="D412" s="4"/>
      <c r="E412" s="22"/>
      <c r="F412" s="22"/>
    </row>
    <row r="413" spans="4:6" ht="15.75" customHeight="1">
      <c r="D413" s="4"/>
      <c r="E413" s="22"/>
      <c r="F413" s="22"/>
    </row>
    <row r="414" spans="4:6" ht="15.75" customHeight="1">
      <c r="D414" s="4"/>
      <c r="E414" s="22"/>
      <c r="F414" s="22"/>
    </row>
    <row r="415" spans="4:6" ht="15.75" customHeight="1">
      <c r="D415" s="4"/>
      <c r="E415" s="22"/>
      <c r="F415" s="22"/>
    </row>
    <row r="416" spans="4:6" ht="15.75" customHeight="1">
      <c r="D416" s="4"/>
      <c r="E416" s="22"/>
      <c r="F416" s="22"/>
    </row>
    <row r="417" spans="4:6" ht="15.75" customHeight="1">
      <c r="D417" s="4"/>
      <c r="E417" s="22"/>
      <c r="F417" s="22"/>
    </row>
    <row r="418" spans="4:6" ht="15.75" customHeight="1">
      <c r="D418" s="4"/>
      <c r="E418" s="22"/>
      <c r="F418" s="22"/>
    </row>
    <row r="419" spans="4:6" ht="15.75" customHeight="1">
      <c r="D419" s="4"/>
      <c r="E419" s="22"/>
      <c r="F419" s="22"/>
    </row>
    <row r="420" spans="4:6" ht="15.75" customHeight="1">
      <c r="D420" s="4"/>
      <c r="E420" s="22"/>
      <c r="F420" s="22"/>
    </row>
    <row r="421" spans="4:6" ht="15.75" customHeight="1">
      <c r="D421" s="4"/>
      <c r="E421" s="22"/>
      <c r="F421" s="22"/>
    </row>
    <row r="422" spans="4:6" ht="15.75" customHeight="1">
      <c r="D422" s="4"/>
      <c r="E422" s="22"/>
      <c r="F422" s="22"/>
    </row>
    <row r="423" spans="4:6" ht="15.75" customHeight="1">
      <c r="D423" s="4"/>
      <c r="E423" s="22"/>
      <c r="F423" s="22"/>
    </row>
    <row r="424" spans="4:6" ht="15.75" customHeight="1">
      <c r="D424" s="4"/>
      <c r="E424" s="22"/>
      <c r="F424" s="22"/>
    </row>
    <row r="425" spans="4:6" ht="15.75" customHeight="1">
      <c r="D425" s="4"/>
      <c r="E425" s="22"/>
      <c r="F425" s="22"/>
    </row>
    <row r="426" spans="4:6" ht="15.75" customHeight="1">
      <c r="D426" s="4"/>
      <c r="E426" s="22"/>
      <c r="F426" s="22"/>
    </row>
    <row r="427" spans="4:6" ht="15.75" customHeight="1">
      <c r="D427" s="4"/>
      <c r="E427" s="22"/>
      <c r="F427" s="22"/>
    </row>
    <row r="428" spans="4:6" ht="15.75" customHeight="1">
      <c r="D428" s="4"/>
      <c r="E428" s="22"/>
      <c r="F428" s="22"/>
    </row>
    <row r="429" spans="4:6" ht="15.75" customHeight="1">
      <c r="D429" s="4"/>
      <c r="E429" s="22"/>
      <c r="F429" s="22"/>
    </row>
    <row r="430" spans="4:6" ht="15.75" customHeight="1">
      <c r="D430" s="4"/>
      <c r="E430" s="22"/>
      <c r="F430" s="22"/>
    </row>
    <row r="431" spans="4:6" ht="15.75" customHeight="1">
      <c r="D431" s="4"/>
      <c r="E431" s="22"/>
      <c r="F431" s="22"/>
    </row>
    <row r="432" spans="4:6" ht="15.75" customHeight="1">
      <c r="D432" s="4"/>
      <c r="E432" s="22"/>
      <c r="F432" s="22"/>
    </row>
    <row r="433" spans="4:6" ht="15.75" customHeight="1">
      <c r="D433" s="4"/>
      <c r="E433" s="22"/>
      <c r="F433" s="22"/>
    </row>
    <row r="434" spans="4:6" ht="15.75" customHeight="1">
      <c r="D434" s="4"/>
      <c r="E434" s="22"/>
      <c r="F434" s="22"/>
    </row>
    <row r="435" spans="4:6" ht="15.75" customHeight="1">
      <c r="D435" s="4"/>
      <c r="E435" s="22"/>
      <c r="F435" s="22"/>
    </row>
    <row r="436" spans="4:6" ht="15.75" customHeight="1">
      <c r="D436" s="4"/>
      <c r="E436" s="22"/>
      <c r="F436" s="22"/>
    </row>
    <row r="437" spans="4:6" ht="15.75" customHeight="1">
      <c r="D437" s="4"/>
      <c r="E437" s="22"/>
      <c r="F437" s="22"/>
    </row>
    <row r="438" spans="4:6" ht="15.75" customHeight="1">
      <c r="D438" s="4"/>
      <c r="E438" s="22"/>
      <c r="F438" s="22"/>
    </row>
    <row r="439" spans="4:6" ht="15.75" customHeight="1">
      <c r="D439" s="4"/>
      <c r="E439" s="22"/>
      <c r="F439" s="22"/>
    </row>
    <row r="440" spans="4:6" ht="15.75" customHeight="1">
      <c r="D440" s="4"/>
      <c r="E440" s="22"/>
      <c r="F440" s="22"/>
    </row>
    <row r="441" spans="4:6" ht="15.75" customHeight="1">
      <c r="D441" s="4"/>
      <c r="E441" s="22"/>
      <c r="F441" s="22"/>
    </row>
    <row r="442" spans="4:6" ht="15.75" customHeight="1">
      <c r="D442" s="4"/>
      <c r="E442" s="22"/>
      <c r="F442" s="22"/>
    </row>
    <row r="443" spans="4:6" ht="15.75" customHeight="1">
      <c r="D443" s="4"/>
      <c r="E443" s="22"/>
      <c r="F443" s="22"/>
    </row>
    <row r="444" spans="4:6" ht="15.75" customHeight="1">
      <c r="D444" s="4"/>
      <c r="E444" s="22"/>
      <c r="F444" s="22"/>
    </row>
    <row r="445" spans="4:6" ht="15.75" customHeight="1">
      <c r="D445" s="4"/>
      <c r="E445" s="22"/>
      <c r="F445" s="22"/>
    </row>
    <row r="446" spans="4:6" ht="15.75" customHeight="1">
      <c r="D446" s="4"/>
      <c r="E446" s="22"/>
      <c r="F446" s="22"/>
    </row>
    <row r="447" spans="4:6" ht="15.75" customHeight="1">
      <c r="D447" s="4"/>
      <c r="E447" s="22"/>
      <c r="F447" s="22"/>
    </row>
    <row r="448" spans="4:6" ht="15.75" customHeight="1">
      <c r="D448" s="4"/>
      <c r="E448" s="22"/>
      <c r="F448" s="22"/>
    </row>
    <row r="449" spans="4:6" ht="15.75" customHeight="1">
      <c r="D449" s="4"/>
      <c r="E449" s="22"/>
      <c r="F449" s="22"/>
    </row>
    <row r="450" spans="4:6" ht="15.75" customHeight="1">
      <c r="D450" s="4"/>
      <c r="E450" s="22"/>
      <c r="F450" s="22"/>
    </row>
    <row r="451" spans="4:6" ht="15.75" customHeight="1">
      <c r="D451" s="4"/>
      <c r="E451" s="22"/>
      <c r="F451" s="22"/>
    </row>
    <row r="452" spans="4:6" ht="15.75" customHeight="1">
      <c r="D452" s="4"/>
      <c r="E452" s="22"/>
      <c r="F452" s="22"/>
    </row>
    <row r="453" spans="4:6" ht="15.75" customHeight="1">
      <c r="D453" s="4"/>
      <c r="E453" s="22"/>
      <c r="F453" s="22"/>
    </row>
    <row r="454" spans="4:6" ht="15.75" customHeight="1">
      <c r="D454" s="4"/>
      <c r="E454" s="22"/>
      <c r="F454" s="22"/>
    </row>
    <row r="455" spans="4:6" ht="15.75" customHeight="1">
      <c r="D455" s="4"/>
      <c r="E455" s="22"/>
      <c r="F455" s="22"/>
    </row>
    <row r="456" spans="4:6" ht="15.75" customHeight="1">
      <c r="D456" s="4"/>
      <c r="E456" s="22"/>
      <c r="F456" s="22"/>
    </row>
    <row r="457" spans="4:6" ht="15.75" customHeight="1">
      <c r="D457" s="4"/>
      <c r="E457" s="22"/>
      <c r="F457" s="22"/>
    </row>
    <row r="458" spans="4:6" ht="15.75" customHeight="1">
      <c r="D458" s="4"/>
      <c r="E458" s="22"/>
      <c r="F458" s="22"/>
    </row>
    <row r="459" spans="4:6" ht="15.75" customHeight="1">
      <c r="D459" s="4"/>
      <c r="E459" s="22"/>
      <c r="F459" s="22"/>
    </row>
    <row r="460" spans="4:6" ht="15.75" customHeight="1">
      <c r="D460" s="4"/>
      <c r="E460" s="22"/>
      <c r="F460" s="22"/>
    </row>
    <row r="461" spans="4:6" ht="15.75" customHeight="1">
      <c r="D461" s="4"/>
      <c r="E461" s="22"/>
      <c r="F461" s="22"/>
    </row>
    <row r="462" spans="4:6" ht="15.75" customHeight="1">
      <c r="D462" s="4"/>
      <c r="E462" s="22"/>
      <c r="F462" s="22"/>
    </row>
    <row r="463" spans="4:6" ht="15.75" customHeight="1">
      <c r="D463" s="4"/>
      <c r="E463" s="22"/>
      <c r="F463" s="22"/>
    </row>
    <row r="464" spans="4:6" ht="15.75" customHeight="1">
      <c r="D464" s="4"/>
      <c r="E464" s="22"/>
      <c r="F464" s="22"/>
    </row>
    <row r="465" spans="4:6" ht="15.75" customHeight="1">
      <c r="D465" s="4"/>
      <c r="E465" s="22"/>
      <c r="F465" s="22"/>
    </row>
    <row r="466" spans="4:6" ht="15.75" customHeight="1">
      <c r="D466" s="4"/>
      <c r="E466" s="22"/>
      <c r="F466" s="22"/>
    </row>
    <row r="467" spans="4:6" ht="15.75" customHeight="1">
      <c r="D467" s="4"/>
      <c r="E467" s="22"/>
      <c r="F467" s="22"/>
    </row>
    <row r="468" spans="4:6" ht="15.75" customHeight="1">
      <c r="D468" s="4"/>
      <c r="E468" s="22"/>
      <c r="F468" s="22"/>
    </row>
    <row r="469" spans="4:6" ht="15.75" customHeight="1">
      <c r="D469" s="4"/>
      <c r="E469" s="22"/>
      <c r="F469" s="22"/>
    </row>
    <row r="470" spans="4:6" ht="15.75" customHeight="1">
      <c r="D470" s="4"/>
      <c r="E470" s="22"/>
      <c r="F470" s="22"/>
    </row>
    <row r="471" spans="4:6" ht="15.75" customHeight="1">
      <c r="D471" s="4"/>
      <c r="E471" s="22"/>
      <c r="F471" s="22"/>
    </row>
    <row r="472" spans="4:6" ht="15.75" customHeight="1">
      <c r="D472" s="4"/>
      <c r="E472" s="22"/>
      <c r="F472" s="22"/>
    </row>
    <row r="473" spans="4:6" ht="15.75" customHeight="1">
      <c r="D473" s="4"/>
      <c r="E473" s="22"/>
      <c r="F473" s="22"/>
    </row>
    <row r="474" spans="4:6" ht="15.75" customHeight="1">
      <c r="D474" s="4"/>
      <c r="E474" s="22"/>
      <c r="F474" s="22"/>
    </row>
    <row r="475" spans="4:6" ht="15.75" customHeight="1">
      <c r="D475" s="4"/>
      <c r="E475" s="22"/>
      <c r="F475" s="22"/>
    </row>
    <row r="476" spans="4:6" ht="15.75" customHeight="1">
      <c r="D476" s="4"/>
      <c r="E476" s="22"/>
      <c r="F476" s="22"/>
    </row>
    <row r="477" spans="4:6" ht="15.75" customHeight="1">
      <c r="D477" s="4"/>
      <c r="E477" s="22"/>
      <c r="F477" s="22"/>
    </row>
    <row r="478" spans="4:6" ht="15.75" customHeight="1">
      <c r="D478" s="4"/>
      <c r="E478" s="22"/>
      <c r="F478" s="22"/>
    </row>
    <row r="479" spans="4:6" ht="15.75" customHeight="1">
      <c r="D479" s="4"/>
      <c r="E479" s="22"/>
      <c r="F479" s="22"/>
    </row>
    <row r="480" spans="4:6" ht="15.75" customHeight="1">
      <c r="D480" s="4"/>
      <c r="E480" s="22"/>
      <c r="F480" s="22"/>
    </row>
    <row r="481" spans="4:6" ht="15.75" customHeight="1">
      <c r="D481" s="4"/>
      <c r="E481" s="22"/>
      <c r="F481" s="22"/>
    </row>
    <row r="482" spans="4:6" ht="15.75" customHeight="1">
      <c r="D482" s="4"/>
      <c r="E482" s="22"/>
      <c r="F482" s="22"/>
    </row>
    <row r="483" spans="4:6" ht="15.75" customHeight="1">
      <c r="D483" s="4"/>
      <c r="E483" s="22"/>
      <c r="F483" s="22"/>
    </row>
    <row r="484" spans="4:6" ht="15.75" customHeight="1">
      <c r="D484" s="4"/>
      <c r="E484" s="22"/>
      <c r="F484" s="22"/>
    </row>
    <row r="485" spans="4:6" ht="15.75" customHeight="1">
      <c r="D485" s="4"/>
      <c r="E485" s="22"/>
      <c r="F485" s="22"/>
    </row>
    <row r="486" spans="4:6" ht="15.75" customHeight="1">
      <c r="D486" s="4"/>
      <c r="E486" s="22"/>
      <c r="F486" s="22"/>
    </row>
    <row r="487" spans="4:6" ht="15.75" customHeight="1">
      <c r="D487" s="4"/>
      <c r="E487" s="22"/>
      <c r="F487" s="22"/>
    </row>
    <row r="488" spans="4:6" ht="15.75" customHeight="1">
      <c r="D488" s="4"/>
      <c r="E488" s="22"/>
      <c r="F488" s="22"/>
    </row>
    <row r="489" spans="4:6" ht="15.75" customHeight="1">
      <c r="D489" s="4"/>
      <c r="E489" s="22"/>
      <c r="F489" s="22"/>
    </row>
    <row r="490" spans="4:6" ht="15.75" customHeight="1">
      <c r="D490" s="4"/>
      <c r="E490" s="22"/>
      <c r="F490" s="22"/>
    </row>
    <row r="491" spans="4:6" ht="15.75" customHeight="1">
      <c r="D491" s="4"/>
      <c r="E491" s="22"/>
      <c r="F491" s="22"/>
    </row>
    <row r="492" spans="4:6" ht="15.75" customHeight="1">
      <c r="D492" s="4"/>
      <c r="E492" s="22"/>
      <c r="F492" s="22"/>
    </row>
    <row r="493" spans="4:6" ht="15.75" customHeight="1">
      <c r="D493" s="4"/>
      <c r="E493" s="22"/>
      <c r="F493" s="22"/>
    </row>
    <row r="494" spans="4:6" ht="15.75" customHeight="1">
      <c r="D494" s="4"/>
      <c r="E494" s="22"/>
      <c r="F494" s="22"/>
    </row>
    <row r="495" spans="4:6" ht="15.75" customHeight="1">
      <c r="D495" s="4"/>
      <c r="E495" s="22"/>
      <c r="F495" s="22"/>
    </row>
    <row r="496" spans="4:6" ht="15.75" customHeight="1">
      <c r="D496" s="4"/>
      <c r="E496" s="22"/>
      <c r="F496" s="22"/>
    </row>
    <row r="497" spans="4:6" ht="15.75" customHeight="1">
      <c r="D497" s="4"/>
      <c r="E497" s="22"/>
      <c r="F497" s="22"/>
    </row>
    <row r="498" spans="4:6" ht="15.75" customHeight="1">
      <c r="D498" s="4"/>
      <c r="E498" s="22"/>
      <c r="F498" s="22"/>
    </row>
    <row r="499" spans="4:6" ht="15.75" customHeight="1">
      <c r="D499" s="4"/>
      <c r="E499" s="22"/>
      <c r="F499" s="22"/>
    </row>
    <row r="500" spans="4:6" ht="15.75" customHeight="1">
      <c r="D500" s="4"/>
      <c r="E500" s="22"/>
      <c r="F500" s="22"/>
    </row>
    <row r="501" spans="4:6" ht="15.75" customHeight="1">
      <c r="D501" s="4"/>
      <c r="E501" s="22"/>
      <c r="F501" s="22"/>
    </row>
    <row r="502" spans="4:6" ht="15.75" customHeight="1">
      <c r="D502" s="4"/>
      <c r="E502" s="22"/>
      <c r="F502" s="22"/>
    </row>
    <row r="503" spans="4:6" ht="15.75" customHeight="1">
      <c r="D503" s="4"/>
      <c r="E503" s="22"/>
      <c r="F503" s="22"/>
    </row>
    <row r="504" spans="4:6" ht="15.75" customHeight="1">
      <c r="D504" s="4"/>
      <c r="E504" s="22"/>
      <c r="F504" s="22"/>
    </row>
    <row r="505" spans="4:6" ht="15.75" customHeight="1">
      <c r="D505" s="4"/>
      <c r="E505" s="22"/>
      <c r="F505" s="22"/>
    </row>
    <row r="506" spans="4:6" ht="15.75" customHeight="1">
      <c r="D506" s="4"/>
      <c r="E506" s="22"/>
      <c r="F506" s="22"/>
    </row>
    <row r="507" spans="4:6" ht="15.75" customHeight="1">
      <c r="D507" s="4"/>
      <c r="E507" s="22"/>
      <c r="F507" s="22"/>
    </row>
    <row r="508" spans="4:6" ht="15.75" customHeight="1">
      <c r="D508" s="4"/>
      <c r="E508" s="22"/>
      <c r="F508" s="22"/>
    </row>
    <row r="509" spans="4:6" ht="15.75" customHeight="1">
      <c r="D509" s="4"/>
      <c r="E509" s="22"/>
      <c r="F509" s="22"/>
    </row>
    <row r="510" spans="4:6" ht="15.75" customHeight="1">
      <c r="D510" s="4"/>
      <c r="E510" s="22"/>
      <c r="F510" s="22"/>
    </row>
    <row r="511" spans="4:6" ht="15.75" customHeight="1">
      <c r="D511" s="4"/>
      <c r="E511" s="22"/>
      <c r="F511" s="22"/>
    </row>
    <row r="512" spans="4:6" ht="15.75" customHeight="1">
      <c r="D512" s="4"/>
      <c r="E512" s="22"/>
      <c r="F512" s="22"/>
    </row>
    <row r="513" spans="4:6" ht="15.75" customHeight="1">
      <c r="D513" s="4"/>
      <c r="E513" s="22"/>
      <c r="F513" s="22"/>
    </row>
    <row r="514" spans="4:6" ht="15.75" customHeight="1">
      <c r="D514" s="4"/>
      <c r="E514" s="22"/>
      <c r="F514" s="22"/>
    </row>
    <row r="515" spans="4:6" ht="15.75" customHeight="1">
      <c r="D515" s="4"/>
      <c r="E515" s="22"/>
      <c r="F515" s="22"/>
    </row>
    <row r="516" spans="4:6" ht="15.75" customHeight="1">
      <c r="D516" s="4"/>
      <c r="E516" s="22"/>
      <c r="F516" s="22"/>
    </row>
    <row r="517" spans="4:6" ht="15.75" customHeight="1">
      <c r="D517" s="4"/>
      <c r="E517" s="22"/>
      <c r="F517" s="22"/>
    </row>
    <row r="518" spans="4:6" ht="15.75" customHeight="1">
      <c r="D518" s="4"/>
      <c r="E518" s="22"/>
      <c r="F518" s="22"/>
    </row>
    <row r="519" spans="4:6" ht="15.75" customHeight="1">
      <c r="D519" s="4"/>
      <c r="E519" s="22"/>
      <c r="F519" s="22"/>
    </row>
    <row r="520" spans="4:6" ht="15.75" customHeight="1">
      <c r="D520" s="4"/>
      <c r="E520" s="22"/>
      <c r="F520" s="22"/>
    </row>
    <row r="521" spans="4:6" ht="15.75" customHeight="1">
      <c r="D521" s="4"/>
      <c r="E521" s="22"/>
      <c r="F521" s="22"/>
    </row>
    <row r="522" spans="4:6" ht="15.75" customHeight="1">
      <c r="D522" s="4"/>
      <c r="E522" s="22"/>
      <c r="F522" s="22"/>
    </row>
    <row r="523" spans="4:6" ht="15.75" customHeight="1">
      <c r="D523" s="4"/>
      <c r="E523" s="22"/>
      <c r="F523" s="22"/>
    </row>
    <row r="524" spans="4:6" ht="15.75" customHeight="1">
      <c r="D524" s="4"/>
      <c r="E524" s="22"/>
      <c r="F524" s="22"/>
    </row>
    <row r="525" spans="4:6" ht="15.75" customHeight="1">
      <c r="D525" s="4"/>
      <c r="E525" s="22"/>
      <c r="F525" s="22"/>
    </row>
    <row r="526" spans="4:6" ht="15.75" customHeight="1">
      <c r="D526" s="4"/>
      <c r="E526" s="22"/>
      <c r="F526" s="22"/>
    </row>
    <row r="527" spans="4:6" ht="15.75" customHeight="1">
      <c r="D527" s="4"/>
      <c r="E527" s="22"/>
      <c r="F527" s="22"/>
    </row>
    <row r="528" spans="4:6" ht="15.75" customHeight="1">
      <c r="D528" s="4"/>
      <c r="E528" s="22"/>
      <c r="F528" s="22"/>
    </row>
    <row r="529" spans="4:6" ht="15.75" customHeight="1">
      <c r="D529" s="4"/>
      <c r="E529" s="22"/>
      <c r="F529" s="22"/>
    </row>
    <row r="530" spans="4:6" ht="15.75" customHeight="1">
      <c r="D530" s="4"/>
      <c r="E530" s="22"/>
      <c r="F530" s="22"/>
    </row>
    <row r="531" spans="4:6" ht="15.75" customHeight="1">
      <c r="D531" s="4"/>
      <c r="E531" s="22"/>
      <c r="F531" s="22"/>
    </row>
    <row r="532" spans="4:6" ht="15.75" customHeight="1">
      <c r="D532" s="4"/>
      <c r="E532" s="22"/>
      <c r="F532" s="22"/>
    </row>
    <row r="533" spans="4:6" ht="15.75" customHeight="1">
      <c r="D533" s="4"/>
      <c r="E533" s="22"/>
      <c r="F533" s="22"/>
    </row>
    <row r="534" spans="4:6" ht="15.75" customHeight="1">
      <c r="D534" s="4"/>
      <c r="E534" s="22"/>
      <c r="F534" s="22"/>
    </row>
    <row r="535" spans="4:6" ht="15.75" customHeight="1">
      <c r="D535" s="4"/>
      <c r="E535" s="22"/>
      <c r="F535" s="22"/>
    </row>
    <row r="536" spans="4:6" ht="15.75" customHeight="1">
      <c r="D536" s="4"/>
      <c r="E536" s="22"/>
      <c r="F536" s="22"/>
    </row>
    <row r="537" spans="4:6" ht="15.75" customHeight="1">
      <c r="D537" s="4"/>
      <c r="E537" s="22"/>
      <c r="F537" s="22"/>
    </row>
    <row r="538" spans="4:6" ht="15.75" customHeight="1">
      <c r="D538" s="4"/>
      <c r="E538" s="22"/>
      <c r="F538" s="22"/>
    </row>
    <row r="539" spans="4:6" ht="15.75" customHeight="1">
      <c r="D539" s="4"/>
      <c r="E539" s="22"/>
      <c r="F539" s="22"/>
    </row>
    <row r="540" spans="4:6" ht="15.75" customHeight="1">
      <c r="D540" s="4"/>
      <c r="E540" s="22"/>
      <c r="F540" s="22"/>
    </row>
    <row r="541" spans="4:6" ht="15.75" customHeight="1">
      <c r="D541" s="4"/>
      <c r="E541" s="22"/>
      <c r="F541" s="22"/>
    </row>
    <row r="542" spans="4:6" ht="15.75" customHeight="1">
      <c r="D542" s="4"/>
      <c r="E542" s="22"/>
      <c r="F542" s="22"/>
    </row>
    <row r="543" spans="4:6" ht="15.75" customHeight="1">
      <c r="D543" s="4"/>
      <c r="E543" s="22"/>
      <c r="F543" s="22"/>
    </row>
    <row r="544" spans="4:6" ht="15.75" customHeight="1">
      <c r="D544" s="4"/>
      <c r="E544" s="22"/>
      <c r="F544" s="22"/>
    </row>
    <row r="545" spans="4:6" ht="15.75" customHeight="1">
      <c r="D545" s="4"/>
      <c r="E545" s="22"/>
      <c r="F545" s="22"/>
    </row>
    <row r="546" spans="4:6" ht="15.75" customHeight="1">
      <c r="D546" s="4"/>
      <c r="E546" s="22"/>
      <c r="F546" s="22"/>
    </row>
    <row r="547" spans="4:6" ht="15.75" customHeight="1">
      <c r="D547" s="4"/>
      <c r="E547" s="22"/>
      <c r="F547" s="22"/>
    </row>
    <row r="548" spans="4:6" ht="15.75" customHeight="1">
      <c r="D548" s="4"/>
      <c r="E548" s="22"/>
      <c r="F548" s="22"/>
    </row>
    <row r="549" spans="4:6" ht="15.75" customHeight="1">
      <c r="D549" s="4"/>
      <c r="E549" s="22"/>
      <c r="F549" s="22"/>
    </row>
    <row r="550" spans="4:6" ht="15.75" customHeight="1">
      <c r="D550" s="4"/>
      <c r="E550" s="22"/>
      <c r="F550" s="22"/>
    </row>
    <row r="551" spans="4:6" ht="15.75" customHeight="1">
      <c r="D551" s="4"/>
      <c r="E551" s="22"/>
      <c r="F551" s="22"/>
    </row>
    <row r="552" spans="4:6" ht="15.75" customHeight="1">
      <c r="D552" s="4"/>
      <c r="E552" s="22"/>
      <c r="F552" s="22"/>
    </row>
    <row r="553" spans="4:6" ht="15.75" customHeight="1">
      <c r="D553" s="4"/>
      <c r="E553" s="22"/>
      <c r="F553" s="22"/>
    </row>
    <row r="554" spans="4:6" ht="15.75" customHeight="1">
      <c r="D554" s="4"/>
      <c r="E554" s="22"/>
      <c r="F554" s="22"/>
    </row>
    <row r="555" spans="4:6" ht="15.75" customHeight="1">
      <c r="D555" s="4"/>
      <c r="E555" s="22"/>
      <c r="F555" s="22"/>
    </row>
    <row r="556" spans="4:6" ht="15.75" customHeight="1">
      <c r="D556" s="4"/>
      <c r="E556" s="22"/>
      <c r="F556" s="22"/>
    </row>
    <row r="557" spans="4:6" ht="15.75" customHeight="1">
      <c r="D557" s="4"/>
      <c r="E557" s="22"/>
      <c r="F557" s="22"/>
    </row>
    <row r="558" spans="4:6" ht="15.75" customHeight="1">
      <c r="D558" s="4"/>
      <c r="E558" s="22"/>
      <c r="F558" s="22"/>
    </row>
    <row r="559" spans="4:6" ht="15.75" customHeight="1">
      <c r="D559" s="4"/>
      <c r="E559" s="22"/>
      <c r="F559" s="22"/>
    </row>
    <row r="560" spans="4:6" ht="15.75" customHeight="1">
      <c r="D560" s="4"/>
      <c r="E560" s="22"/>
      <c r="F560" s="22"/>
    </row>
    <row r="561" spans="4:6" ht="15.75" customHeight="1">
      <c r="D561" s="4"/>
      <c r="E561" s="22"/>
      <c r="F561" s="22"/>
    </row>
    <row r="562" spans="4:6" ht="15.75" customHeight="1">
      <c r="D562" s="4"/>
      <c r="E562" s="22"/>
      <c r="F562" s="22"/>
    </row>
    <row r="563" spans="4:6" ht="15.75" customHeight="1">
      <c r="D563" s="4"/>
      <c r="E563" s="22"/>
      <c r="F563" s="22"/>
    </row>
    <row r="564" spans="4:6" ht="15.75" customHeight="1">
      <c r="D564" s="4"/>
      <c r="E564" s="22"/>
      <c r="F564" s="22"/>
    </row>
    <row r="565" spans="4:6" ht="15.75" customHeight="1">
      <c r="D565" s="4"/>
      <c r="E565" s="22"/>
      <c r="F565" s="22"/>
    </row>
    <row r="566" spans="4:6" ht="15.75" customHeight="1">
      <c r="D566" s="4"/>
      <c r="E566" s="22"/>
      <c r="F566" s="22"/>
    </row>
    <row r="567" spans="4:6" ht="15.75" customHeight="1">
      <c r="D567" s="4"/>
      <c r="E567" s="22"/>
      <c r="F567" s="22"/>
    </row>
    <row r="568" spans="4:6" ht="15.75" customHeight="1">
      <c r="D568" s="4"/>
      <c r="E568" s="22"/>
      <c r="F568" s="22"/>
    </row>
    <row r="569" spans="4:6" ht="15.75" customHeight="1">
      <c r="D569" s="4"/>
      <c r="E569" s="22"/>
      <c r="F569" s="22"/>
    </row>
    <row r="570" spans="4:6" ht="15.75" customHeight="1">
      <c r="D570" s="4"/>
      <c r="E570" s="22"/>
      <c r="F570" s="22"/>
    </row>
    <row r="571" spans="4:6" ht="15.75" customHeight="1">
      <c r="D571" s="4"/>
      <c r="E571" s="22"/>
      <c r="F571" s="22"/>
    </row>
    <row r="572" spans="4:6" ht="15.75" customHeight="1">
      <c r="D572" s="4"/>
      <c r="E572" s="22"/>
      <c r="F572" s="22"/>
    </row>
    <row r="573" spans="4:6" ht="15.75" customHeight="1">
      <c r="D573" s="4"/>
      <c r="E573" s="22"/>
      <c r="F573" s="22"/>
    </row>
    <row r="574" spans="4:6" ht="15.75" customHeight="1">
      <c r="D574" s="4"/>
      <c r="E574" s="22"/>
      <c r="F574" s="22"/>
    </row>
    <row r="575" spans="4:6" ht="15.75" customHeight="1">
      <c r="D575" s="4"/>
      <c r="E575" s="22"/>
      <c r="F575" s="22"/>
    </row>
    <row r="576" spans="4:6" ht="15.75" customHeight="1">
      <c r="D576" s="4"/>
      <c r="E576" s="22"/>
      <c r="F576" s="22"/>
    </row>
    <row r="577" spans="4:6" ht="15.75" customHeight="1">
      <c r="D577" s="4"/>
      <c r="E577" s="22"/>
      <c r="F577" s="22"/>
    </row>
    <row r="578" spans="4:6" ht="15.75" customHeight="1">
      <c r="D578" s="4"/>
      <c r="E578" s="22"/>
      <c r="F578" s="22"/>
    </row>
    <row r="579" spans="4:6" ht="15.75" customHeight="1">
      <c r="D579" s="4"/>
      <c r="E579" s="22"/>
      <c r="F579" s="22"/>
    </row>
    <row r="580" spans="4:6" ht="15.75" customHeight="1">
      <c r="D580" s="4"/>
      <c r="E580" s="22"/>
      <c r="F580" s="22"/>
    </row>
    <row r="581" spans="4:6" ht="15.75" customHeight="1">
      <c r="D581" s="4"/>
      <c r="E581" s="22"/>
      <c r="F581" s="22"/>
    </row>
    <row r="582" spans="4:6" ht="15.75" customHeight="1">
      <c r="D582" s="4"/>
      <c r="E582" s="22"/>
      <c r="F582" s="22"/>
    </row>
    <row r="583" spans="4:6" ht="15.75" customHeight="1">
      <c r="D583" s="4"/>
      <c r="E583" s="22"/>
      <c r="F583" s="22"/>
    </row>
    <row r="584" spans="4:6" ht="15.75" customHeight="1">
      <c r="D584" s="4"/>
      <c r="E584" s="22"/>
      <c r="F584" s="22"/>
    </row>
    <row r="585" spans="4:6" ht="15.75" customHeight="1">
      <c r="D585" s="4"/>
      <c r="E585" s="22"/>
      <c r="F585" s="22"/>
    </row>
    <row r="586" spans="4:6" ht="15.75" customHeight="1">
      <c r="D586" s="4"/>
      <c r="E586" s="22"/>
      <c r="F586" s="22"/>
    </row>
    <row r="587" spans="4:6" ht="15.75" customHeight="1">
      <c r="D587" s="4"/>
      <c r="E587" s="22"/>
      <c r="F587" s="22"/>
    </row>
    <row r="588" spans="4:6" ht="15.75" customHeight="1">
      <c r="D588" s="4"/>
      <c r="E588" s="22"/>
      <c r="F588" s="22"/>
    </row>
    <row r="589" spans="4:6" ht="15.75" customHeight="1">
      <c r="D589" s="4"/>
      <c r="E589" s="22"/>
      <c r="F589" s="22"/>
    </row>
    <row r="590" spans="4:6" ht="15.75" customHeight="1">
      <c r="D590" s="4"/>
      <c r="E590" s="22"/>
      <c r="F590" s="22"/>
    </row>
    <row r="591" spans="4:6" ht="15.75" customHeight="1">
      <c r="D591" s="4"/>
      <c r="E591" s="22"/>
      <c r="F591" s="22"/>
    </row>
    <row r="592" spans="4:6" ht="15.75" customHeight="1">
      <c r="D592" s="4"/>
      <c r="E592" s="22"/>
      <c r="F592" s="22"/>
    </row>
    <row r="593" spans="4:6" ht="15.75" customHeight="1">
      <c r="D593" s="4"/>
      <c r="E593" s="22"/>
      <c r="F593" s="22"/>
    </row>
    <row r="594" spans="4:6" ht="15.75" customHeight="1">
      <c r="D594" s="4"/>
      <c r="E594" s="22"/>
      <c r="F594" s="22"/>
    </row>
    <row r="595" spans="4:6" ht="15.75" customHeight="1">
      <c r="D595" s="4"/>
      <c r="E595" s="22"/>
      <c r="F595" s="22"/>
    </row>
    <row r="596" spans="4:6" ht="15.75" customHeight="1">
      <c r="D596" s="4"/>
      <c r="E596" s="22"/>
      <c r="F596" s="22"/>
    </row>
    <row r="597" spans="4:6" ht="15.75" customHeight="1">
      <c r="D597" s="4"/>
      <c r="E597" s="22"/>
      <c r="F597" s="22"/>
    </row>
    <row r="598" spans="4:6" ht="15.75" customHeight="1">
      <c r="D598" s="4"/>
      <c r="E598" s="22"/>
      <c r="F598" s="22"/>
    </row>
    <row r="599" spans="4:6" ht="15.75" customHeight="1">
      <c r="D599" s="4"/>
      <c r="E599" s="22"/>
      <c r="F599" s="22"/>
    </row>
    <row r="600" spans="4:6" ht="15.75" customHeight="1">
      <c r="D600" s="4"/>
      <c r="E600" s="22"/>
      <c r="F600" s="22"/>
    </row>
    <row r="601" spans="4:6" ht="15.75" customHeight="1">
      <c r="D601" s="4"/>
      <c r="E601" s="22"/>
      <c r="F601" s="22"/>
    </row>
    <row r="602" spans="4:6" ht="15.75" customHeight="1">
      <c r="D602" s="4"/>
      <c r="E602" s="22"/>
      <c r="F602" s="22"/>
    </row>
    <row r="603" spans="4:6" ht="15.75" customHeight="1">
      <c r="D603" s="4"/>
      <c r="E603" s="22"/>
      <c r="F603" s="22"/>
    </row>
    <row r="604" spans="4:6" ht="15.75" customHeight="1">
      <c r="D604" s="4"/>
      <c r="E604" s="22"/>
      <c r="F604" s="22"/>
    </row>
    <row r="605" spans="4:6" ht="15.75" customHeight="1">
      <c r="D605" s="4"/>
      <c r="E605" s="22"/>
      <c r="F605" s="22"/>
    </row>
    <row r="606" spans="4:6" ht="15.75" customHeight="1">
      <c r="D606" s="4"/>
      <c r="E606" s="22"/>
      <c r="F606" s="22"/>
    </row>
    <row r="607" spans="4:6" ht="15.75" customHeight="1">
      <c r="D607" s="4"/>
      <c r="E607" s="22"/>
      <c r="F607" s="22"/>
    </row>
    <row r="608" spans="4:6" ht="15.75" customHeight="1">
      <c r="D608" s="4"/>
      <c r="E608" s="22"/>
      <c r="F608" s="22"/>
    </row>
    <row r="609" spans="4:6" ht="15.75" customHeight="1">
      <c r="D609" s="4"/>
      <c r="E609" s="22"/>
      <c r="F609" s="22"/>
    </row>
    <row r="610" spans="4:6" ht="15.75" customHeight="1">
      <c r="D610" s="4"/>
      <c r="E610" s="22"/>
      <c r="F610" s="22"/>
    </row>
    <row r="611" spans="4:6" ht="15.75" customHeight="1">
      <c r="D611" s="4"/>
      <c r="E611" s="22"/>
      <c r="F611" s="22"/>
    </row>
    <row r="612" spans="4:6" ht="15.75" customHeight="1">
      <c r="D612" s="4"/>
      <c r="E612" s="22"/>
      <c r="F612" s="22"/>
    </row>
    <row r="613" spans="4:6" ht="15.75" customHeight="1">
      <c r="D613" s="4"/>
      <c r="E613" s="22"/>
      <c r="F613" s="22"/>
    </row>
    <row r="614" spans="4:6" ht="15.75" customHeight="1">
      <c r="D614" s="4"/>
      <c r="E614" s="22"/>
      <c r="F614" s="22"/>
    </row>
    <row r="615" spans="4:6" ht="15.75" customHeight="1">
      <c r="D615" s="4"/>
      <c r="E615" s="22"/>
      <c r="F615" s="22"/>
    </row>
    <row r="616" spans="4:6" ht="15.75" customHeight="1">
      <c r="D616" s="4"/>
      <c r="E616" s="22"/>
      <c r="F616" s="22"/>
    </row>
    <row r="617" spans="4:6" ht="15.75" customHeight="1">
      <c r="D617" s="4"/>
      <c r="E617" s="22"/>
      <c r="F617" s="22"/>
    </row>
    <row r="618" spans="4:6" ht="15.75" customHeight="1">
      <c r="D618" s="4"/>
      <c r="E618" s="22"/>
      <c r="F618" s="22"/>
    </row>
    <row r="619" spans="4:6" ht="15.75" customHeight="1">
      <c r="D619" s="4"/>
      <c r="E619" s="22"/>
      <c r="F619" s="22"/>
    </row>
    <row r="620" spans="4:6" ht="15.75" customHeight="1">
      <c r="D620" s="4"/>
      <c r="E620" s="22"/>
      <c r="F620" s="22"/>
    </row>
    <row r="621" spans="4:6" ht="15.75" customHeight="1">
      <c r="D621" s="4"/>
      <c r="E621" s="22"/>
      <c r="F621" s="22"/>
    </row>
    <row r="622" spans="4:6" ht="15.75" customHeight="1">
      <c r="D622" s="4"/>
      <c r="E622" s="22"/>
      <c r="F622" s="22"/>
    </row>
    <row r="623" spans="4:6" ht="15.75" customHeight="1">
      <c r="D623" s="4"/>
      <c r="E623" s="22"/>
      <c r="F623" s="22"/>
    </row>
    <row r="624" spans="4:6" ht="15.75" customHeight="1">
      <c r="D624" s="4"/>
      <c r="E624" s="22"/>
      <c r="F624" s="22"/>
    </row>
    <row r="625" spans="4:6" ht="15.75" customHeight="1">
      <c r="D625" s="4"/>
      <c r="E625" s="22"/>
      <c r="F625" s="22"/>
    </row>
    <row r="626" spans="4:6" ht="15.75" customHeight="1">
      <c r="D626" s="4"/>
      <c r="E626" s="22"/>
      <c r="F626" s="22"/>
    </row>
    <row r="627" spans="4:6" ht="15.75" customHeight="1">
      <c r="D627" s="4"/>
      <c r="E627" s="22"/>
      <c r="F627" s="22"/>
    </row>
    <row r="628" spans="4:6" ht="15.75" customHeight="1">
      <c r="D628" s="4"/>
      <c r="E628" s="22"/>
      <c r="F628" s="22"/>
    </row>
    <row r="629" spans="4:6" ht="15.75" customHeight="1">
      <c r="D629" s="4"/>
      <c r="E629" s="22"/>
      <c r="F629" s="22"/>
    </row>
    <row r="630" spans="4:6" ht="15.75" customHeight="1">
      <c r="D630" s="4"/>
      <c r="E630" s="22"/>
      <c r="F630" s="22"/>
    </row>
    <row r="631" spans="4:6" ht="15.75" customHeight="1">
      <c r="D631" s="4"/>
      <c r="E631" s="22"/>
      <c r="F631" s="22"/>
    </row>
    <row r="632" spans="4:6" ht="15.75" customHeight="1">
      <c r="D632" s="4"/>
      <c r="E632" s="22"/>
      <c r="F632" s="22"/>
    </row>
    <row r="633" spans="4:6" ht="15.75" customHeight="1">
      <c r="D633" s="4"/>
      <c r="E633" s="22"/>
      <c r="F633" s="22"/>
    </row>
    <row r="634" spans="4:6" ht="15.75" customHeight="1">
      <c r="D634" s="4"/>
      <c r="E634" s="22"/>
      <c r="F634" s="22"/>
    </row>
    <row r="635" spans="4:6" ht="15.75" customHeight="1">
      <c r="D635" s="4"/>
      <c r="E635" s="22"/>
      <c r="F635" s="22"/>
    </row>
    <row r="636" spans="4:6" ht="15.75" customHeight="1">
      <c r="D636" s="4"/>
      <c r="E636" s="22"/>
      <c r="F636" s="22"/>
    </row>
    <row r="637" spans="4:6" ht="15.75" customHeight="1">
      <c r="D637" s="4"/>
      <c r="E637" s="22"/>
      <c r="F637" s="22"/>
    </row>
    <row r="638" spans="4:6" ht="15.75" customHeight="1">
      <c r="D638" s="4"/>
      <c r="E638" s="22"/>
      <c r="F638" s="22"/>
    </row>
    <row r="639" spans="4:6" ht="15.75" customHeight="1">
      <c r="D639" s="4"/>
      <c r="E639" s="22"/>
      <c r="F639" s="22"/>
    </row>
    <row r="640" spans="4:6" ht="15.75" customHeight="1">
      <c r="D640" s="4"/>
      <c r="E640" s="22"/>
      <c r="F640" s="22"/>
    </row>
    <row r="641" spans="4:6" ht="15.75" customHeight="1">
      <c r="D641" s="4"/>
      <c r="E641" s="22"/>
      <c r="F641" s="22"/>
    </row>
    <row r="642" spans="4:6" ht="15.75" customHeight="1">
      <c r="D642" s="4"/>
      <c r="E642" s="22"/>
      <c r="F642" s="22"/>
    </row>
    <row r="643" spans="4:6" ht="15.75" customHeight="1">
      <c r="D643" s="4"/>
      <c r="E643" s="22"/>
      <c r="F643" s="22"/>
    </row>
    <row r="644" spans="4:6" ht="15.75" customHeight="1">
      <c r="D644" s="4"/>
      <c r="E644" s="22"/>
      <c r="F644" s="22"/>
    </row>
    <row r="645" spans="4:6" ht="15.75" customHeight="1">
      <c r="D645" s="4"/>
      <c r="E645" s="22"/>
      <c r="F645" s="22"/>
    </row>
    <row r="646" spans="4:6" ht="15.75" customHeight="1">
      <c r="D646" s="4"/>
      <c r="E646" s="22"/>
      <c r="F646" s="22"/>
    </row>
    <row r="647" spans="4:6" ht="15.75" customHeight="1">
      <c r="D647" s="4"/>
      <c r="E647" s="22"/>
      <c r="F647" s="22"/>
    </row>
    <row r="648" spans="4:6" ht="15.75" customHeight="1">
      <c r="D648" s="4"/>
      <c r="E648" s="22"/>
      <c r="F648" s="22"/>
    </row>
    <row r="649" spans="4:6" ht="15.75" customHeight="1">
      <c r="D649" s="4"/>
      <c r="E649" s="22"/>
      <c r="F649" s="22"/>
    </row>
    <row r="650" spans="4:6" ht="15.75" customHeight="1">
      <c r="D650" s="4"/>
      <c r="E650" s="22"/>
      <c r="F650" s="22"/>
    </row>
    <row r="651" spans="4:6" ht="15.75" customHeight="1">
      <c r="D651" s="4"/>
      <c r="E651" s="22"/>
      <c r="F651" s="22"/>
    </row>
    <row r="652" spans="4:6" ht="15.75" customHeight="1">
      <c r="D652" s="4"/>
      <c r="E652" s="22"/>
      <c r="F652" s="22"/>
    </row>
    <row r="653" spans="4:6" ht="15.75" customHeight="1">
      <c r="D653" s="4"/>
      <c r="E653" s="22"/>
      <c r="F653" s="22"/>
    </row>
    <row r="654" spans="4:6" ht="15.75" customHeight="1">
      <c r="D654" s="4"/>
      <c r="E654" s="22"/>
      <c r="F654" s="22"/>
    </row>
    <row r="655" spans="4:6" ht="15.75" customHeight="1">
      <c r="D655" s="4"/>
      <c r="E655" s="22"/>
      <c r="F655" s="22"/>
    </row>
    <row r="656" spans="4:6" ht="15.75" customHeight="1">
      <c r="D656" s="4"/>
      <c r="E656" s="22"/>
      <c r="F656" s="22"/>
    </row>
    <row r="657" spans="4:6" ht="15.75" customHeight="1">
      <c r="D657" s="4"/>
      <c r="E657" s="22"/>
      <c r="F657" s="22"/>
    </row>
    <row r="658" spans="4:6" ht="15.75" customHeight="1">
      <c r="D658" s="4"/>
      <c r="E658" s="22"/>
      <c r="F658" s="22"/>
    </row>
    <row r="659" spans="4:6" ht="15.75" customHeight="1">
      <c r="D659" s="4"/>
      <c r="E659" s="22"/>
      <c r="F659" s="22"/>
    </row>
    <row r="660" spans="4:6" ht="15.75" customHeight="1">
      <c r="D660" s="4"/>
      <c r="E660" s="22"/>
      <c r="F660" s="22"/>
    </row>
    <row r="661" spans="4:6" ht="15.75" customHeight="1">
      <c r="D661" s="4"/>
      <c r="E661" s="22"/>
      <c r="F661" s="22"/>
    </row>
    <row r="662" spans="4:6" ht="15.75" customHeight="1">
      <c r="D662" s="4"/>
      <c r="E662" s="22"/>
      <c r="F662" s="22"/>
    </row>
    <row r="663" spans="4:6" ht="15.75" customHeight="1">
      <c r="D663" s="4"/>
      <c r="E663" s="22"/>
      <c r="F663" s="22"/>
    </row>
    <row r="664" spans="4:6" ht="15.75" customHeight="1">
      <c r="D664" s="4"/>
      <c r="E664" s="22"/>
      <c r="F664" s="22"/>
    </row>
    <row r="665" spans="4:6" ht="15.75" customHeight="1">
      <c r="D665" s="4"/>
      <c r="E665" s="22"/>
      <c r="F665" s="22"/>
    </row>
    <row r="666" spans="4:6" ht="15.75" customHeight="1">
      <c r="D666" s="4"/>
      <c r="E666" s="22"/>
      <c r="F666" s="22"/>
    </row>
    <row r="667" spans="4:6" ht="15.75" customHeight="1">
      <c r="D667" s="4"/>
      <c r="E667" s="22"/>
      <c r="F667" s="22"/>
    </row>
    <row r="668" spans="4:6" ht="15.75" customHeight="1">
      <c r="D668" s="4"/>
      <c r="E668" s="22"/>
      <c r="F668" s="22"/>
    </row>
    <row r="669" spans="4:6" ht="15.75" customHeight="1">
      <c r="D669" s="4"/>
      <c r="E669" s="22"/>
      <c r="F669" s="22"/>
    </row>
    <row r="670" spans="4:6" ht="15.75" customHeight="1">
      <c r="D670" s="4"/>
      <c r="E670" s="22"/>
      <c r="F670" s="22"/>
    </row>
    <row r="671" spans="4:6" ht="15.75" customHeight="1">
      <c r="D671" s="4"/>
      <c r="E671" s="22"/>
      <c r="F671" s="22"/>
    </row>
    <row r="672" spans="4:6" ht="15.75" customHeight="1">
      <c r="D672" s="4"/>
      <c r="E672" s="22"/>
      <c r="F672" s="22"/>
    </row>
    <row r="673" spans="4:6" ht="15.75" customHeight="1">
      <c r="D673" s="4"/>
      <c r="E673" s="22"/>
      <c r="F673" s="22"/>
    </row>
    <row r="674" spans="4:6" ht="15.75" customHeight="1">
      <c r="D674" s="4"/>
      <c r="E674" s="22"/>
      <c r="F674" s="22"/>
    </row>
    <row r="675" spans="4:6" ht="15.75" customHeight="1">
      <c r="D675" s="4"/>
      <c r="E675" s="22"/>
      <c r="F675" s="22"/>
    </row>
    <row r="676" spans="4:6" ht="15.75" customHeight="1">
      <c r="D676" s="4"/>
      <c r="E676" s="22"/>
      <c r="F676" s="22"/>
    </row>
    <row r="677" spans="4:6" ht="15.75" customHeight="1">
      <c r="D677" s="4"/>
      <c r="E677" s="22"/>
      <c r="F677" s="22"/>
    </row>
    <row r="678" spans="4:6" ht="15.75" customHeight="1">
      <c r="D678" s="4"/>
      <c r="E678" s="22"/>
      <c r="F678" s="22"/>
    </row>
    <row r="679" spans="4:6" ht="15.75" customHeight="1">
      <c r="D679" s="4"/>
      <c r="E679" s="22"/>
      <c r="F679" s="22"/>
    </row>
    <row r="680" spans="4:6" ht="15.75" customHeight="1">
      <c r="D680" s="4"/>
      <c r="E680" s="22"/>
      <c r="F680" s="22"/>
    </row>
    <row r="681" spans="4:6" ht="15.75" customHeight="1">
      <c r="D681" s="4"/>
      <c r="E681" s="22"/>
      <c r="F681" s="22"/>
    </row>
    <row r="682" spans="4:6" ht="15.75" customHeight="1">
      <c r="D682" s="4"/>
      <c r="E682" s="22"/>
      <c r="F682" s="22"/>
    </row>
    <row r="683" spans="4:6" ht="15.75" customHeight="1">
      <c r="D683" s="4"/>
      <c r="E683" s="22"/>
      <c r="F683" s="22"/>
    </row>
    <row r="684" spans="4:6" ht="15.75" customHeight="1">
      <c r="D684" s="4"/>
      <c r="E684" s="22"/>
      <c r="F684" s="22"/>
    </row>
    <row r="685" spans="4:6" ht="15.75" customHeight="1">
      <c r="D685" s="4"/>
      <c r="E685" s="22"/>
      <c r="F685" s="22"/>
    </row>
    <row r="686" spans="4:6" ht="15.75" customHeight="1">
      <c r="D686" s="4"/>
      <c r="E686" s="22"/>
      <c r="F686" s="22"/>
    </row>
    <row r="687" spans="4:6" ht="15.75" customHeight="1">
      <c r="D687" s="4"/>
      <c r="E687" s="22"/>
      <c r="F687" s="22"/>
    </row>
    <row r="688" spans="4:6" ht="15.75" customHeight="1">
      <c r="D688" s="4"/>
      <c r="E688" s="22"/>
      <c r="F688" s="22"/>
    </row>
    <row r="689" spans="4:6" ht="15.75" customHeight="1">
      <c r="D689" s="4"/>
      <c r="E689" s="22"/>
      <c r="F689" s="22"/>
    </row>
    <row r="690" spans="4:6" ht="15.75" customHeight="1">
      <c r="D690" s="4"/>
      <c r="E690" s="22"/>
      <c r="F690" s="22"/>
    </row>
    <row r="691" spans="4:6" ht="15.75" customHeight="1">
      <c r="D691" s="4"/>
      <c r="E691" s="22"/>
      <c r="F691" s="22"/>
    </row>
    <row r="692" spans="4:6" ht="15.75" customHeight="1">
      <c r="D692" s="4"/>
      <c r="E692" s="22"/>
      <c r="F692" s="22"/>
    </row>
    <row r="693" spans="4:6" ht="15.75" customHeight="1">
      <c r="D693" s="4"/>
      <c r="E693" s="22"/>
      <c r="F693" s="22"/>
    </row>
    <row r="694" spans="4:6" ht="15.75" customHeight="1">
      <c r="D694" s="4"/>
      <c r="E694" s="22"/>
      <c r="F694" s="22"/>
    </row>
    <row r="695" spans="4:6" ht="15.75" customHeight="1">
      <c r="D695" s="4"/>
      <c r="E695" s="22"/>
      <c r="F695" s="22"/>
    </row>
    <row r="696" spans="4:6" ht="15.75" customHeight="1">
      <c r="D696" s="4"/>
      <c r="E696" s="22"/>
      <c r="F696" s="22"/>
    </row>
    <row r="697" spans="4:6" ht="15.75" customHeight="1">
      <c r="D697" s="4"/>
      <c r="E697" s="22"/>
      <c r="F697" s="22"/>
    </row>
    <row r="698" spans="4:6" ht="15.75" customHeight="1">
      <c r="D698" s="4"/>
      <c r="E698" s="22"/>
      <c r="F698" s="22"/>
    </row>
    <row r="699" spans="4:6" ht="15.75" customHeight="1">
      <c r="D699" s="4"/>
      <c r="E699" s="22"/>
      <c r="F699" s="22"/>
    </row>
    <row r="700" spans="4:6" ht="15.75" customHeight="1">
      <c r="D700" s="4"/>
      <c r="E700" s="22"/>
      <c r="F700" s="22"/>
    </row>
    <row r="701" spans="4:6" ht="15.75" customHeight="1">
      <c r="D701" s="4"/>
      <c r="E701" s="22"/>
      <c r="F701" s="22"/>
    </row>
    <row r="702" spans="4:6" ht="15.75" customHeight="1">
      <c r="D702" s="4"/>
      <c r="E702" s="22"/>
      <c r="F702" s="22"/>
    </row>
    <row r="703" spans="4:6" ht="15.75" customHeight="1">
      <c r="D703" s="4"/>
      <c r="E703" s="22"/>
      <c r="F703" s="22"/>
    </row>
    <row r="704" spans="4:6" ht="15.75" customHeight="1">
      <c r="D704" s="4"/>
      <c r="E704" s="22"/>
      <c r="F704" s="22"/>
    </row>
    <row r="705" spans="4:6" ht="15.75" customHeight="1">
      <c r="D705" s="4"/>
      <c r="E705" s="22"/>
      <c r="F705" s="22"/>
    </row>
    <row r="706" spans="4:6" ht="15.75" customHeight="1">
      <c r="D706" s="4"/>
      <c r="E706" s="22"/>
      <c r="F706" s="22"/>
    </row>
    <row r="707" spans="4:6" ht="15.75" customHeight="1">
      <c r="D707" s="4"/>
      <c r="E707" s="22"/>
      <c r="F707" s="22"/>
    </row>
    <row r="708" spans="4:6" ht="15.75" customHeight="1">
      <c r="D708" s="4"/>
      <c r="E708" s="22"/>
      <c r="F708" s="22"/>
    </row>
    <row r="709" spans="4:6" ht="15.75" customHeight="1">
      <c r="D709" s="4"/>
      <c r="E709" s="22"/>
      <c r="F709" s="22"/>
    </row>
    <row r="710" spans="4:6" ht="15.75" customHeight="1">
      <c r="D710" s="4"/>
      <c r="E710" s="22"/>
      <c r="F710" s="22"/>
    </row>
    <row r="711" spans="4:6" ht="15.75" customHeight="1">
      <c r="D711" s="4"/>
      <c r="E711" s="22"/>
      <c r="F711" s="22"/>
    </row>
    <row r="712" spans="4:6" ht="15.75" customHeight="1">
      <c r="D712" s="4"/>
      <c r="E712" s="22"/>
      <c r="F712" s="22"/>
    </row>
    <row r="713" spans="4:6" ht="15.75" customHeight="1">
      <c r="D713" s="4"/>
      <c r="E713" s="22"/>
      <c r="F713" s="22"/>
    </row>
    <row r="714" spans="4:6" ht="15.75" customHeight="1">
      <c r="D714" s="4"/>
      <c r="E714" s="22"/>
      <c r="F714" s="22"/>
    </row>
    <row r="715" spans="4:6" ht="15.75" customHeight="1">
      <c r="D715" s="4"/>
      <c r="E715" s="22"/>
      <c r="F715" s="22"/>
    </row>
    <row r="716" spans="4:6" ht="15.75" customHeight="1">
      <c r="D716" s="4"/>
      <c r="E716" s="22"/>
      <c r="F716" s="22"/>
    </row>
    <row r="717" spans="4:6" ht="15.75" customHeight="1">
      <c r="D717" s="4"/>
      <c r="E717" s="22"/>
      <c r="F717" s="22"/>
    </row>
    <row r="718" spans="4:6" ht="15.75" customHeight="1">
      <c r="D718" s="4"/>
      <c r="E718" s="22"/>
      <c r="F718" s="22"/>
    </row>
    <row r="719" spans="4:6" ht="15.75" customHeight="1">
      <c r="D719" s="4"/>
      <c r="E719" s="22"/>
      <c r="F719" s="22"/>
    </row>
    <row r="720" spans="4:6" ht="15.75" customHeight="1">
      <c r="D720" s="4"/>
      <c r="E720" s="22"/>
      <c r="F720" s="22"/>
    </row>
    <row r="721" spans="4:6" ht="15.75" customHeight="1">
      <c r="D721" s="4"/>
      <c r="E721" s="22"/>
      <c r="F721" s="22"/>
    </row>
    <row r="722" spans="4:6" ht="15.75" customHeight="1">
      <c r="D722" s="4"/>
      <c r="E722" s="22"/>
      <c r="F722" s="22"/>
    </row>
    <row r="723" spans="4:6" ht="15.75" customHeight="1">
      <c r="D723" s="4"/>
      <c r="E723" s="22"/>
      <c r="F723" s="22"/>
    </row>
    <row r="724" spans="4:6" ht="15.75" customHeight="1">
      <c r="D724" s="4"/>
      <c r="E724" s="22"/>
      <c r="F724" s="22"/>
    </row>
    <row r="725" spans="4:6" ht="15.75" customHeight="1">
      <c r="D725" s="4"/>
      <c r="E725" s="22"/>
      <c r="F725" s="22"/>
    </row>
    <row r="726" spans="4:6" ht="15.75" customHeight="1">
      <c r="D726" s="4"/>
      <c r="E726" s="22"/>
      <c r="F726" s="22"/>
    </row>
    <row r="727" spans="4:6" ht="15.75" customHeight="1">
      <c r="D727" s="4"/>
      <c r="E727" s="22"/>
      <c r="F727" s="22"/>
    </row>
    <row r="728" spans="4:6" ht="15.75" customHeight="1">
      <c r="D728" s="4"/>
      <c r="E728" s="22"/>
      <c r="F728" s="22"/>
    </row>
    <row r="729" spans="4:6" ht="15.75" customHeight="1">
      <c r="D729" s="4"/>
      <c r="E729" s="22"/>
      <c r="F729" s="22"/>
    </row>
    <row r="730" spans="4:6" ht="15.75" customHeight="1">
      <c r="D730" s="4"/>
      <c r="E730" s="22"/>
      <c r="F730" s="22"/>
    </row>
    <row r="731" spans="4:6" ht="15.75" customHeight="1">
      <c r="D731" s="4"/>
      <c r="E731" s="22"/>
      <c r="F731" s="22"/>
    </row>
    <row r="732" spans="4:6" ht="15.75" customHeight="1">
      <c r="D732" s="4"/>
      <c r="E732" s="22"/>
      <c r="F732" s="22"/>
    </row>
    <row r="733" spans="4:6" ht="15.75" customHeight="1">
      <c r="D733" s="4"/>
      <c r="E733" s="22"/>
      <c r="F733" s="22"/>
    </row>
    <row r="734" spans="4:6" ht="15.75" customHeight="1">
      <c r="D734" s="4"/>
      <c r="E734" s="22"/>
      <c r="F734" s="22"/>
    </row>
    <row r="735" spans="4:6" ht="15.75" customHeight="1">
      <c r="D735" s="4"/>
      <c r="E735" s="22"/>
      <c r="F735" s="22"/>
    </row>
    <row r="736" spans="4:6" ht="15.75" customHeight="1">
      <c r="D736" s="4"/>
      <c r="E736" s="22"/>
      <c r="F736" s="22"/>
    </row>
    <row r="737" spans="4:6" ht="15.75" customHeight="1">
      <c r="D737" s="4"/>
      <c r="E737" s="22"/>
      <c r="F737" s="22"/>
    </row>
    <row r="738" spans="4:6" ht="15.75" customHeight="1">
      <c r="D738" s="4"/>
      <c r="E738" s="22"/>
      <c r="F738" s="22"/>
    </row>
    <row r="739" spans="4:6" ht="15.75" customHeight="1">
      <c r="D739" s="4"/>
      <c r="E739" s="22"/>
      <c r="F739" s="22"/>
    </row>
    <row r="740" spans="4:6" ht="15.75" customHeight="1">
      <c r="D740" s="4"/>
      <c r="E740" s="22"/>
      <c r="F740" s="22"/>
    </row>
    <row r="741" spans="4:6" ht="15.75" customHeight="1">
      <c r="D741" s="4"/>
      <c r="E741" s="22"/>
      <c r="F741" s="22"/>
    </row>
    <row r="742" spans="4:6" ht="15.75" customHeight="1">
      <c r="D742" s="4"/>
      <c r="E742" s="22"/>
      <c r="F742" s="22"/>
    </row>
    <row r="743" spans="4:6" ht="15.75" customHeight="1">
      <c r="D743" s="4"/>
      <c r="E743" s="22"/>
      <c r="F743" s="22"/>
    </row>
    <row r="744" spans="4:6" ht="15.75" customHeight="1">
      <c r="D744" s="4"/>
      <c r="E744" s="22"/>
      <c r="F744" s="22"/>
    </row>
    <row r="745" spans="4:6" ht="15.75" customHeight="1">
      <c r="D745" s="4"/>
      <c r="E745" s="22"/>
      <c r="F745" s="22"/>
    </row>
    <row r="746" spans="4:6" ht="15.75" customHeight="1">
      <c r="D746" s="4"/>
      <c r="E746" s="22"/>
      <c r="F746" s="22"/>
    </row>
    <row r="747" spans="4:6" ht="15.75" customHeight="1">
      <c r="D747" s="4"/>
      <c r="E747" s="22"/>
      <c r="F747" s="22"/>
    </row>
    <row r="748" spans="4:6" ht="15.75" customHeight="1">
      <c r="D748" s="4"/>
      <c r="E748" s="22"/>
      <c r="F748" s="22"/>
    </row>
    <row r="749" spans="4:6" ht="15.75" customHeight="1">
      <c r="D749" s="4"/>
      <c r="E749" s="22"/>
      <c r="F749" s="22"/>
    </row>
    <row r="750" spans="4:6" ht="15.75" customHeight="1">
      <c r="D750" s="4"/>
      <c r="E750" s="22"/>
      <c r="F750" s="22"/>
    </row>
    <row r="751" spans="4:6" ht="15.75" customHeight="1">
      <c r="D751" s="4"/>
      <c r="E751" s="22"/>
      <c r="F751" s="22"/>
    </row>
    <row r="752" spans="4:6" ht="15.75" customHeight="1">
      <c r="D752" s="4"/>
      <c r="E752" s="22"/>
      <c r="F752" s="22"/>
    </row>
    <row r="753" spans="4:6" ht="15.75" customHeight="1">
      <c r="D753" s="4"/>
      <c r="E753" s="22"/>
      <c r="F753" s="22"/>
    </row>
    <row r="754" spans="4:6" ht="15.75" customHeight="1">
      <c r="D754" s="4"/>
      <c r="E754" s="22"/>
      <c r="F754" s="22"/>
    </row>
    <row r="755" spans="4:6" ht="15.75" customHeight="1">
      <c r="D755" s="4"/>
      <c r="E755" s="22"/>
      <c r="F755" s="22"/>
    </row>
    <row r="756" spans="4:6" ht="15.75" customHeight="1">
      <c r="D756" s="4"/>
      <c r="E756" s="22"/>
      <c r="F756" s="22"/>
    </row>
    <row r="757" spans="4:6" ht="15.75" customHeight="1">
      <c r="D757" s="4"/>
      <c r="E757" s="22"/>
      <c r="F757" s="22"/>
    </row>
    <row r="758" spans="4:6" ht="15.75" customHeight="1">
      <c r="D758" s="4"/>
      <c r="E758" s="22"/>
      <c r="F758" s="22"/>
    </row>
    <row r="759" spans="4:6" ht="15.75" customHeight="1">
      <c r="D759" s="4"/>
      <c r="E759" s="22"/>
      <c r="F759" s="22"/>
    </row>
    <row r="760" spans="4:6" ht="15.75" customHeight="1">
      <c r="D760" s="4"/>
      <c r="E760" s="22"/>
      <c r="F760" s="22"/>
    </row>
    <row r="761" spans="4:6" ht="15.75" customHeight="1">
      <c r="D761" s="4"/>
      <c r="E761" s="22"/>
      <c r="F761" s="22"/>
    </row>
    <row r="762" spans="4:6" ht="15.75" customHeight="1">
      <c r="D762" s="4"/>
      <c r="E762" s="22"/>
      <c r="F762" s="22"/>
    </row>
    <row r="763" spans="4:6" ht="15.75" customHeight="1">
      <c r="D763" s="4"/>
      <c r="E763" s="22"/>
      <c r="F763" s="22"/>
    </row>
    <row r="764" spans="4:6" ht="15.75" customHeight="1">
      <c r="D764" s="4"/>
      <c r="E764" s="22"/>
      <c r="F764" s="22"/>
    </row>
    <row r="765" spans="4:6" ht="15.75" customHeight="1">
      <c r="D765" s="4"/>
      <c r="E765" s="22"/>
      <c r="F765" s="22"/>
    </row>
    <row r="766" spans="4:6" ht="15.75" customHeight="1">
      <c r="D766" s="4"/>
      <c r="E766" s="22"/>
      <c r="F766" s="22"/>
    </row>
    <row r="767" spans="4:6" ht="15.75" customHeight="1">
      <c r="D767" s="4"/>
      <c r="E767" s="22"/>
      <c r="F767" s="22"/>
    </row>
    <row r="768" spans="4:6" ht="15.75" customHeight="1">
      <c r="D768" s="4"/>
      <c r="E768" s="22"/>
      <c r="F768" s="22"/>
    </row>
    <row r="769" spans="4:6" ht="15.75" customHeight="1">
      <c r="D769" s="4"/>
      <c r="E769" s="22"/>
      <c r="F769" s="22"/>
    </row>
    <row r="770" spans="4:6" ht="15.75" customHeight="1">
      <c r="D770" s="4"/>
      <c r="E770" s="22"/>
      <c r="F770" s="22"/>
    </row>
    <row r="771" spans="4:6" ht="15.75" customHeight="1">
      <c r="D771" s="4"/>
      <c r="E771" s="22"/>
      <c r="F771" s="22"/>
    </row>
    <row r="772" spans="4:6" ht="15.75" customHeight="1">
      <c r="D772" s="4"/>
      <c r="E772" s="22"/>
      <c r="F772" s="22"/>
    </row>
    <row r="773" spans="4:6" ht="15.75" customHeight="1">
      <c r="D773" s="4"/>
      <c r="E773" s="22"/>
      <c r="F773" s="22"/>
    </row>
    <row r="774" spans="4:6" ht="15.75" customHeight="1">
      <c r="D774" s="4"/>
      <c r="E774" s="22"/>
      <c r="F774" s="22"/>
    </row>
    <row r="775" spans="4:6" ht="15.75" customHeight="1">
      <c r="D775" s="4"/>
      <c r="E775" s="22"/>
      <c r="F775" s="22"/>
    </row>
    <row r="776" spans="4:6" ht="15.75" customHeight="1">
      <c r="D776" s="4"/>
      <c r="E776" s="22"/>
      <c r="F776" s="22"/>
    </row>
    <row r="777" spans="4:6" ht="15.75" customHeight="1">
      <c r="D777" s="4"/>
      <c r="E777" s="22"/>
      <c r="F777" s="22"/>
    </row>
    <row r="778" spans="4:6" ht="15.75" customHeight="1">
      <c r="D778" s="4"/>
      <c r="E778" s="22"/>
      <c r="F778" s="22"/>
    </row>
    <row r="779" spans="4:6" ht="15.75" customHeight="1">
      <c r="D779" s="4"/>
      <c r="E779" s="22"/>
      <c r="F779" s="22"/>
    </row>
    <row r="780" spans="4:6" ht="15.75" customHeight="1">
      <c r="D780" s="4"/>
      <c r="E780" s="22"/>
      <c r="F780" s="22"/>
    </row>
    <row r="781" spans="4:6" ht="15.75" customHeight="1">
      <c r="D781" s="4"/>
      <c r="E781" s="22"/>
      <c r="F781" s="22"/>
    </row>
    <row r="782" spans="4:6" ht="15.75" customHeight="1">
      <c r="D782" s="4"/>
      <c r="E782" s="22"/>
      <c r="F782" s="22"/>
    </row>
    <row r="783" spans="4:6" ht="15.75" customHeight="1">
      <c r="D783" s="4"/>
      <c r="E783" s="22"/>
      <c r="F783" s="22"/>
    </row>
    <row r="784" spans="4:6" ht="15.75" customHeight="1">
      <c r="D784" s="4"/>
      <c r="E784" s="22"/>
      <c r="F784" s="22"/>
    </row>
    <row r="785" spans="4:6" ht="15.75" customHeight="1">
      <c r="D785" s="4"/>
      <c r="E785" s="22"/>
      <c r="F785" s="22"/>
    </row>
    <row r="786" spans="4:6" ht="15.75" customHeight="1">
      <c r="D786" s="4"/>
      <c r="E786" s="22"/>
      <c r="F786" s="22"/>
    </row>
    <row r="787" spans="4:6" ht="15.75" customHeight="1">
      <c r="D787" s="4"/>
      <c r="E787" s="22"/>
      <c r="F787" s="22"/>
    </row>
    <row r="788" spans="4:6" ht="15.75" customHeight="1">
      <c r="D788" s="4"/>
      <c r="E788" s="22"/>
      <c r="F788" s="22"/>
    </row>
    <row r="789" spans="4:6" ht="15.75" customHeight="1">
      <c r="D789" s="4"/>
      <c r="E789" s="22"/>
      <c r="F789" s="22"/>
    </row>
    <row r="790" spans="4:6" ht="15.75" customHeight="1">
      <c r="D790" s="4"/>
      <c r="E790" s="22"/>
      <c r="F790" s="22"/>
    </row>
    <row r="791" spans="4:6" ht="15.75" customHeight="1">
      <c r="D791" s="4"/>
      <c r="E791" s="22"/>
      <c r="F791" s="22"/>
    </row>
    <row r="792" spans="4:6" ht="15.75" customHeight="1">
      <c r="D792" s="4"/>
      <c r="E792" s="22"/>
      <c r="F792" s="22"/>
    </row>
    <row r="793" spans="4:6" ht="15.75" customHeight="1">
      <c r="D793" s="4"/>
      <c r="E793" s="22"/>
      <c r="F793" s="22"/>
    </row>
    <row r="794" spans="4:6" ht="15.75" customHeight="1">
      <c r="D794" s="4"/>
      <c r="E794" s="22"/>
      <c r="F794" s="22"/>
    </row>
    <row r="795" spans="4:6" ht="15.75" customHeight="1">
      <c r="D795" s="4"/>
      <c r="E795" s="22"/>
      <c r="F795" s="22"/>
    </row>
    <row r="796" spans="4:6" ht="15.75" customHeight="1">
      <c r="D796" s="4"/>
      <c r="E796" s="22"/>
      <c r="F796" s="22"/>
    </row>
    <row r="797" spans="4:6" ht="15.75" customHeight="1">
      <c r="D797" s="4"/>
      <c r="E797" s="22"/>
      <c r="F797" s="22"/>
    </row>
    <row r="798" spans="4:6" ht="15.75" customHeight="1">
      <c r="D798" s="4"/>
      <c r="E798" s="22"/>
      <c r="F798" s="22"/>
    </row>
    <row r="799" spans="4:6" ht="15.75" customHeight="1">
      <c r="D799" s="4"/>
      <c r="E799" s="22"/>
      <c r="F799" s="22"/>
    </row>
    <row r="800" spans="4:6" ht="15.75" customHeight="1">
      <c r="D800" s="4"/>
      <c r="E800" s="22"/>
      <c r="F800" s="22"/>
    </row>
    <row r="801" spans="4:6" ht="15.75" customHeight="1">
      <c r="D801" s="4"/>
      <c r="E801" s="22"/>
      <c r="F801" s="22"/>
    </row>
    <row r="802" spans="4:6" ht="15.75" customHeight="1">
      <c r="D802" s="4"/>
      <c r="E802" s="22"/>
      <c r="F802" s="22"/>
    </row>
    <row r="803" spans="4:6" ht="15.75" customHeight="1">
      <c r="D803" s="4"/>
      <c r="E803" s="22"/>
      <c r="F803" s="22"/>
    </row>
    <row r="804" spans="4:6" ht="15.75" customHeight="1">
      <c r="D804" s="4"/>
      <c r="E804" s="22"/>
      <c r="F804" s="22"/>
    </row>
    <row r="805" spans="4:6" ht="15.75" customHeight="1">
      <c r="D805" s="4"/>
      <c r="E805" s="22"/>
      <c r="F805" s="22"/>
    </row>
    <row r="806" spans="4:6" ht="15.75" customHeight="1">
      <c r="D806" s="4"/>
      <c r="E806" s="22"/>
      <c r="F806" s="22"/>
    </row>
    <row r="807" spans="4:6" ht="15.75" customHeight="1">
      <c r="D807" s="4"/>
      <c r="E807" s="22"/>
      <c r="F807" s="22"/>
    </row>
    <row r="808" spans="4:6" ht="15.75" customHeight="1">
      <c r="D808" s="4"/>
      <c r="E808" s="22"/>
      <c r="F808" s="22"/>
    </row>
    <row r="809" spans="4:6" ht="15.75" customHeight="1">
      <c r="D809" s="4"/>
      <c r="E809" s="22"/>
      <c r="F809" s="22"/>
    </row>
    <row r="810" spans="4:6" ht="15.75" customHeight="1">
      <c r="D810" s="4"/>
      <c r="E810" s="22"/>
      <c r="F810" s="22"/>
    </row>
    <row r="811" spans="4:6" ht="15.75" customHeight="1">
      <c r="D811" s="4"/>
      <c r="E811" s="22"/>
      <c r="F811" s="22"/>
    </row>
    <row r="812" spans="4:6" ht="15.75" customHeight="1">
      <c r="D812" s="4"/>
      <c r="E812" s="22"/>
      <c r="F812" s="22"/>
    </row>
    <row r="813" spans="4:6" ht="15.75" customHeight="1">
      <c r="D813" s="4"/>
      <c r="E813" s="22"/>
      <c r="F813" s="22"/>
    </row>
    <row r="814" spans="4:6" ht="15.75" customHeight="1">
      <c r="D814" s="4"/>
      <c r="E814" s="22"/>
      <c r="F814" s="22"/>
    </row>
    <row r="815" spans="4:6" ht="15.75" customHeight="1">
      <c r="D815" s="4"/>
      <c r="E815" s="22"/>
      <c r="F815" s="22"/>
    </row>
    <row r="816" spans="4:6" ht="15.75" customHeight="1">
      <c r="D816" s="4"/>
      <c r="E816" s="22"/>
      <c r="F816" s="22"/>
    </row>
    <row r="817" spans="4:6" ht="15.75" customHeight="1">
      <c r="D817" s="4"/>
      <c r="E817" s="22"/>
      <c r="F817" s="22"/>
    </row>
    <row r="818" spans="4:6" ht="15.75" customHeight="1">
      <c r="D818" s="4"/>
      <c r="E818" s="22"/>
      <c r="F818" s="22"/>
    </row>
    <row r="819" spans="4:6" ht="15.75" customHeight="1">
      <c r="D819" s="4"/>
      <c r="E819" s="22"/>
      <c r="F819" s="22"/>
    </row>
    <row r="820" spans="4:6" ht="15.75" customHeight="1">
      <c r="D820" s="4"/>
      <c r="E820" s="22"/>
      <c r="F820" s="22"/>
    </row>
    <row r="821" spans="4:6" ht="15.75" customHeight="1">
      <c r="D821" s="4"/>
      <c r="E821" s="22"/>
      <c r="F821" s="22"/>
    </row>
    <row r="822" spans="4:6" ht="15.75" customHeight="1">
      <c r="D822" s="4"/>
      <c r="E822" s="22"/>
      <c r="F822" s="22"/>
    </row>
    <row r="823" spans="4:6" ht="15.75" customHeight="1">
      <c r="D823" s="4"/>
      <c r="E823" s="22"/>
      <c r="F823" s="22"/>
    </row>
    <row r="824" spans="4:6" ht="15.75" customHeight="1">
      <c r="D824" s="4"/>
      <c r="E824" s="22"/>
      <c r="F824" s="22"/>
    </row>
    <row r="825" spans="4:6" ht="15.75" customHeight="1">
      <c r="D825" s="4"/>
      <c r="E825" s="22"/>
      <c r="F825" s="22"/>
    </row>
    <row r="826" spans="4:6" ht="15.75" customHeight="1">
      <c r="D826" s="4"/>
      <c r="E826" s="22"/>
      <c r="F826" s="22"/>
    </row>
    <row r="827" spans="4:6" ht="15.75" customHeight="1">
      <c r="D827" s="4"/>
      <c r="E827" s="22"/>
      <c r="F827" s="22"/>
    </row>
    <row r="828" spans="4:6" ht="15.75" customHeight="1">
      <c r="D828" s="4"/>
      <c r="E828" s="22"/>
      <c r="F828" s="22"/>
    </row>
    <row r="829" spans="4:6" ht="15.75" customHeight="1">
      <c r="D829" s="4"/>
      <c r="E829" s="22"/>
      <c r="F829" s="22"/>
    </row>
    <row r="830" spans="4:6" ht="15.75" customHeight="1">
      <c r="D830" s="4"/>
      <c r="E830" s="22"/>
      <c r="F830" s="22"/>
    </row>
    <row r="831" spans="4:6" ht="15.75" customHeight="1">
      <c r="D831" s="4"/>
      <c r="E831" s="22"/>
      <c r="F831" s="22"/>
    </row>
    <row r="832" spans="4:6" ht="15.75" customHeight="1">
      <c r="D832" s="4"/>
      <c r="E832" s="22"/>
      <c r="F832" s="22"/>
    </row>
    <row r="833" spans="4:6" ht="15.75" customHeight="1">
      <c r="D833" s="4"/>
      <c r="E833" s="22"/>
      <c r="F833" s="22"/>
    </row>
    <row r="834" spans="4:6" ht="15.75" customHeight="1">
      <c r="D834" s="4"/>
      <c r="E834" s="22"/>
      <c r="F834" s="22"/>
    </row>
    <row r="835" spans="4:6" ht="15.75" customHeight="1">
      <c r="D835" s="4"/>
      <c r="E835" s="22"/>
      <c r="F835" s="22"/>
    </row>
    <row r="836" spans="4:6" ht="15.75" customHeight="1">
      <c r="D836" s="4"/>
      <c r="E836" s="22"/>
      <c r="F836" s="22"/>
    </row>
    <row r="837" spans="4:6" ht="15.75" customHeight="1">
      <c r="D837" s="4"/>
      <c r="E837" s="22"/>
      <c r="F837" s="22"/>
    </row>
    <row r="838" spans="4:6" ht="15.75" customHeight="1">
      <c r="D838" s="4"/>
      <c r="E838" s="22"/>
      <c r="F838" s="22"/>
    </row>
    <row r="839" spans="4:6" ht="15.75" customHeight="1">
      <c r="D839" s="4"/>
      <c r="E839" s="22"/>
      <c r="F839" s="22"/>
    </row>
    <row r="840" spans="4:6" ht="15.75" customHeight="1">
      <c r="D840" s="4"/>
      <c r="E840" s="22"/>
      <c r="F840" s="22"/>
    </row>
    <row r="841" spans="4:6" ht="15.75" customHeight="1">
      <c r="D841" s="4"/>
      <c r="E841" s="22"/>
      <c r="F841" s="22"/>
    </row>
    <row r="842" spans="4:6" ht="15.75" customHeight="1">
      <c r="D842" s="4"/>
      <c r="E842" s="22"/>
      <c r="F842" s="22"/>
    </row>
    <row r="843" spans="4:6" ht="15.75" customHeight="1">
      <c r="D843" s="4"/>
      <c r="E843" s="22"/>
      <c r="F843" s="22"/>
    </row>
    <row r="844" spans="4:6" ht="15.75" customHeight="1">
      <c r="D844" s="4"/>
      <c r="E844" s="22"/>
      <c r="F844" s="22"/>
    </row>
    <row r="845" spans="4:6" ht="15.75" customHeight="1">
      <c r="D845" s="4"/>
      <c r="E845" s="22"/>
      <c r="F845" s="22"/>
    </row>
    <row r="846" spans="4:6" ht="15.75" customHeight="1">
      <c r="D846" s="4"/>
      <c r="E846" s="22"/>
      <c r="F846" s="22"/>
    </row>
    <row r="847" spans="4:6" ht="15.75" customHeight="1">
      <c r="D847" s="4"/>
      <c r="E847" s="22"/>
      <c r="F847" s="22"/>
    </row>
    <row r="848" spans="4:6" ht="15.75" customHeight="1">
      <c r="D848" s="4"/>
      <c r="E848" s="22"/>
      <c r="F848" s="22"/>
    </row>
    <row r="849" spans="4:6" ht="15.75" customHeight="1">
      <c r="D849" s="4"/>
      <c r="E849" s="22"/>
      <c r="F849" s="22"/>
    </row>
    <row r="850" spans="4:6" ht="15.75" customHeight="1">
      <c r="D850" s="4"/>
      <c r="E850" s="22"/>
      <c r="F850" s="22"/>
    </row>
    <row r="851" spans="4:6" ht="15.75" customHeight="1">
      <c r="D851" s="4"/>
      <c r="E851" s="22"/>
      <c r="F851" s="22"/>
    </row>
    <row r="852" spans="4:6" ht="15.75" customHeight="1">
      <c r="D852" s="4"/>
      <c r="E852" s="22"/>
      <c r="F852" s="22"/>
    </row>
    <row r="853" spans="4:6" ht="15.75" customHeight="1">
      <c r="D853" s="4"/>
      <c r="E853" s="22"/>
      <c r="F853" s="22"/>
    </row>
    <row r="854" spans="4:6" ht="15.75" customHeight="1">
      <c r="D854" s="4"/>
      <c r="E854" s="22"/>
      <c r="F854" s="22"/>
    </row>
    <row r="855" spans="4:6" ht="15.75" customHeight="1">
      <c r="D855" s="4"/>
      <c r="E855" s="22"/>
      <c r="F855" s="22"/>
    </row>
    <row r="856" spans="4:6" ht="15.75" customHeight="1">
      <c r="D856" s="4"/>
      <c r="E856" s="22"/>
      <c r="F856" s="22"/>
    </row>
    <row r="857" spans="4:6" ht="15.75" customHeight="1">
      <c r="D857" s="4"/>
      <c r="E857" s="22"/>
      <c r="F857" s="22"/>
    </row>
    <row r="858" spans="4:6" ht="15.75" customHeight="1">
      <c r="D858" s="4"/>
      <c r="E858" s="22"/>
      <c r="F858" s="22"/>
    </row>
    <row r="859" spans="4:6" ht="15.75" customHeight="1">
      <c r="D859" s="4"/>
      <c r="E859" s="22"/>
      <c r="F859" s="22"/>
    </row>
    <row r="860" spans="4:6" ht="15.75" customHeight="1">
      <c r="D860" s="4"/>
      <c r="E860" s="22"/>
      <c r="F860" s="22"/>
    </row>
    <row r="861" spans="4:6" ht="15.75" customHeight="1">
      <c r="D861" s="4"/>
      <c r="E861" s="22"/>
      <c r="F861" s="22"/>
    </row>
    <row r="862" spans="4:6" ht="15.75" customHeight="1">
      <c r="D862" s="4"/>
      <c r="E862" s="22"/>
      <c r="F862" s="22"/>
    </row>
    <row r="863" spans="4:6" ht="15.75" customHeight="1">
      <c r="D863" s="4"/>
      <c r="E863" s="22"/>
      <c r="F863" s="22"/>
    </row>
    <row r="864" spans="4:6" ht="15.75" customHeight="1">
      <c r="D864" s="4"/>
      <c r="E864" s="22"/>
      <c r="F864" s="22"/>
    </row>
    <row r="865" spans="4:6" ht="15.75" customHeight="1">
      <c r="D865" s="4"/>
      <c r="E865" s="22"/>
      <c r="F865" s="22"/>
    </row>
    <row r="866" spans="4:6" ht="15.75" customHeight="1">
      <c r="D866" s="4"/>
      <c r="E866" s="22"/>
      <c r="F866" s="22"/>
    </row>
    <row r="867" spans="4:6" ht="15.75" customHeight="1">
      <c r="D867" s="4"/>
      <c r="E867" s="22"/>
      <c r="F867" s="22"/>
    </row>
    <row r="868" spans="4:6" ht="15.75" customHeight="1">
      <c r="D868" s="4"/>
      <c r="E868" s="22"/>
      <c r="F868" s="22"/>
    </row>
    <row r="869" spans="4:6" ht="15.75" customHeight="1">
      <c r="D869" s="4"/>
      <c r="E869" s="22"/>
      <c r="F869" s="22"/>
    </row>
    <row r="870" spans="4:6" ht="15.75" customHeight="1">
      <c r="D870" s="4"/>
      <c r="E870" s="22"/>
      <c r="F870" s="22"/>
    </row>
    <row r="871" spans="4:6" ht="15.75" customHeight="1">
      <c r="D871" s="4"/>
      <c r="E871" s="22"/>
      <c r="F871" s="22"/>
    </row>
    <row r="872" spans="4:6" ht="15.75" customHeight="1">
      <c r="D872" s="4"/>
      <c r="E872" s="22"/>
      <c r="F872" s="22"/>
    </row>
    <row r="873" spans="4:6" ht="15.75" customHeight="1">
      <c r="D873" s="4"/>
      <c r="E873" s="22"/>
      <c r="F873" s="22"/>
    </row>
    <row r="874" spans="4:6" ht="15.75" customHeight="1">
      <c r="D874" s="4"/>
      <c r="E874" s="22"/>
      <c r="F874" s="22"/>
    </row>
    <row r="875" spans="4:6" ht="15.75" customHeight="1">
      <c r="D875" s="4"/>
      <c r="E875" s="22"/>
      <c r="F875" s="22"/>
    </row>
    <row r="876" spans="4:6" ht="15.75" customHeight="1">
      <c r="D876" s="4"/>
      <c r="E876" s="22"/>
      <c r="F876" s="22"/>
    </row>
    <row r="877" spans="4:6" ht="15.75" customHeight="1">
      <c r="D877" s="4"/>
      <c r="E877" s="22"/>
      <c r="F877" s="22"/>
    </row>
    <row r="878" spans="4:6" ht="15.75" customHeight="1">
      <c r="D878" s="4"/>
      <c r="E878" s="22"/>
      <c r="F878" s="22"/>
    </row>
    <row r="879" spans="4:6" ht="15.75" customHeight="1">
      <c r="D879" s="4"/>
      <c r="E879" s="22"/>
      <c r="F879" s="22"/>
    </row>
    <row r="880" spans="4:6" ht="15.75" customHeight="1">
      <c r="D880" s="4"/>
      <c r="E880" s="22"/>
      <c r="F880" s="22"/>
    </row>
    <row r="881" spans="4:6" ht="15.75" customHeight="1">
      <c r="D881" s="4"/>
      <c r="E881" s="22"/>
      <c r="F881" s="22"/>
    </row>
    <row r="882" spans="4:6" ht="15.75" customHeight="1">
      <c r="D882" s="4"/>
      <c r="E882" s="22"/>
      <c r="F882" s="22"/>
    </row>
    <row r="883" spans="4:6" ht="15.75" customHeight="1">
      <c r="D883" s="4"/>
      <c r="E883" s="22"/>
      <c r="F883" s="22"/>
    </row>
    <row r="884" spans="4:6" ht="15.75" customHeight="1">
      <c r="D884" s="4"/>
      <c r="E884" s="22"/>
      <c r="F884" s="22"/>
    </row>
    <row r="885" spans="4:6" ht="15.75" customHeight="1">
      <c r="D885" s="4"/>
      <c r="E885" s="22"/>
      <c r="F885" s="22"/>
    </row>
    <row r="886" spans="4:6" ht="15.75" customHeight="1">
      <c r="D886" s="4"/>
      <c r="E886" s="22"/>
      <c r="F886" s="22"/>
    </row>
    <row r="887" spans="4:6" ht="15.75" customHeight="1">
      <c r="D887" s="4"/>
      <c r="E887" s="22"/>
      <c r="F887" s="22"/>
    </row>
    <row r="888" spans="4:6" ht="15.75" customHeight="1">
      <c r="D888" s="4"/>
      <c r="E888" s="22"/>
      <c r="F888" s="22"/>
    </row>
    <row r="889" spans="4:6" ht="15.75" customHeight="1">
      <c r="D889" s="4"/>
      <c r="E889" s="22"/>
      <c r="F889" s="22"/>
    </row>
    <row r="890" spans="4:6" ht="15.75" customHeight="1">
      <c r="D890" s="4"/>
      <c r="E890" s="22"/>
      <c r="F890" s="22"/>
    </row>
    <row r="891" spans="4:6" ht="15.75" customHeight="1">
      <c r="D891" s="4"/>
      <c r="E891" s="22"/>
      <c r="F891" s="22"/>
    </row>
    <row r="892" spans="4:6" ht="15.75" customHeight="1">
      <c r="D892" s="4"/>
      <c r="E892" s="22"/>
      <c r="F892" s="22"/>
    </row>
    <row r="893" spans="4:6" ht="15.75" customHeight="1">
      <c r="D893" s="4"/>
      <c r="E893" s="22"/>
      <c r="F893" s="22"/>
    </row>
    <row r="894" spans="4:6" ht="15.75" customHeight="1">
      <c r="D894" s="4"/>
      <c r="E894" s="22"/>
      <c r="F894" s="22"/>
    </row>
    <row r="895" spans="4:6" ht="15.75" customHeight="1">
      <c r="D895" s="4"/>
      <c r="E895" s="22"/>
      <c r="F895" s="22"/>
    </row>
    <row r="896" spans="4:6" ht="15.75" customHeight="1">
      <c r="D896" s="4"/>
      <c r="E896" s="22"/>
      <c r="F896" s="22"/>
    </row>
    <row r="897" spans="4:6" ht="15.75" customHeight="1">
      <c r="D897" s="4"/>
      <c r="E897" s="22"/>
      <c r="F897" s="22"/>
    </row>
    <row r="898" spans="4:6" ht="15.75" customHeight="1">
      <c r="D898" s="4"/>
      <c r="E898" s="22"/>
      <c r="F898" s="22"/>
    </row>
    <row r="899" spans="4:6" ht="15.75" customHeight="1">
      <c r="D899" s="4"/>
      <c r="E899" s="22"/>
      <c r="F899" s="22"/>
    </row>
    <row r="900" spans="4:6" ht="15.75" customHeight="1">
      <c r="D900" s="4"/>
      <c r="E900" s="22"/>
      <c r="F900" s="22"/>
    </row>
    <row r="901" spans="4:6" ht="15.75" customHeight="1">
      <c r="D901" s="4"/>
      <c r="E901" s="22"/>
      <c r="F901" s="22"/>
    </row>
    <row r="902" spans="4:6" ht="15.75" customHeight="1">
      <c r="D902" s="4"/>
      <c r="E902" s="22"/>
      <c r="F902" s="22"/>
    </row>
    <row r="903" spans="4:6" ht="15.75" customHeight="1">
      <c r="D903" s="4"/>
      <c r="E903" s="22"/>
      <c r="F903" s="22"/>
    </row>
    <row r="904" spans="4:6" ht="15.75" customHeight="1">
      <c r="D904" s="4"/>
      <c r="E904" s="22"/>
      <c r="F904" s="22"/>
    </row>
    <row r="905" spans="4:6" ht="15.75" customHeight="1">
      <c r="D905" s="4"/>
      <c r="E905" s="22"/>
      <c r="F905" s="22"/>
    </row>
    <row r="906" spans="4:6" ht="15.75" customHeight="1">
      <c r="D906" s="4"/>
      <c r="E906" s="22"/>
      <c r="F906" s="22"/>
    </row>
    <row r="907" spans="4:6" ht="15.75" customHeight="1">
      <c r="D907" s="4"/>
      <c r="E907" s="22"/>
      <c r="F907" s="22"/>
    </row>
    <row r="908" spans="4:6" ht="15.75" customHeight="1">
      <c r="D908" s="4"/>
      <c r="E908" s="22"/>
      <c r="F908" s="22"/>
    </row>
    <row r="909" spans="4:6" ht="15.75" customHeight="1">
      <c r="D909" s="4"/>
      <c r="E909" s="22"/>
      <c r="F909" s="22"/>
    </row>
    <row r="910" spans="4:6" ht="15.75" customHeight="1">
      <c r="D910" s="4"/>
      <c r="E910" s="22"/>
      <c r="F910" s="22"/>
    </row>
    <row r="911" spans="4:6" ht="15.75" customHeight="1">
      <c r="D911" s="4"/>
      <c r="E911" s="22"/>
      <c r="F911" s="22"/>
    </row>
    <row r="912" spans="4:6" ht="15.75" customHeight="1">
      <c r="D912" s="4"/>
      <c r="E912" s="22"/>
      <c r="F912" s="22"/>
    </row>
    <row r="913" spans="4:6" ht="15.75" customHeight="1">
      <c r="D913" s="4"/>
      <c r="E913" s="22"/>
      <c r="F913" s="22"/>
    </row>
    <row r="914" spans="4:6" ht="15.75" customHeight="1">
      <c r="D914" s="4"/>
      <c r="E914" s="22"/>
      <c r="F914" s="22"/>
    </row>
    <row r="915" spans="4:6" ht="15.75" customHeight="1">
      <c r="D915" s="4"/>
      <c r="E915" s="22"/>
      <c r="F915" s="22"/>
    </row>
    <row r="916" spans="4:6" ht="15.75" customHeight="1">
      <c r="D916" s="4"/>
      <c r="E916" s="22"/>
      <c r="F916" s="22"/>
    </row>
    <row r="917" spans="4:6" ht="15.75" customHeight="1">
      <c r="D917" s="4"/>
      <c r="E917" s="22"/>
      <c r="F917" s="22"/>
    </row>
    <row r="918" spans="4:6" ht="15.75" customHeight="1">
      <c r="D918" s="4"/>
      <c r="E918" s="22"/>
      <c r="F918" s="22"/>
    </row>
    <row r="919" spans="4:6" ht="15.75" customHeight="1">
      <c r="D919" s="4"/>
      <c r="E919" s="22"/>
      <c r="F919" s="22"/>
    </row>
    <row r="920" spans="4:6" ht="15.75" customHeight="1">
      <c r="D920" s="4"/>
      <c r="E920" s="22"/>
      <c r="F920" s="22"/>
    </row>
    <row r="921" spans="4:6" ht="15.75" customHeight="1">
      <c r="D921" s="4"/>
      <c r="E921" s="22"/>
      <c r="F921" s="22"/>
    </row>
    <row r="922" spans="4:6" ht="15.75" customHeight="1">
      <c r="D922" s="4"/>
      <c r="E922" s="22"/>
      <c r="F922" s="22"/>
    </row>
    <row r="923" spans="4:6" ht="15.75" customHeight="1">
      <c r="D923" s="4"/>
      <c r="E923" s="22"/>
      <c r="F923" s="22"/>
    </row>
    <row r="924" spans="4:6" ht="15.75" customHeight="1">
      <c r="D924" s="4"/>
      <c r="E924" s="22"/>
      <c r="F924" s="22"/>
    </row>
    <row r="925" spans="4:6" ht="15.75" customHeight="1">
      <c r="D925" s="4"/>
      <c r="E925" s="22"/>
      <c r="F925" s="22"/>
    </row>
    <row r="926" spans="4:6" ht="15.75" customHeight="1">
      <c r="D926" s="4"/>
      <c r="E926" s="22"/>
      <c r="F926" s="22"/>
    </row>
    <row r="927" spans="4:6" ht="15.75" customHeight="1">
      <c r="D927" s="4"/>
      <c r="E927" s="22"/>
      <c r="F927" s="22"/>
    </row>
    <row r="928" spans="4:6" ht="15.75" customHeight="1">
      <c r="D928" s="4"/>
      <c r="E928" s="22"/>
      <c r="F928" s="22"/>
    </row>
    <row r="929" spans="4:6" ht="15.75" customHeight="1">
      <c r="D929" s="4"/>
      <c r="E929" s="22"/>
      <c r="F929" s="22"/>
    </row>
    <row r="930" spans="4:6" ht="15.75" customHeight="1">
      <c r="D930" s="4"/>
      <c r="E930" s="22"/>
      <c r="F930" s="22"/>
    </row>
    <row r="931" spans="4:6" ht="15.75" customHeight="1">
      <c r="D931" s="4"/>
      <c r="E931" s="22"/>
      <c r="F931" s="22"/>
    </row>
    <row r="932" spans="4:6" ht="15.75" customHeight="1">
      <c r="D932" s="4"/>
      <c r="E932" s="22"/>
      <c r="F932" s="22"/>
    </row>
    <row r="933" spans="4:6" ht="15.75" customHeight="1">
      <c r="D933" s="4"/>
      <c r="E933" s="22"/>
      <c r="F933" s="22"/>
    </row>
    <row r="934" spans="4:6" ht="15.75" customHeight="1">
      <c r="D934" s="4"/>
      <c r="E934" s="22"/>
      <c r="F934" s="22"/>
    </row>
    <row r="935" spans="4:6" ht="15.75" customHeight="1">
      <c r="D935" s="4"/>
      <c r="E935" s="22"/>
      <c r="F935" s="22"/>
    </row>
    <row r="936" spans="4:6" ht="15.75" customHeight="1">
      <c r="D936" s="4"/>
      <c r="E936" s="22"/>
      <c r="F936" s="22"/>
    </row>
    <row r="937" spans="4:6" ht="15.75" customHeight="1">
      <c r="D937" s="4"/>
      <c r="E937" s="22"/>
      <c r="F937" s="22"/>
    </row>
    <row r="938" spans="4:6" ht="15.75" customHeight="1">
      <c r="D938" s="4"/>
      <c r="E938" s="22"/>
      <c r="F938" s="22"/>
    </row>
    <row r="939" spans="4:6" ht="15.75" customHeight="1">
      <c r="D939" s="4"/>
      <c r="E939" s="22"/>
      <c r="F939" s="22"/>
    </row>
    <row r="940" spans="4:6" ht="15.75" customHeight="1">
      <c r="D940" s="4"/>
      <c r="E940" s="22"/>
      <c r="F940" s="22"/>
    </row>
    <row r="941" spans="4:6" ht="15.75" customHeight="1">
      <c r="D941" s="4"/>
      <c r="E941" s="22"/>
      <c r="F941" s="22"/>
    </row>
    <row r="942" spans="4:6" ht="15.75" customHeight="1">
      <c r="D942" s="4"/>
      <c r="E942" s="22"/>
      <c r="F942" s="22"/>
    </row>
    <row r="943" spans="4:6" ht="15.75" customHeight="1">
      <c r="D943" s="4"/>
      <c r="E943" s="22"/>
      <c r="F943" s="22"/>
    </row>
    <row r="944" spans="4:6" ht="15.75" customHeight="1">
      <c r="D944" s="4"/>
      <c r="E944" s="22"/>
      <c r="F944" s="22"/>
    </row>
    <row r="945" spans="4:6" ht="15.75" customHeight="1">
      <c r="D945" s="4"/>
      <c r="E945" s="22"/>
      <c r="F945" s="22"/>
    </row>
    <row r="946" spans="4:6" ht="15.75" customHeight="1">
      <c r="D946" s="4"/>
      <c r="E946" s="22"/>
      <c r="F946" s="22"/>
    </row>
    <row r="947" spans="4:6" ht="15.75" customHeight="1">
      <c r="D947" s="4"/>
      <c r="E947" s="22"/>
      <c r="F947" s="22"/>
    </row>
    <row r="948" spans="4:6" ht="15.75" customHeight="1">
      <c r="D948" s="4"/>
      <c r="E948" s="22"/>
      <c r="F948" s="22"/>
    </row>
    <row r="949" spans="4:6" ht="15.75" customHeight="1">
      <c r="D949" s="4"/>
      <c r="E949" s="22"/>
      <c r="F949" s="22"/>
    </row>
    <row r="950" spans="4:6" ht="15.75" customHeight="1">
      <c r="D950" s="4"/>
      <c r="E950" s="22"/>
      <c r="F950" s="22"/>
    </row>
    <row r="951" spans="4:6" ht="15.75" customHeight="1">
      <c r="D951" s="4"/>
      <c r="E951" s="22"/>
      <c r="F951" s="22"/>
    </row>
    <row r="952" spans="4:6" ht="15.75" customHeight="1">
      <c r="D952" s="4"/>
      <c r="E952" s="22"/>
      <c r="F952" s="22"/>
    </row>
    <row r="953" spans="4:6" ht="15.75" customHeight="1">
      <c r="D953" s="4"/>
      <c r="E953" s="22"/>
      <c r="F953" s="22"/>
    </row>
    <row r="954" spans="4:6" ht="15.75" customHeight="1">
      <c r="D954" s="4"/>
      <c r="E954" s="22"/>
      <c r="F954" s="22"/>
    </row>
    <row r="955" spans="4:6" ht="15.75" customHeight="1">
      <c r="D955" s="4"/>
      <c r="E955" s="22"/>
      <c r="F955" s="22"/>
    </row>
    <row r="956" spans="4:6" ht="15.75" customHeight="1">
      <c r="D956" s="4"/>
      <c r="E956" s="22"/>
      <c r="F956" s="22"/>
    </row>
    <row r="957" spans="4:6" ht="15.75" customHeight="1">
      <c r="D957" s="4"/>
      <c r="E957" s="22"/>
      <c r="F957" s="22"/>
    </row>
    <row r="958" spans="4:6" ht="15.75" customHeight="1">
      <c r="D958" s="4"/>
      <c r="E958" s="22"/>
      <c r="F958" s="22"/>
    </row>
    <row r="959" spans="4:6" ht="15.75" customHeight="1">
      <c r="D959" s="4"/>
      <c r="E959" s="22"/>
      <c r="F959" s="22"/>
    </row>
    <row r="960" spans="4:6" ht="15.75" customHeight="1">
      <c r="D960" s="4"/>
      <c r="E960" s="22"/>
      <c r="F960" s="22"/>
    </row>
    <row r="961" spans="4:6" ht="15.75" customHeight="1">
      <c r="D961" s="4"/>
      <c r="E961" s="22"/>
      <c r="F961" s="22"/>
    </row>
    <row r="962" spans="4:6" ht="15.75" customHeight="1">
      <c r="D962" s="4"/>
      <c r="E962" s="22"/>
      <c r="F962" s="22"/>
    </row>
    <row r="963" spans="4:6" ht="15.75" customHeight="1">
      <c r="D963" s="4"/>
      <c r="E963" s="22"/>
      <c r="F963" s="22"/>
    </row>
    <row r="964" spans="4:6" ht="15.75" customHeight="1">
      <c r="D964" s="4"/>
      <c r="E964" s="22"/>
      <c r="F964" s="22"/>
    </row>
    <row r="965" spans="4:6" ht="15.75" customHeight="1">
      <c r="D965" s="4"/>
      <c r="E965" s="22"/>
      <c r="F965" s="22"/>
    </row>
    <row r="966" spans="4:6" ht="15.75" customHeight="1">
      <c r="D966" s="4"/>
      <c r="E966" s="22"/>
      <c r="F966" s="22"/>
    </row>
    <row r="967" spans="4:6" ht="15.75" customHeight="1">
      <c r="D967" s="4"/>
      <c r="E967" s="22"/>
      <c r="F967" s="22"/>
    </row>
    <row r="968" spans="4:6" ht="15.75" customHeight="1">
      <c r="D968" s="4"/>
      <c r="E968" s="22"/>
      <c r="F968" s="22"/>
    </row>
    <row r="969" spans="4:6" ht="15.75" customHeight="1">
      <c r="D969" s="4"/>
      <c r="E969" s="22"/>
      <c r="F969" s="22"/>
    </row>
    <row r="970" spans="4:6" ht="15.75" customHeight="1">
      <c r="D970" s="4"/>
      <c r="E970" s="22"/>
      <c r="F970" s="22"/>
    </row>
    <row r="971" spans="4:6" ht="15.75" customHeight="1">
      <c r="D971" s="4"/>
      <c r="E971" s="22"/>
      <c r="F971" s="22"/>
    </row>
    <row r="972" spans="4:6" ht="15.75" customHeight="1">
      <c r="D972" s="4"/>
      <c r="E972" s="22"/>
      <c r="F972" s="22"/>
    </row>
    <row r="973" spans="4:6" ht="15.75" customHeight="1">
      <c r="D973" s="4"/>
      <c r="E973" s="22"/>
      <c r="F973" s="22"/>
    </row>
    <row r="974" spans="4:6" ht="15.75" customHeight="1">
      <c r="D974" s="4"/>
      <c r="E974" s="22"/>
      <c r="F974" s="22"/>
    </row>
    <row r="975" spans="4:6" ht="15.75" customHeight="1">
      <c r="D975" s="4"/>
      <c r="E975" s="22"/>
      <c r="F975" s="22"/>
    </row>
    <row r="976" spans="4:6" ht="15.75" customHeight="1">
      <c r="D976" s="4"/>
      <c r="E976" s="22"/>
      <c r="F976" s="22"/>
    </row>
    <row r="977" spans="4:6" ht="15.75" customHeight="1">
      <c r="D977" s="4"/>
      <c r="E977" s="22"/>
      <c r="F977" s="22"/>
    </row>
    <row r="978" spans="4:6" ht="15.75" customHeight="1">
      <c r="D978" s="4"/>
      <c r="E978" s="22"/>
      <c r="F978" s="22"/>
    </row>
    <row r="979" spans="4:6" ht="15.75" customHeight="1">
      <c r="D979" s="4"/>
      <c r="E979" s="22"/>
      <c r="F979" s="22"/>
    </row>
    <row r="980" spans="4:6" ht="15.75" customHeight="1">
      <c r="D980" s="4"/>
      <c r="E980" s="22"/>
      <c r="F980" s="22"/>
    </row>
    <row r="981" spans="4:6" ht="15.75" customHeight="1">
      <c r="D981" s="4"/>
      <c r="E981" s="22"/>
      <c r="F981" s="22"/>
    </row>
    <row r="982" spans="4:6" ht="15.75" customHeight="1">
      <c r="D982" s="4"/>
      <c r="E982" s="22"/>
      <c r="F982" s="22"/>
    </row>
    <row r="983" spans="4:6" ht="15.75" customHeight="1">
      <c r="D983" s="4"/>
      <c r="E983" s="22"/>
      <c r="F983" s="22"/>
    </row>
    <row r="984" spans="4:6" ht="15.75" customHeight="1">
      <c r="D984" s="4"/>
      <c r="E984" s="22"/>
      <c r="F984" s="22"/>
    </row>
    <row r="985" spans="4:6" ht="15.75" customHeight="1">
      <c r="D985" s="4"/>
      <c r="E985" s="22"/>
      <c r="F985" s="22"/>
    </row>
    <row r="986" spans="4:6" ht="15.75" customHeight="1">
      <c r="D986" s="4"/>
      <c r="E986" s="22"/>
      <c r="F986" s="22"/>
    </row>
    <row r="987" spans="4:6" ht="15.75" customHeight="1">
      <c r="D987" s="4"/>
      <c r="E987" s="22"/>
      <c r="F987" s="22"/>
    </row>
    <row r="988" spans="4:6" ht="15.75" customHeight="1">
      <c r="D988" s="4"/>
      <c r="E988" s="22"/>
      <c r="F988" s="22"/>
    </row>
    <row r="989" spans="4:6" ht="15.75" customHeight="1">
      <c r="D989" s="4"/>
      <c r="E989" s="22"/>
      <c r="F989" s="22"/>
    </row>
    <row r="990" spans="4:6" ht="15.75" customHeight="1">
      <c r="D990" s="4"/>
      <c r="E990" s="22"/>
      <c r="F990" s="22"/>
    </row>
    <row r="991" spans="4:6" ht="15.75" customHeight="1">
      <c r="D991" s="4"/>
      <c r="E991" s="22"/>
      <c r="F991" s="22"/>
    </row>
    <row r="992" spans="4:6" ht="15.75" customHeight="1">
      <c r="D992" s="4"/>
      <c r="E992" s="22"/>
      <c r="F992" s="22"/>
    </row>
    <row r="993" spans="4:6" ht="15.75" customHeight="1">
      <c r="D993" s="4"/>
      <c r="E993" s="22"/>
      <c r="F993" s="22"/>
    </row>
    <row r="994" spans="4:6" ht="15.75" customHeight="1">
      <c r="D994" s="4"/>
      <c r="E994" s="22"/>
      <c r="F994" s="22"/>
    </row>
    <row r="995" spans="4:6" ht="15.75" customHeight="1">
      <c r="D995" s="4"/>
      <c r="E995" s="22"/>
      <c r="F995" s="22"/>
    </row>
    <row r="996" spans="4:6" ht="15.75" customHeight="1">
      <c r="D996" s="4"/>
      <c r="E996" s="22"/>
      <c r="F996" s="22"/>
    </row>
    <row r="997" spans="4:6" ht="15.75" customHeight="1">
      <c r="D997" s="4"/>
      <c r="E997" s="22"/>
      <c r="F997" s="22"/>
    </row>
    <row r="998" spans="4:6" ht="15.75" customHeight="1">
      <c r="D998" s="4"/>
      <c r="E998" s="22"/>
      <c r="F998" s="22"/>
    </row>
    <row r="999" spans="4:6" ht="15.75" customHeight="1">
      <c r="D999" s="4"/>
      <c r="E999" s="22"/>
      <c r="F999" s="22"/>
    </row>
    <row r="1000" spans="4:6" ht="15.75" customHeight="1">
      <c r="D1000" s="4"/>
      <c r="E1000" s="22"/>
      <c r="F1000" s="22"/>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I9" sqref="I9"/>
    </sheetView>
  </sheetViews>
  <sheetFormatPr defaultColWidth="12.6328125" defaultRowHeight="15" customHeight="1"/>
  <cols>
    <col min="1" max="1" width="13.6328125" customWidth="1"/>
    <col min="2" max="2" width="16.7265625" customWidth="1"/>
    <col min="3" max="3" width="8.90625" bestFit="1" customWidth="1"/>
    <col min="4" max="4" width="15.7265625" customWidth="1"/>
    <col min="5" max="5" width="18.453125" customWidth="1"/>
    <col min="6" max="6" width="13.453125" bestFit="1" customWidth="1"/>
    <col min="7" max="7" width="16" bestFit="1" customWidth="1"/>
    <col min="10" max="30" width="8.6328125" customWidth="1"/>
  </cols>
  <sheetData>
    <row r="1" spans="1:7" ht="14.5">
      <c r="A1" s="2" t="s">
        <v>0</v>
      </c>
      <c r="B1" s="2" t="s">
        <v>5</v>
      </c>
      <c r="C1" s="2" t="s">
        <v>6</v>
      </c>
      <c r="D1" s="2" t="s">
        <v>8</v>
      </c>
      <c r="E1" s="2" t="s">
        <v>10</v>
      </c>
      <c r="G1" s="2"/>
    </row>
    <row r="2" spans="1:7" ht="14.5">
      <c r="A2" s="2" t="s">
        <v>12</v>
      </c>
      <c r="B2" s="2" t="s">
        <v>13</v>
      </c>
      <c r="C2" s="2" t="s">
        <v>15</v>
      </c>
      <c r="D2" s="2" t="s">
        <v>18</v>
      </c>
      <c r="E2" s="2" t="s">
        <v>20</v>
      </c>
      <c r="G2" s="2"/>
    </row>
    <row r="3" spans="1:7" ht="14.5">
      <c r="A3" s="2" t="s">
        <v>22</v>
      </c>
      <c r="B3" s="2" t="s">
        <v>24</v>
      </c>
      <c r="C3" s="2" t="s">
        <v>26</v>
      </c>
      <c r="D3" s="2" t="s">
        <v>27</v>
      </c>
      <c r="E3" s="2" t="s">
        <v>20</v>
      </c>
      <c r="G3" s="2"/>
    </row>
    <row r="4" spans="1:7" ht="14.5">
      <c r="A4" s="2" t="s">
        <v>30</v>
      </c>
      <c r="B4" s="2" t="s">
        <v>33</v>
      </c>
      <c r="C4" s="2" t="s">
        <v>35</v>
      </c>
      <c r="D4" s="2" t="s">
        <v>27</v>
      </c>
      <c r="E4" s="2" t="s">
        <v>20</v>
      </c>
      <c r="G4" s="2"/>
    </row>
    <row r="5" spans="1:7" ht="14.5">
      <c r="A5" s="2" t="s">
        <v>40</v>
      </c>
      <c r="B5" s="2" t="s">
        <v>43</v>
      </c>
      <c r="C5" s="2" t="s">
        <v>47</v>
      </c>
      <c r="D5" s="2" t="s">
        <v>48</v>
      </c>
      <c r="E5" s="2" t="s">
        <v>51</v>
      </c>
      <c r="G5" s="2"/>
    </row>
    <row r="6" spans="1:7" ht="14.5">
      <c r="A6" s="2" t="s">
        <v>56</v>
      </c>
      <c r="B6" s="2" t="s">
        <v>58</v>
      </c>
      <c r="C6" s="2" t="s">
        <v>60</v>
      </c>
      <c r="D6" s="2" t="s">
        <v>18</v>
      </c>
      <c r="E6" s="2" t="s">
        <v>51</v>
      </c>
      <c r="G6" s="2"/>
    </row>
    <row r="7" spans="1:7" ht="14.5">
      <c r="A7" s="2" t="s">
        <v>64</v>
      </c>
      <c r="B7" s="2" t="s">
        <v>66</v>
      </c>
      <c r="C7" s="2" t="s">
        <v>68</v>
      </c>
      <c r="D7" s="2" t="s">
        <v>70</v>
      </c>
      <c r="E7" s="2" t="s">
        <v>73</v>
      </c>
      <c r="G7" s="2"/>
    </row>
    <row r="8" spans="1:7" ht="14.5">
      <c r="A8" s="2" t="s">
        <v>76</v>
      </c>
      <c r="B8" s="2" t="s">
        <v>78</v>
      </c>
      <c r="C8" s="2" t="s">
        <v>35</v>
      </c>
      <c r="D8" s="2" t="s">
        <v>70</v>
      </c>
      <c r="E8" s="2" t="s">
        <v>83</v>
      </c>
      <c r="G8" s="2"/>
    </row>
    <row r="9" spans="1:7" ht="14.5">
      <c r="A9" s="2" t="s">
        <v>87</v>
      </c>
      <c r="B9" s="2" t="s">
        <v>89</v>
      </c>
      <c r="C9" s="2" t="s">
        <v>60</v>
      </c>
      <c r="D9" s="2" t="s">
        <v>70</v>
      </c>
      <c r="E9" s="2" t="s">
        <v>92</v>
      </c>
      <c r="G9" s="2"/>
    </row>
    <row r="10" spans="1:7" ht="14.5">
      <c r="A10" s="2" t="s">
        <v>96</v>
      </c>
      <c r="B10" s="2" t="s">
        <v>99</v>
      </c>
      <c r="C10" s="2" t="s">
        <v>101</v>
      </c>
      <c r="D10" s="2" t="s">
        <v>48</v>
      </c>
      <c r="E10" s="2" t="s">
        <v>73</v>
      </c>
      <c r="G10" s="2"/>
    </row>
    <row r="11" spans="1:7" ht="14.5">
      <c r="A11" s="2" t="s">
        <v>106</v>
      </c>
      <c r="B11" s="2" t="s">
        <v>109</v>
      </c>
      <c r="C11" s="2" t="s">
        <v>101</v>
      </c>
      <c r="D11" s="2" t="s">
        <v>111</v>
      </c>
      <c r="E11" s="2" t="s">
        <v>73</v>
      </c>
      <c r="G11" s="2"/>
    </row>
    <row r="12" spans="1:7" ht="14.5">
      <c r="A12" s="2" t="s">
        <v>114</v>
      </c>
      <c r="B12" s="2" t="s">
        <v>115</v>
      </c>
      <c r="C12" s="2" t="s">
        <v>101</v>
      </c>
      <c r="D12" s="2" t="s">
        <v>18</v>
      </c>
      <c r="E12" s="2" t="s">
        <v>92</v>
      </c>
      <c r="G12" s="2"/>
    </row>
    <row r="13" spans="1:7" ht="14.5">
      <c r="A13" s="2" t="s">
        <v>120</v>
      </c>
      <c r="B13" s="2" t="s">
        <v>121</v>
      </c>
      <c r="C13" s="2" t="s">
        <v>123</v>
      </c>
      <c r="D13" s="2" t="s">
        <v>27</v>
      </c>
      <c r="E13" s="2" t="s">
        <v>51</v>
      </c>
      <c r="G13" s="2"/>
    </row>
    <row r="14" spans="1:7" ht="13.5" customHeight="1">
      <c r="A14" s="2" t="s">
        <v>127</v>
      </c>
      <c r="B14" s="2" t="s">
        <v>129</v>
      </c>
      <c r="C14" s="2" t="s">
        <v>131</v>
      </c>
      <c r="D14" s="2" t="s">
        <v>111</v>
      </c>
      <c r="E14" s="2" t="s">
        <v>73</v>
      </c>
      <c r="G14" s="2"/>
    </row>
    <row r="15" spans="1:7" ht="14.5">
      <c r="A15" s="2" t="s">
        <v>135</v>
      </c>
      <c r="B15" s="2" t="s">
        <v>670</v>
      </c>
      <c r="C15" s="2" t="s">
        <v>68</v>
      </c>
      <c r="D15" s="2" t="s">
        <v>140</v>
      </c>
      <c r="E15" s="2" t="s">
        <v>51</v>
      </c>
      <c r="G15" s="2"/>
    </row>
    <row r="16" spans="1:7" ht="14.5">
      <c r="A16" s="2" t="s">
        <v>143</v>
      </c>
      <c r="B16" s="2" t="s">
        <v>145</v>
      </c>
      <c r="C16" s="2" t="s">
        <v>146</v>
      </c>
      <c r="D16" s="2" t="s">
        <v>70</v>
      </c>
      <c r="E16" s="2" t="s">
        <v>83</v>
      </c>
      <c r="G16" s="2"/>
    </row>
    <row r="17" spans="1:7" ht="14.5">
      <c r="A17" s="2" t="s">
        <v>148</v>
      </c>
      <c r="B17" s="2" t="s">
        <v>149</v>
      </c>
      <c r="C17" s="2" t="s">
        <v>26</v>
      </c>
      <c r="D17" s="2" t="s">
        <v>27</v>
      </c>
      <c r="E17" s="2" t="s">
        <v>73</v>
      </c>
      <c r="G17" s="2"/>
    </row>
    <row r="18" spans="1:7" ht="14.5">
      <c r="A18" s="2" t="s">
        <v>105</v>
      </c>
      <c r="B18" s="2" t="s">
        <v>671</v>
      </c>
      <c r="C18" s="2" t="s">
        <v>26</v>
      </c>
      <c r="D18" s="2" t="s">
        <v>140</v>
      </c>
      <c r="E18" s="2" t="s">
        <v>51</v>
      </c>
      <c r="G18" s="2"/>
    </row>
    <row r="19" spans="1:7" ht="14.5">
      <c r="A19" s="2" t="s">
        <v>158</v>
      </c>
      <c r="B19" s="2" t="s">
        <v>161</v>
      </c>
      <c r="C19" s="2" t="s">
        <v>123</v>
      </c>
      <c r="D19" s="2" t="s">
        <v>140</v>
      </c>
      <c r="E19" s="2" t="s">
        <v>73</v>
      </c>
      <c r="G19" s="2"/>
    </row>
    <row r="20" spans="1:7" ht="14.5">
      <c r="A20" s="2" t="s">
        <v>165</v>
      </c>
      <c r="B20" s="2" t="s">
        <v>167</v>
      </c>
      <c r="C20" s="2" t="s">
        <v>101</v>
      </c>
      <c r="D20" s="2" t="s">
        <v>70</v>
      </c>
      <c r="E20" s="2" t="s">
        <v>51</v>
      </c>
      <c r="G20" s="2"/>
    </row>
    <row r="21" spans="1:7" ht="15.75" customHeight="1">
      <c r="A21" s="2" t="s">
        <v>171</v>
      </c>
      <c r="B21" s="2" t="s">
        <v>173</v>
      </c>
      <c r="C21" s="2" t="s">
        <v>35</v>
      </c>
      <c r="D21" s="2" t="s">
        <v>140</v>
      </c>
      <c r="E21" s="2" t="s">
        <v>20</v>
      </c>
      <c r="G21" s="2"/>
    </row>
    <row r="22" spans="1:7" ht="15.75" customHeight="1">
      <c r="A22" s="2" t="s">
        <v>177</v>
      </c>
      <c r="B22" s="2" t="s">
        <v>672</v>
      </c>
      <c r="C22" s="2" t="s">
        <v>47</v>
      </c>
      <c r="D22" s="2" t="s">
        <v>111</v>
      </c>
      <c r="E22" s="2" t="s">
        <v>73</v>
      </c>
      <c r="G22" s="2"/>
    </row>
    <row r="23" spans="1:7" ht="15.75" customHeight="1">
      <c r="A23" s="2" t="s">
        <v>182</v>
      </c>
      <c r="B23" s="2" t="s">
        <v>183</v>
      </c>
      <c r="C23" s="2" t="s">
        <v>131</v>
      </c>
      <c r="D23" s="2" t="s">
        <v>18</v>
      </c>
      <c r="E23" s="2" t="s">
        <v>92</v>
      </c>
      <c r="G23" s="2"/>
    </row>
    <row r="24" spans="1:7" ht="15.75" customHeight="1">
      <c r="A24" s="2" t="s">
        <v>185</v>
      </c>
      <c r="B24" s="2" t="s">
        <v>186</v>
      </c>
      <c r="C24" s="2" t="s">
        <v>15</v>
      </c>
      <c r="D24" s="2" t="s">
        <v>18</v>
      </c>
      <c r="E24" s="2" t="s">
        <v>92</v>
      </c>
      <c r="G24" s="2"/>
    </row>
    <row r="25" spans="1:7" ht="15.75" customHeight="1">
      <c r="A25" s="2" t="s">
        <v>144</v>
      </c>
      <c r="B25" s="2" t="s">
        <v>188</v>
      </c>
      <c r="C25" s="2" t="s">
        <v>146</v>
      </c>
      <c r="D25" s="2" t="s">
        <v>27</v>
      </c>
      <c r="E25" s="2" t="s">
        <v>20</v>
      </c>
      <c r="G25" s="2"/>
    </row>
    <row r="26" spans="1:7" ht="15.75" customHeight="1">
      <c r="A26" s="2" t="s">
        <v>192</v>
      </c>
      <c r="B26" s="2" t="s">
        <v>195</v>
      </c>
      <c r="C26" s="2" t="s">
        <v>60</v>
      </c>
      <c r="D26" s="2" t="s">
        <v>27</v>
      </c>
      <c r="E26" s="2" t="s">
        <v>20</v>
      </c>
      <c r="G26" s="2"/>
    </row>
    <row r="27" spans="1:7" ht="15.75" customHeight="1">
      <c r="A27" s="2" t="s">
        <v>198</v>
      </c>
      <c r="B27" s="2" t="s">
        <v>200</v>
      </c>
      <c r="C27" s="2" t="s">
        <v>35</v>
      </c>
      <c r="D27" s="2" t="s">
        <v>70</v>
      </c>
      <c r="E27" s="2" t="s">
        <v>51</v>
      </c>
      <c r="G27" s="2"/>
    </row>
    <row r="28" spans="1:7" ht="15.75" customHeight="1">
      <c r="A28" s="2" t="s">
        <v>206</v>
      </c>
      <c r="B28" s="2" t="s">
        <v>207</v>
      </c>
      <c r="C28" s="2" t="s">
        <v>101</v>
      </c>
      <c r="D28" s="2" t="s">
        <v>27</v>
      </c>
      <c r="E28" s="2" t="s">
        <v>73</v>
      </c>
      <c r="G28" s="2"/>
    </row>
    <row r="29" spans="1:7" ht="15.75" customHeight="1">
      <c r="A29" s="2" t="s">
        <v>211</v>
      </c>
      <c r="B29" s="2" t="s">
        <v>212</v>
      </c>
      <c r="C29" s="2" t="s">
        <v>213</v>
      </c>
      <c r="D29" s="2" t="s">
        <v>48</v>
      </c>
      <c r="E29" s="2" t="s">
        <v>92</v>
      </c>
      <c r="G29" s="2"/>
    </row>
    <row r="30" spans="1:7" ht="15.75" customHeight="1">
      <c r="A30" s="2" t="s">
        <v>214</v>
      </c>
      <c r="B30" s="2" t="s">
        <v>673</v>
      </c>
      <c r="C30" s="2" t="s">
        <v>131</v>
      </c>
      <c r="D30" s="2" t="s">
        <v>140</v>
      </c>
      <c r="E30" s="2" t="s">
        <v>83</v>
      </c>
      <c r="G30" s="2"/>
    </row>
    <row r="31" spans="1:7" ht="15.75" customHeight="1">
      <c r="A31" s="2" t="s">
        <v>220</v>
      </c>
      <c r="B31" s="2" t="s">
        <v>674</v>
      </c>
      <c r="C31" s="2" t="s">
        <v>60</v>
      </c>
      <c r="D31" s="2" t="s">
        <v>18</v>
      </c>
      <c r="E31" s="2" t="s">
        <v>83</v>
      </c>
      <c r="G31" s="2"/>
    </row>
    <row r="32" spans="1:7" ht="15.75" customHeight="1">
      <c r="A32" s="2" t="s">
        <v>224</v>
      </c>
      <c r="B32" s="2" t="s">
        <v>225</v>
      </c>
      <c r="C32" s="2" t="s">
        <v>131</v>
      </c>
      <c r="D32" s="2" t="s">
        <v>48</v>
      </c>
      <c r="E32" s="2" t="s">
        <v>20</v>
      </c>
      <c r="G32" s="2"/>
    </row>
    <row r="33" spans="1:7" ht="15.75" customHeight="1">
      <c r="A33" s="2" t="s">
        <v>227</v>
      </c>
      <c r="B33" s="2" t="s">
        <v>228</v>
      </c>
      <c r="C33" s="2" t="s">
        <v>101</v>
      </c>
      <c r="D33" s="2" t="s">
        <v>111</v>
      </c>
      <c r="E33" s="2" t="s">
        <v>92</v>
      </c>
      <c r="G33" s="2"/>
    </row>
    <row r="34" spans="1:7" ht="15.75" customHeight="1">
      <c r="A34" s="2" t="s">
        <v>221</v>
      </c>
      <c r="B34" s="2" t="s">
        <v>230</v>
      </c>
      <c r="C34" s="2" t="s">
        <v>68</v>
      </c>
      <c r="D34" s="2" t="s">
        <v>70</v>
      </c>
      <c r="E34" s="2" t="s">
        <v>20</v>
      </c>
      <c r="G34" s="2"/>
    </row>
    <row r="35" spans="1:7" ht="15.75" customHeight="1">
      <c r="A35" s="2" t="s">
        <v>86</v>
      </c>
      <c r="B35" s="2" t="s">
        <v>234</v>
      </c>
      <c r="C35" s="2" t="s">
        <v>269</v>
      </c>
      <c r="D35" s="2" t="s">
        <v>27</v>
      </c>
      <c r="E35" s="2" t="s">
        <v>92</v>
      </c>
      <c r="G35" s="2"/>
    </row>
    <row r="36" spans="1:7" ht="15.75" customHeight="1">
      <c r="A36" s="2" t="s">
        <v>237</v>
      </c>
      <c r="B36" s="2" t="s">
        <v>238</v>
      </c>
      <c r="C36" s="2" t="s">
        <v>101</v>
      </c>
      <c r="D36" s="2" t="s">
        <v>111</v>
      </c>
      <c r="E36" s="2" t="s">
        <v>51</v>
      </c>
      <c r="G36" s="2"/>
    </row>
    <row r="37" spans="1:7" ht="15.75" customHeight="1">
      <c r="A37" s="2" t="s">
        <v>241</v>
      </c>
      <c r="B37" s="2" t="s">
        <v>242</v>
      </c>
      <c r="C37" s="2" t="s">
        <v>47</v>
      </c>
      <c r="D37" s="2" t="s">
        <v>48</v>
      </c>
      <c r="E37" s="2" t="s">
        <v>20</v>
      </c>
      <c r="G37" s="2"/>
    </row>
    <row r="38" spans="1:7" ht="15.75" customHeight="1">
      <c r="A38" s="2" t="s">
        <v>246</v>
      </c>
      <c r="B38" s="2" t="s">
        <v>247</v>
      </c>
      <c r="C38" s="2" t="s">
        <v>146</v>
      </c>
      <c r="D38" s="2" t="s">
        <v>48</v>
      </c>
      <c r="E38" s="2" t="s">
        <v>92</v>
      </c>
      <c r="G38" s="2"/>
    </row>
    <row r="39" spans="1:7" ht="15.75" customHeight="1">
      <c r="A39" s="2" t="s">
        <v>75</v>
      </c>
      <c r="B39" s="2" t="s">
        <v>248</v>
      </c>
      <c r="C39" s="2" t="s">
        <v>60</v>
      </c>
      <c r="D39" s="2" t="s">
        <v>140</v>
      </c>
      <c r="E39" s="2" t="s">
        <v>92</v>
      </c>
      <c r="G39" s="2"/>
    </row>
    <row r="40" spans="1:7" ht="15.75" customHeight="1">
      <c r="A40" s="2" t="s">
        <v>231</v>
      </c>
      <c r="B40" s="2" t="s">
        <v>250</v>
      </c>
      <c r="C40" s="2" t="s">
        <v>252</v>
      </c>
      <c r="D40" s="2" t="s">
        <v>140</v>
      </c>
      <c r="E40" s="2" t="s">
        <v>92</v>
      </c>
      <c r="G40" s="2"/>
    </row>
    <row r="41" spans="1:7" ht="15.75" customHeight="1">
      <c r="A41" s="2" t="s">
        <v>254</v>
      </c>
      <c r="B41" s="2" t="s">
        <v>255</v>
      </c>
      <c r="C41" s="2" t="s">
        <v>256</v>
      </c>
      <c r="D41" s="2" t="s">
        <v>18</v>
      </c>
      <c r="E41" s="2" t="s">
        <v>51</v>
      </c>
      <c r="G41" s="2"/>
    </row>
    <row r="42" spans="1:7" ht="15.75" customHeight="1">
      <c r="A42" s="2" t="s">
        <v>257</v>
      </c>
      <c r="B42" s="2" t="s">
        <v>259</v>
      </c>
      <c r="C42" s="2" t="s">
        <v>146</v>
      </c>
      <c r="D42" s="2" t="s">
        <v>18</v>
      </c>
      <c r="E42" s="2" t="s">
        <v>92</v>
      </c>
      <c r="G42" s="2"/>
    </row>
    <row r="43" spans="1:7" ht="15.75" customHeight="1">
      <c r="A43" s="2" t="s">
        <v>261</v>
      </c>
      <c r="B43" s="2" t="s">
        <v>262</v>
      </c>
      <c r="C43" s="2" t="s">
        <v>256</v>
      </c>
      <c r="D43" s="2" t="s">
        <v>140</v>
      </c>
      <c r="E43" s="2" t="s">
        <v>83</v>
      </c>
      <c r="G43" s="2"/>
    </row>
    <row r="44" spans="1:7" ht="15.75" customHeight="1">
      <c r="A44" s="2" t="s">
        <v>160</v>
      </c>
      <c r="B44" s="2" t="s">
        <v>675</v>
      </c>
      <c r="C44" s="2" t="s">
        <v>60</v>
      </c>
      <c r="D44" s="2" t="s">
        <v>140</v>
      </c>
      <c r="E44" s="2" t="s">
        <v>73</v>
      </c>
      <c r="G44" s="2"/>
    </row>
    <row r="45" spans="1:7" ht="15.75" customHeight="1">
      <c r="A45" s="2" t="s">
        <v>267</v>
      </c>
      <c r="B45" s="2" t="s">
        <v>676</v>
      </c>
      <c r="C45" s="2" t="s">
        <v>269</v>
      </c>
      <c r="D45" s="2" t="s">
        <v>18</v>
      </c>
      <c r="E45" s="2" t="s">
        <v>92</v>
      </c>
      <c r="G45" s="2"/>
    </row>
    <row r="46" spans="1:7" ht="15.75" customHeight="1">
      <c r="A46" s="2" t="s">
        <v>239</v>
      </c>
      <c r="B46" s="2" t="s">
        <v>271</v>
      </c>
      <c r="C46" s="2" t="s">
        <v>131</v>
      </c>
      <c r="D46" s="2" t="s">
        <v>140</v>
      </c>
      <c r="E46" s="2" t="s">
        <v>83</v>
      </c>
      <c r="G46" s="2"/>
    </row>
    <row r="47" spans="1:7" ht="15.75" customHeight="1">
      <c r="A47" s="2" t="s">
        <v>272</v>
      </c>
      <c r="B47" s="2" t="s">
        <v>273</v>
      </c>
      <c r="C47" s="2" t="s">
        <v>213</v>
      </c>
      <c r="D47" s="2" t="s">
        <v>18</v>
      </c>
      <c r="E47" s="2" t="s">
        <v>20</v>
      </c>
      <c r="G47" s="2"/>
    </row>
    <row r="48" spans="1:7" ht="15.75" customHeight="1">
      <c r="A48" s="2" t="s">
        <v>277</v>
      </c>
      <c r="B48" s="2" t="s">
        <v>278</v>
      </c>
      <c r="C48" s="2" t="s">
        <v>101</v>
      </c>
      <c r="D48" s="2" t="s">
        <v>27</v>
      </c>
      <c r="E48" s="2" t="s">
        <v>92</v>
      </c>
      <c r="G48" s="2"/>
    </row>
    <row r="49" spans="1:7" ht="15.75" customHeight="1">
      <c r="A49" s="2" t="s">
        <v>279</v>
      </c>
      <c r="B49" s="2" t="s">
        <v>280</v>
      </c>
      <c r="C49" s="2" t="s">
        <v>26</v>
      </c>
      <c r="D49" s="2" t="s">
        <v>48</v>
      </c>
      <c r="E49" s="2" t="s">
        <v>92</v>
      </c>
      <c r="G49" s="2"/>
    </row>
    <row r="50" spans="1:7" ht="15.75" customHeight="1">
      <c r="A50" s="2" t="s">
        <v>283</v>
      </c>
      <c r="B50" s="2" t="s">
        <v>284</v>
      </c>
      <c r="C50" s="2" t="s">
        <v>252</v>
      </c>
      <c r="D50" s="2" t="s">
        <v>27</v>
      </c>
      <c r="E50" s="2" t="s">
        <v>92</v>
      </c>
      <c r="G50" s="2"/>
    </row>
    <row r="51" spans="1:7" ht="15.75" customHeight="1">
      <c r="A51" s="2" t="s">
        <v>133</v>
      </c>
      <c r="B51" s="2" t="s">
        <v>677</v>
      </c>
      <c r="C51" s="2" t="s">
        <v>269</v>
      </c>
      <c r="D51" s="2" t="s">
        <v>70</v>
      </c>
      <c r="E51" s="2" t="s">
        <v>92</v>
      </c>
      <c r="G51" s="2"/>
    </row>
    <row r="52" spans="1:7" ht="15.75" customHeight="1">
      <c r="A52" s="2" t="s">
        <v>65</v>
      </c>
      <c r="B52" s="2" t="s">
        <v>678</v>
      </c>
      <c r="C52" s="2" t="s">
        <v>131</v>
      </c>
      <c r="D52" s="2" t="s">
        <v>70</v>
      </c>
      <c r="E52" s="2" t="s">
        <v>92</v>
      </c>
      <c r="G52" s="2"/>
    </row>
    <row r="53" spans="1:7" ht="15.75" customHeight="1">
      <c r="A53" s="2" t="s">
        <v>290</v>
      </c>
      <c r="B53" s="2" t="s">
        <v>291</v>
      </c>
      <c r="C53" s="2" t="s">
        <v>131</v>
      </c>
      <c r="D53" s="2" t="s">
        <v>18</v>
      </c>
      <c r="E53" s="2" t="s">
        <v>92</v>
      </c>
      <c r="G53" s="2"/>
    </row>
    <row r="54" spans="1:7" ht="15.75" customHeight="1">
      <c r="A54" s="2" t="s">
        <v>293</v>
      </c>
      <c r="B54" s="2" t="s">
        <v>294</v>
      </c>
      <c r="C54" s="2" t="s">
        <v>47</v>
      </c>
      <c r="D54" s="2" t="s">
        <v>140</v>
      </c>
      <c r="E54" s="2" t="s">
        <v>20</v>
      </c>
      <c r="G54" s="2"/>
    </row>
    <row r="55" spans="1:7" ht="15.75" customHeight="1">
      <c r="A55" s="2" t="s">
        <v>190</v>
      </c>
      <c r="B55" s="2" t="s">
        <v>296</v>
      </c>
      <c r="C55" s="2" t="s">
        <v>68</v>
      </c>
      <c r="D55" s="2" t="s">
        <v>27</v>
      </c>
      <c r="E55" s="2" t="s">
        <v>92</v>
      </c>
      <c r="G55" s="2"/>
    </row>
    <row r="56" spans="1:7" ht="15.75" customHeight="1">
      <c r="A56" s="2" t="s">
        <v>298</v>
      </c>
      <c r="B56" s="2" t="s">
        <v>300</v>
      </c>
      <c r="C56" s="2" t="s">
        <v>131</v>
      </c>
      <c r="D56" s="2" t="s">
        <v>48</v>
      </c>
      <c r="E56" s="2" t="s">
        <v>73</v>
      </c>
      <c r="G56" s="2"/>
    </row>
    <row r="57" spans="1:7" ht="15.75" customHeight="1">
      <c r="A57" s="2" t="s">
        <v>301</v>
      </c>
      <c r="B57" s="2" t="s">
        <v>303</v>
      </c>
      <c r="C57" s="2" t="s">
        <v>123</v>
      </c>
      <c r="D57" s="2" t="s">
        <v>48</v>
      </c>
      <c r="E57" s="2" t="s">
        <v>92</v>
      </c>
      <c r="G57" s="2"/>
    </row>
    <row r="58" spans="1:7" ht="15.75" customHeight="1">
      <c r="A58" s="2" t="s">
        <v>306</v>
      </c>
      <c r="B58" s="2" t="s">
        <v>307</v>
      </c>
      <c r="C58" s="2" t="s">
        <v>146</v>
      </c>
      <c r="D58" s="2" t="s">
        <v>140</v>
      </c>
      <c r="E58" s="2" t="s">
        <v>20</v>
      </c>
      <c r="G58" s="2"/>
    </row>
    <row r="59" spans="1:7" ht="15.75" customHeight="1">
      <c r="A59" s="2" t="s">
        <v>309</v>
      </c>
      <c r="B59" s="2" t="s">
        <v>310</v>
      </c>
      <c r="C59" s="2" t="s">
        <v>101</v>
      </c>
      <c r="D59" s="2" t="s">
        <v>70</v>
      </c>
      <c r="E59" s="2" t="s">
        <v>92</v>
      </c>
      <c r="G59" s="2"/>
    </row>
    <row r="60" spans="1:7" ht="15.75" customHeight="1">
      <c r="A60" s="2" t="s">
        <v>312</v>
      </c>
      <c r="B60" s="2" t="s">
        <v>679</v>
      </c>
      <c r="C60" s="2" t="s">
        <v>60</v>
      </c>
      <c r="D60" s="2" t="s">
        <v>70</v>
      </c>
      <c r="E60" s="2" t="s">
        <v>51</v>
      </c>
      <c r="G60" s="2"/>
    </row>
    <row r="61" spans="1:7" ht="15.75" customHeight="1">
      <c r="A61" s="2" t="s">
        <v>55</v>
      </c>
      <c r="B61" s="2" t="s">
        <v>316</v>
      </c>
      <c r="C61" s="2" t="s">
        <v>26</v>
      </c>
      <c r="D61" s="2" t="s">
        <v>48</v>
      </c>
      <c r="E61" s="2" t="s">
        <v>20</v>
      </c>
      <c r="G61" s="2"/>
    </row>
    <row r="62" spans="1:7" ht="15.75" customHeight="1">
      <c r="A62" s="2" t="s">
        <v>37</v>
      </c>
      <c r="B62" s="2" t="s">
        <v>680</v>
      </c>
      <c r="C62" s="2" t="s">
        <v>35</v>
      </c>
      <c r="D62" s="2" t="s">
        <v>70</v>
      </c>
      <c r="E62" s="2" t="s">
        <v>83</v>
      </c>
      <c r="G62" s="2"/>
    </row>
    <row r="63" spans="1:7" ht="15.75" customHeight="1">
      <c r="A63" s="2" t="s">
        <v>204</v>
      </c>
      <c r="B63" s="2" t="s">
        <v>321</v>
      </c>
      <c r="C63" s="2" t="s">
        <v>35</v>
      </c>
      <c r="D63" s="2" t="s">
        <v>70</v>
      </c>
      <c r="E63" s="2" t="s">
        <v>51</v>
      </c>
      <c r="G63" s="2"/>
    </row>
    <row r="64" spans="1:7" ht="15.75" customHeight="1">
      <c r="A64" s="2" t="s">
        <v>324</v>
      </c>
      <c r="B64" s="2" t="s">
        <v>325</v>
      </c>
      <c r="C64" s="2" t="s">
        <v>252</v>
      </c>
      <c r="D64" s="2" t="s">
        <v>18</v>
      </c>
      <c r="E64" s="2" t="s">
        <v>73</v>
      </c>
      <c r="G64" s="2"/>
    </row>
    <row r="65" spans="1:7" ht="15.75" customHeight="1">
      <c r="A65" s="2" t="s">
        <v>327</v>
      </c>
      <c r="B65" s="2" t="s">
        <v>328</v>
      </c>
      <c r="C65" s="2" t="s">
        <v>329</v>
      </c>
      <c r="D65" s="2" t="s">
        <v>48</v>
      </c>
      <c r="E65" s="2" t="s">
        <v>20</v>
      </c>
      <c r="G65" s="2"/>
    </row>
    <row r="66" spans="1:7" ht="15.75" customHeight="1">
      <c r="A66" s="2" t="s">
        <v>331</v>
      </c>
      <c r="B66" s="2" t="s">
        <v>681</v>
      </c>
      <c r="C66" s="2" t="s">
        <v>123</v>
      </c>
      <c r="D66" s="2" t="s">
        <v>48</v>
      </c>
      <c r="E66" s="2" t="s">
        <v>20</v>
      </c>
      <c r="G66" s="2"/>
    </row>
    <row r="67" spans="1:7" ht="15.75" customHeight="1">
      <c r="A67" s="2" t="s">
        <v>299</v>
      </c>
      <c r="B67" s="2" t="s">
        <v>334</v>
      </c>
      <c r="C67" s="2" t="s">
        <v>26</v>
      </c>
      <c r="D67" s="2" t="s">
        <v>70</v>
      </c>
      <c r="E67" s="2" t="s">
        <v>92</v>
      </c>
      <c r="G67" s="2"/>
    </row>
    <row r="68" spans="1:7" ht="15.75" customHeight="1">
      <c r="A68" s="2" t="s">
        <v>336</v>
      </c>
      <c r="B68" s="2" t="s">
        <v>338</v>
      </c>
      <c r="C68" s="2" t="s">
        <v>252</v>
      </c>
      <c r="D68" s="2" t="s">
        <v>48</v>
      </c>
      <c r="E68" s="2" t="s">
        <v>83</v>
      </c>
      <c r="G68" s="2"/>
    </row>
    <row r="69" spans="1:7" ht="15.75" customHeight="1">
      <c r="A69" s="2" t="s">
        <v>342</v>
      </c>
      <c r="B69" s="2" t="s">
        <v>343</v>
      </c>
      <c r="C69" s="2" t="s">
        <v>146</v>
      </c>
      <c r="D69" s="2" t="s">
        <v>27</v>
      </c>
      <c r="E69" s="2" t="s">
        <v>73</v>
      </c>
      <c r="G69" s="2"/>
    </row>
    <row r="70" spans="1:7" ht="15.75" customHeight="1">
      <c r="A70" s="2" t="s">
        <v>344</v>
      </c>
      <c r="B70" s="2" t="s">
        <v>345</v>
      </c>
      <c r="C70" s="2" t="s">
        <v>256</v>
      </c>
      <c r="D70" s="2" t="s">
        <v>140</v>
      </c>
      <c r="E70" s="2" t="s">
        <v>83</v>
      </c>
      <c r="G70" s="2"/>
    </row>
    <row r="71" spans="1:7" ht="15.75" customHeight="1">
      <c r="A71" s="2" t="s">
        <v>348</v>
      </c>
      <c r="B71" s="2" t="s">
        <v>350</v>
      </c>
      <c r="C71" s="2" t="s">
        <v>123</v>
      </c>
      <c r="D71" s="2" t="s">
        <v>18</v>
      </c>
      <c r="E71" s="2" t="s">
        <v>92</v>
      </c>
      <c r="G71" s="2"/>
    </row>
    <row r="72" spans="1:7" ht="15.75" customHeight="1">
      <c r="A72" s="2" t="s">
        <v>352</v>
      </c>
      <c r="B72" s="2" t="s">
        <v>354</v>
      </c>
      <c r="C72" s="2" t="s">
        <v>60</v>
      </c>
      <c r="D72" s="2" t="s">
        <v>18</v>
      </c>
      <c r="E72" s="2" t="s">
        <v>83</v>
      </c>
      <c r="G72" s="2"/>
    </row>
    <row r="73" spans="1:7" ht="15.75" customHeight="1">
      <c r="A73" s="2" t="s">
        <v>270</v>
      </c>
      <c r="B73" s="2" t="s">
        <v>356</v>
      </c>
      <c r="C73" s="2" t="s">
        <v>357</v>
      </c>
      <c r="D73" s="2" t="s">
        <v>27</v>
      </c>
      <c r="E73" s="2" t="s">
        <v>20</v>
      </c>
      <c r="G73" s="2"/>
    </row>
    <row r="74" spans="1:7" ht="15.75" customHeight="1">
      <c r="A74" s="2" t="s">
        <v>359</v>
      </c>
      <c r="B74" s="2" t="s">
        <v>360</v>
      </c>
      <c r="C74" s="2" t="s">
        <v>252</v>
      </c>
      <c r="D74" s="2" t="s">
        <v>70</v>
      </c>
      <c r="E74" s="2" t="s">
        <v>51</v>
      </c>
      <c r="G74" s="2"/>
    </row>
    <row r="75" spans="1:7" ht="15.75" customHeight="1">
      <c r="A75" s="2" t="s">
        <v>362</v>
      </c>
      <c r="B75" s="2" t="s">
        <v>682</v>
      </c>
      <c r="C75" s="2" t="s">
        <v>252</v>
      </c>
      <c r="D75" s="2" t="s">
        <v>111</v>
      </c>
      <c r="E75" s="2" t="s">
        <v>51</v>
      </c>
      <c r="G75" s="2"/>
    </row>
    <row r="76" spans="1:7" ht="15.75" customHeight="1">
      <c r="A76" s="2" t="s">
        <v>366</v>
      </c>
      <c r="B76" s="2" t="s">
        <v>367</v>
      </c>
      <c r="C76" s="2" t="s">
        <v>357</v>
      </c>
      <c r="D76" s="2" t="s">
        <v>111</v>
      </c>
      <c r="E76" s="2" t="s">
        <v>73</v>
      </c>
      <c r="G76" s="2"/>
    </row>
    <row r="77" spans="1:7" ht="15.75" customHeight="1">
      <c r="A77" s="2" t="s">
        <v>368</v>
      </c>
      <c r="B77" s="2" t="s">
        <v>369</v>
      </c>
      <c r="C77" s="2" t="s">
        <v>269</v>
      </c>
      <c r="D77" s="2" t="s">
        <v>140</v>
      </c>
      <c r="E77" s="2" t="s">
        <v>73</v>
      </c>
      <c r="G77" s="2"/>
    </row>
    <row r="78" spans="1:7" ht="15.75" customHeight="1">
      <c r="A78" s="2" t="s">
        <v>349</v>
      </c>
      <c r="B78" s="2" t="s">
        <v>372</v>
      </c>
      <c r="C78" s="2" t="s">
        <v>256</v>
      </c>
      <c r="D78" s="2" t="s">
        <v>27</v>
      </c>
      <c r="E78" s="2" t="s">
        <v>83</v>
      </c>
      <c r="G78" s="2"/>
    </row>
    <row r="79" spans="1:7" ht="15.75" customHeight="1">
      <c r="A79" s="2" t="s">
        <v>373</v>
      </c>
      <c r="B79" s="2" t="s">
        <v>374</v>
      </c>
      <c r="C79" s="2" t="s">
        <v>357</v>
      </c>
      <c r="D79" s="2" t="s">
        <v>70</v>
      </c>
      <c r="E79" s="2" t="s">
        <v>73</v>
      </c>
      <c r="G79" s="2"/>
    </row>
    <row r="80" spans="1:7" ht="15.75" customHeight="1">
      <c r="A80" s="2" t="s">
        <v>260</v>
      </c>
      <c r="B80" s="2" t="s">
        <v>377</v>
      </c>
      <c r="C80" s="2" t="s">
        <v>256</v>
      </c>
      <c r="D80" s="2" t="s">
        <v>70</v>
      </c>
      <c r="E80" s="2" t="s">
        <v>92</v>
      </c>
      <c r="G80" s="2"/>
    </row>
    <row r="81" spans="1:7" ht="15.75" customHeight="1">
      <c r="A81" s="2" t="s">
        <v>379</v>
      </c>
      <c r="B81" s="2" t="s">
        <v>381</v>
      </c>
      <c r="C81" s="2" t="s">
        <v>60</v>
      </c>
      <c r="D81" s="2" t="s">
        <v>48</v>
      </c>
      <c r="E81" s="2" t="s">
        <v>83</v>
      </c>
      <c r="G81" s="2"/>
    </row>
    <row r="82" spans="1:7" ht="15.75" customHeight="1">
      <c r="A82" s="2" t="s">
        <v>383</v>
      </c>
      <c r="B82" s="2" t="s">
        <v>385</v>
      </c>
      <c r="C82" s="2" t="s">
        <v>146</v>
      </c>
      <c r="D82" s="2" t="s">
        <v>70</v>
      </c>
      <c r="E82" s="2" t="s">
        <v>92</v>
      </c>
      <c r="G82" s="2"/>
    </row>
    <row r="83" spans="1:7" ht="15.75" customHeight="1">
      <c r="A83" s="2" t="s">
        <v>176</v>
      </c>
      <c r="B83" s="2" t="s">
        <v>683</v>
      </c>
      <c r="C83" s="2" t="s">
        <v>146</v>
      </c>
      <c r="D83" s="2" t="s">
        <v>48</v>
      </c>
      <c r="E83" s="2" t="s">
        <v>92</v>
      </c>
      <c r="G83" s="2"/>
    </row>
    <row r="84" spans="1:7" ht="15.75" customHeight="1">
      <c r="A84" s="2" t="s">
        <v>124</v>
      </c>
      <c r="B84" s="2" t="s">
        <v>387</v>
      </c>
      <c r="C84" s="2" t="s">
        <v>35</v>
      </c>
      <c r="D84" s="2" t="s">
        <v>48</v>
      </c>
      <c r="E84" s="2" t="s">
        <v>51</v>
      </c>
      <c r="G84" s="2"/>
    </row>
    <row r="85" spans="1:7" ht="15.75" customHeight="1">
      <c r="A85" s="2" t="s">
        <v>388</v>
      </c>
      <c r="B85" s="2" t="s">
        <v>390</v>
      </c>
      <c r="C85" s="2" t="s">
        <v>252</v>
      </c>
      <c r="D85" s="2" t="s">
        <v>18</v>
      </c>
      <c r="E85" s="2" t="s">
        <v>83</v>
      </c>
      <c r="G85" s="2"/>
    </row>
    <row r="86" spans="1:7" ht="15.75" customHeight="1">
      <c r="A86" s="2" t="s">
        <v>276</v>
      </c>
      <c r="B86" s="2" t="s">
        <v>391</v>
      </c>
      <c r="C86" s="2" t="s">
        <v>252</v>
      </c>
      <c r="D86" s="2" t="s">
        <v>18</v>
      </c>
      <c r="E86" s="2" t="s">
        <v>92</v>
      </c>
      <c r="G86" s="2"/>
    </row>
    <row r="87" spans="1:7" ht="15.75" customHeight="1">
      <c r="A87" s="2" t="s">
        <v>392</v>
      </c>
      <c r="B87" s="2" t="s">
        <v>393</v>
      </c>
      <c r="C87" s="2" t="s">
        <v>131</v>
      </c>
      <c r="D87" s="2" t="s">
        <v>111</v>
      </c>
      <c r="E87" s="2" t="s">
        <v>73</v>
      </c>
      <c r="G87" s="2"/>
    </row>
    <row r="88" spans="1:7" ht="15.75" customHeight="1">
      <c r="A88" s="2" t="s">
        <v>371</v>
      </c>
      <c r="B88" s="2" t="s">
        <v>684</v>
      </c>
      <c r="C88" s="2" t="s">
        <v>131</v>
      </c>
      <c r="D88" s="2" t="s">
        <v>140</v>
      </c>
      <c r="E88" s="2" t="s">
        <v>73</v>
      </c>
      <c r="G88" s="2"/>
    </row>
    <row r="89" spans="1:7" ht="15.75" customHeight="1">
      <c r="A89" s="2" t="s">
        <v>397</v>
      </c>
      <c r="B89" s="2" t="s">
        <v>399</v>
      </c>
      <c r="C89" s="2" t="s">
        <v>213</v>
      </c>
      <c r="D89" s="2" t="s">
        <v>27</v>
      </c>
      <c r="E89" s="2" t="s">
        <v>92</v>
      </c>
      <c r="G89" s="2"/>
    </row>
    <row r="90" spans="1:7" ht="15.75" customHeight="1">
      <c r="A90" s="2" t="s">
        <v>400</v>
      </c>
      <c r="B90" s="2" t="s">
        <v>685</v>
      </c>
      <c r="C90" s="2" t="s">
        <v>101</v>
      </c>
      <c r="D90" s="2" t="s">
        <v>27</v>
      </c>
      <c r="E90" s="2" t="s">
        <v>83</v>
      </c>
      <c r="G90" s="2"/>
    </row>
    <row r="91" spans="1:7" ht="15.75" customHeight="1">
      <c r="A91" s="2" t="s">
        <v>402</v>
      </c>
      <c r="B91" s="2" t="s">
        <v>404</v>
      </c>
      <c r="C91" s="2" t="s">
        <v>329</v>
      </c>
      <c r="D91" s="2" t="s">
        <v>48</v>
      </c>
      <c r="E91" s="2" t="s">
        <v>83</v>
      </c>
      <c r="G91" s="2"/>
    </row>
    <row r="92" spans="1:7" ht="15.75" customHeight="1">
      <c r="A92" s="2" t="s">
        <v>313</v>
      </c>
      <c r="B92" s="2" t="s">
        <v>405</v>
      </c>
      <c r="C92" s="2" t="s">
        <v>269</v>
      </c>
      <c r="D92" s="2" t="s">
        <v>70</v>
      </c>
      <c r="E92" s="2" t="s">
        <v>92</v>
      </c>
      <c r="G92" s="2"/>
    </row>
    <row r="93" spans="1:7" ht="15.75" customHeight="1">
      <c r="A93" s="2" t="s">
        <v>407</v>
      </c>
      <c r="B93" s="2" t="s">
        <v>686</v>
      </c>
      <c r="C93" s="2" t="s">
        <v>329</v>
      </c>
      <c r="D93" s="2" t="s">
        <v>140</v>
      </c>
      <c r="E93" s="2" t="s">
        <v>73</v>
      </c>
      <c r="G93" s="2"/>
    </row>
    <row r="94" spans="1:7" ht="15.75" customHeight="1">
      <c r="A94" s="2" t="s">
        <v>282</v>
      </c>
      <c r="B94" s="2" t="s">
        <v>410</v>
      </c>
      <c r="C94" s="2" t="s">
        <v>101</v>
      </c>
      <c r="D94" s="2" t="s">
        <v>140</v>
      </c>
      <c r="E94" s="2" t="s">
        <v>92</v>
      </c>
      <c r="G94" s="2"/>
    </row>
    <row r="95" spans="1:7" ht="15.75" customHeight="1">
      <c r="A95" s="2" t="s">
        <v>113</v>
      </c>
      <c r="B95" s="2" t="s">
        <v>412</v>
      </c>
      <c r="C95" s="2" t="s">
        <v>35</v>
      </c>
      <c r="D95" s="2" t="s">
        <v>48</v>
      </c>
      <c r="E95" s="2" t="s">
        <v>20</v>
      </c>
      <c r="G95" s="2"/>
    </row>
    <row r="96" spans="1:7" ht="15.75" customHeight="1">
      <c r="A96" s="2" t="s">
        <v>376</v>
      </c>
      <c r="B96" s="2" t="s">
        <v>414</v>
      </c>
      <c r="C96" s="2" t="s">
        <v>131</v>
      </c>
      <c r="D96" s="2" t="s">
        <v>48</v>
      </c>
      <c r="E96" s="2" t="s">
        <v>20</v>
      </c>
      <c r="G96" s="2"/>
    </row>
    <row r="97" spans="1:7" ht="15.75" customHeight="1">
      <c r="A97" s="2" t="s">
        <v>416</v>
      </c>
      <c r="B97" s="2" t="s">
        <v>417</v>
      </c>
      <c r="C97" s="2" t="s">
        <v>47</v>
      </c>
      <c r="D97" s="2" t="s">
        <v>27</v>
      </c>
      <c r="E97" s="2" t="s">
        <v>83</v>
      </c>
      <c r="G97" s="2"/>
    </row>
    <row r="98" spans="1:7" ht="15.75" customHeight="1">
      <c r="A98" s="2" t="s">
        <v>251</v>
      </c>
      <c r="B98" s="2" t="s">
        <v>419</v>
      </c>
      <c r="C98" s="2" t="s">
        <v>26</v>
      </c>
      <c r="D98" s="2" t="s">
        <v>70</v>
      </c>
      <c r="E98" s="2" t="s">
        <v>83</v>
      </c>
      <c r="G98" s="2"/>
    </row>
    <row r="99" spans="1:7" ht="15.75" customHeight="1">
      <c r="A99" s="2" t="s">
        <v>420</v>
      </c>
      <c r="B99" s="2" t="s">
        <v>421</v>
      </c>
      <c r="C99" s="2" t="s">
        <v>68</v>
      </c>
      <c r="D99" s="2" t="s">
        <v>70</v>
      </c>
      <c r="E99" s="2" t="s">
        <v>73</v>
      </c>
      <c r="G99" s="2"/>
    </row>
    <row r="100" spans="1:7" ht="15.75" customHeight="1">
      <c r="A100" s="2" t="s">
        <v>322</v>
      </c>
      <c r="B100" s="2" t="s">
        <v>423</v>
      </c>
      <c r="C100" s="2" t="s">
        <v>256</v>
      </c>
      <c r="D100" s="2" t="s">
        <v>70</v>
      </c>
      <c r="E100" s="2" t="s">
        <v>83</v>
      </c>
      <c r="G100" s="2"/>
    </row>
    <row r="101" spans="1:7" ht="15.75" customHeight="1">
      <c r="A101" s="2" t="s">
        <v>93</v>
      </c>
      <c r="B101" s="2" t="s">
        <v>425</v>
      </c>
      <c r="C101" s="2" t="s">
        <v>269</v>
      </c>
      <c r="D101" s="2" t="s">
        <v>70</v>
      </c>
      <c r="E101" s="2" t="s">
        <v>20</v>
      </c>
      <c r="G101" s="2"/>
    </row>
    <row r="102" spans="1:7" ht="15.75" customHeight="1"/>
    <row r="103" spans="1:7" ht="15.75" customHeight="1"/>
    <row r="104" spans="1:7" ht="15.75" customHeight="1"/>
    <row r="105" spans="1:7" ht="15.75" customHeight="1"/>
    <row r="106" spans="1:7" ht="15.75" customHeight="1"/>
    <row r="107" spans="1:7" ht="15.75" customHeight="1"/>
    <row r="108" spans="1:7" ht="15.75" customHeight="1"/>
    <row r="109" spans="1:7" ht="15.75" customHeight="1"/>
    <row r="110" spans="1:7" ht="15.75" customHeight="1"/>
    <row r="111" spans="1:7" ht="15.75" customHeight="1"/>
    <row r="112" spans="1:7"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6"/>
  <sheetViews>
    <sheetView topLeftCell="M1" workbookViewId="0">
      <selection activeCell="S18" sqref="S18"/>
    </sheetView>
  </sheetViews>
  <sheetFormatPr defaultColWidth="12.6328125" defaultRowHeight="15" customHeight="1"/>
  <cols>
    <col min="1" max="2" width="10.08984375" customWidth="1"/>
    <col min="3" max="3" width="12.1796875" customWidth="1"/>
    <col min="4" max="4" width="13.6328125" customWidth="1"/>
    <col min="5" max="5" width="12.08984375" customWidth="1"/>
    <col min="6" max="6" width="10" customWidth="1"/>
    <col min="7" max="7" width="10.36328125" customWidth="1"/>
    <col min="8" max="8" width="13.6328125" customWidth="1"/>
    <col min="20" max="20" width="15.1796875" style="23" customWidth="1"/>
    <col min="24" max="42" width="8.6328125" customWidth="1"/>
  </cols>
  <sheetData>
    <row r="1" spans="1:21" ht="14.5">
      <c r="A1" s="2" t="s">
        <v>1</v>
      </c>
      <c r="B1" s="28" t="s">
        <v>708</v>
      </c>
      <c r="C1" s="20" t="s">
        <v>9</v>
      </c>
      <c r="D1" s="2" t="s">
        <v>0</v>
      </c>
      <c r="E1" s="2" t="s">
        <v>2</v>
      </c>
      <c r="F1" s="5" t="s">
        <v>16</v>
      </c>
      <c r="G1" s="22" t="s">
        <v>25</v>
      </c>
      <c r="H1" s="22" t="s">
        <v>29</v>
      </c>
      <c r="I1" t="s">
        <v>11</v>
      </c>
      <c r="J1" t="s">
        <v>687</v>
      </c>
      <c r="K1" s="24" t="s">
        <v>14</v>
      </c>
      <c r="L1" s="24" t="s">
        <v>688</v>
      </c>
      <c r="M1" s="24" t="s">
        <v>689</v>
      </c>
      <c r="N1" s="24" t="s">
        <v>690</v>
      </c>
      <c r="O1" s="28" t="s">
        <v>706</v>
      </c>
      <c r="P1" t="s">
        <v>3</v>
      </c>
      <c r="Q1" t="s">
        <v>4</v>
      </c>
      <c r="R1" t="s">
        <v>6</v>
      </c>
      <c r="S1" t="s">
        <v>8</v>
      </c>
      <c r="T1" t="s">
        <v>10</v>
      </c>
      <c r="U1" t="s">
        <v>7</v>
      </c>
    </row>
    <row r="2" spans="1:21" ht="14.5">
      <c r="A2" s="2" t="s">
        <v>36</v>
      </c>
      <c r="B2" s="2">
        <f>DAY(Orders[[#This Row],[Order_Date]])</f>
        <v>8</v>
      </c>
      <c r="C2" s="20">
        <v>46181</v>
      </c>
      <c r="D2" s="2" t="s">
        <v>37</v>
      </c>
      <c r="E2" s="2" t="s">
        <v>41</v>
      </c>
      <c r="F2" s="2">
        <v>31</v>
      </c>
      <c r="G2" s="22">
        <v>0.05</v>
      </c>
      <c r="H2" s="22" t="s">
        <v>49</v>
      </c>
      <c r="I2">
        <f>_xlfn.XLOOKUP(Orders[[#This Row],[Product_ID]],Products[Product_ID], Products[Unit_Price])</f>
        <v>2.2000000000000002</v>
      </c>
      <c r="J2">
        <f>Orders[[#This Row],[Quantity]]*Orders[[#This Row],[Unit_Price]]</f>
        <v>68.2</v>
      </c>
      <c r="K2">
        <f>_xlfn.XLOOKUP(Orders[[#This Row],[Product_ID]], Products[Product_ID], Products[Cost_Price])</f>
        <v>1.2</v>
      </c>
      <c r="L2">
        <f>Orders[[#This Row],[Cost_Price]]*Orders[[#This Row],[Quantity]]</f>
        <v>37.199999999999996</v>
      </c>
      <c r="M2">
        <f>Orders[[#This Row],[Unit_Price]]*Orders[[#This Row],[Discount]]*Orders[[#This Row],[Quantity]]</f>
        <v>3.4100000000000006</v>
      </c>
      <c r="N2" s="23">
        <f>Orders[[#This Row],[Gross_Sales]]-Orders[[#This Row],[Total_Cost]]-Orders[[#This Row],[Total_Discount]]</f>
        <v>27.590000000000007</v>
      </c>
      <c r="O2" s="23">
        <f>Orders[[#This Row],[Total_Cost]]+Orders[[#This Row],[Total_Discount]]</f>
        <v>40.61</v>
      </c>
      <c r="P2" t="str">
        <f>_xlfn.XLOOKUP(Orders[[#This Row],[Product_ID]], Products[Product_ID], Products[Product_Name])</f>
        <v>Peach Tea</v>
      </c>
      <c r="Q2" t="str">
        <f>_xlfn.XLOOKUP(Orders[[#This Row],[Product_ID]], Products[Product_ID], Products[Category])</f>
        <v>Tea</v>
      </c>
      <c r="R2" t="str">
        <f>_xlfn.XLOOKUP(Orders[[#This Row],[Customer_ID]], Customers[Customer_ID], Customers[County])</f>
        <v>Kerry</v>
      </c>
      <c r="S2" t="str">
        <f>_xlfn.XLOOKUP(Orders[[#This Row],[Customer_ID]], Customers[Customer_ID], Customers[Customer_Type])</f>
        <v>Restaurant</v>
      </c>
      <c r="T2" t="str">
        <f>_xlfn.XLOOKUP(Orders[[#This Row],[Customer_ID]], Customers[Customer_ID], Customers[Preferred_Channel])</f>
        <v>Distributor</v>
      </c>
      <c r="U2" t="str">
        <f>_xlfn.XLOOKUP(Orders[[#This Row],[Product_ID]], Products[Product_ID], Products[Bottle_Size])</f>
        <v>500ml</v>
      </c>
    </row>
    <row r="3" spans="1:21" ht="14.5">
      <c r="A3" s="2" t="s">
        <v>52</v>
      </c>
      <c r="B3" s="2">
        <f>DAY(Orders[[#This Row],[Order_Date]])</f>
        <v>23</v>
      </c>
      <c r="C3" s="20">
        <v>46196</v>
      </c>
      <c r="D3" s="2" t="s">
        <v>55</v>
      </c>
      <c r="E3" s="2" t="s">
        <v>57</v>
      </c>
      <c r="F3" s="2">
        <v>23</v>
      </c>
      <c r="G3" s="22">
        <v>0</v>
      </c>
      <c r="H3" s="22" t="s">
        <v>61</v>
      </c>
      <c r="I3">
        <f>_xlfn.XLOOKUP(Orders[[#This Row],[Product_ID]],Products[Product_ID], Products[Unit_Price])</f>
        <v>2</v>
      </c>
      <c r="J3">
        <f>Orders[[#This Row],[Quantity]]*Orders[[#This Row],[Unit_Price]]</f>
        <v>46</v>
      </c>
      <c r="K3">
        <f>_xlfn.XLOOKUP(Orders[[#This Row],[Product_ID]], Products[Product_ID], Products[Cost_Price])</f>
        <v>1</v>
      </c>
      <c r="L3">
        <f>Orders[[#This Row],[Cost_Price]]*Orders[[#This Row],[Quantity]]</f>
        <v>23</v>
      </c>
      <c r="M3">
        <f>Orders[[#This Row],[Unit_Price]]*Orders[[#This Row],[Discount]]*Orders[[#This Row],[Quantity]]</f>
        <v>0</v>
      </c>
      <c r="N3" s="23">
        <f>Orders[[#This Row],[Gross_Sales]]-Orders[[#This Row],[Total_Cost]]-Orders[[#This Row],[Total_Discount]]</f>
        <v>23</v>
      </c>
      <c r="O3" s="23">
        <f>Orders[[#This Row],[Total_Cost]]+Orders[[#This Row],[Total_Discount]]</f>
        <v>23</v>
      </c>
      <c r="P3" t="str">
        <f>_xlfn.XLOOKUP(Orders[[#This Row],[Product_ID]], Products[Product_ID], Products[Product_Name])</f>
        <v xml:space="preserve">Mineral Water
</v>
      </c>
      <c r="Q3" t="str">
        <f>_xlfn.XLOOKUP(Orders[[#This Row],[Product_ID]], Products[Product_ID], Products[Category])</f>
        <v>Water</v>
      </c>
      <c r="R3" t="str">
        <f>_xlfn.XLOOKUP(Orders[[#This Row],[Customer_ID]], Customers[Customer_ID], Customers[County])</f>
        <v>Tipperary</v>
      </c>
      <c r="S3" t="str">
        <f>_xlfn.XLOOKUP(Orders[[#This Row],[Customer_ID]], Customers[Customer_ID], Customers[Customer_Type])</f>
        <v>Retailer</v>
      </c>
      <c r="T3" t="str">
        <f>_xlfn.XLOOKUP(Orders[[#This Row],[Customer_ID]], Customers[Customer_ID], Customers[Preferred_Channel])</f>
        <v>Online</v>
      </c>
      <c r="U3" t="str">
        <f>_xlfn.XLOOKUP(Orders[[#This Row],[Product_ID]], Products[Product_ID], Products[Bottle_Size])</f>
        <v>1.5L</v>
      </c>
    </row>
    <row r="4" spans="1:21" ht="14.5">
      <c r="A4" s="2" t="s">
        <v>63</v>
      </c>
      <c r="B4" s="2">
        <f>DAY(Orders[[#This Row],[Order_Date]])</f>
        <v>13</v>
      </c>
      <c r="C4" s="20">
        <v>46186</v>
      </c>
      <c r="D4" s="2" t="s">
        <v>65</v>
      </c>
      <c r="E4" s="2" t="s">
        <v>17</v>
      </c>
      <c r="F4" s="2">
        <v>41</v>
      </c>
      <c r="G4" s="22">
        <v>0</v>
      </c>
      <c r="H4" s="22" t="s">
        <v>61</v>
      </c>
      <c r="I4">
        <f>_xlfn.XLOOKUP(Orders[[#This Row],[Product_ID]],Products[Product_ID], Products[Unit_Price])</f>
        <v>1.2</v>
      </c>
      <c r="J4">
        <f>Orders[[#This Row],[Quantity]]*Orders[[#This Row],[Unit_Price]]</f>
        <v>49.199999999999996</v>
      </c>
      <c r="K4">
        <f>_xlfn.XLOOKUP(Orders[[#This Row],[Product_ID]], Products[Product_ID], Products[Cost_Price])</f>
        <v>0.6</v>
      </c>
      <c r="L4">
        <f>Orders[[#This Row],[Cost_Price]]*Orders[[#This Row],[Quantity]]</f>
        <v>24.599999999999998</v>
      </c>
      <c r="M4">
        <f>Orders[[#This Row],[Unit_Price]]*Orders[[#This Row],[Discount]]*Orders[[#This Row],[Quantity]]</f>
        <v>0</v>
      </c>
      <c r="N4" s="23">
        <f>Orders[[#This Row],[Gross_Sales]]-Orders[[#This Row],[Total_Cost]]-Orders[[#This Row],[Total_Discount]]</f>
        <v>24.599999999999998</v>
      </c>
      <c r="O4" s="23">
        <f>Orders[[#This Row],[Total_Cost]]+Orders[[#This Row],[Total_Discount]]</f>
        <v>24.599999999999998</v>
      </c>
      <c r="P4" t="str">
        <f>_xlfn.XLOOKUP(Orders[[#This Row],[Product_ID]], Products[Product_ID], Products[Product_Name])</f>
        <v>Still Water</v>
      </c>
      <c r="Q4" t="str">
        <f>_xlfn.XLOOKUP(Orders[[#This Row],[Product_ID]], Products[Product_ID], Products[Category])</f>
        <v>Water</v>
      </c>
      <c r="R4" t="str">
        <f>_xlfn.XLOOKUP(Orders[[#This Row],[Customer_ID]], Customers[Customer_ID], Customers[County])</f>
        <v>Waterford</v>
      </c>
      <c r="S4" t="str">
        <f>_xlfn.XLOOKUP(Orders[[#This Row],[Customer_ID]], Customers[Customer_ID], Customers[Customer_Type])</f>
        <v>Restaurant</v>
      </c>
      <c r="T4" t="str">
        <f>_xlfn.XLOOKUP(Orders[[#This Row],[Customer_ID]], Customers[Customer_ID], Customers[Preferred_Channel])</f>
        <v>Phone</v>
      </c>
      <c r="U4" t="str">
        <f>_xlfn.XLOOKUP(Orders[[#This Row],[Product_ID]], Products[Product_ID], Products[Bottle_Size])</f>
        <v>500ml</v>
      </c>
    </row>
    <row r="5" spans="1:21" ht="14.5">
      <c r="A5" s="2" t="s">
        <v>72</v>
      </c>
      <c r="B5" s="2">
        <f>DAY(Orders[[#This Row],[Order_Date]])</f>
        <v>13</v>
      </c>
      <c r="C5" s="20">
        <v>46186</v>
      </c>
      <c r="D5" s="19" t="s">
        <v>75</v>
      </c>
      <c r="E5" s="19" t="s">
        <v>170</v>
      </c>
      <c r="F5" s="2">
        <v>18</v>
      </c>
      <c r="G5" s="22">
        <v>0</v>
      </c>
      <c r="H5" s="22" t="s">
        <v>49</v>
      </c>
      <c r="I5">
        <f>_xlfn.XLOOKUP(Orders[[#This Row],[Product_ID]],Products[Product_ID], Products[Unit_Price])</f>
        <v>1.9</v>
      </c>
      <c r="J5">
        <f>Orders[[#This Row],[Quantity]]*Orders[[#This Row],[Unit_Price]]</f>
        <v>34.199999999999996</v>
      </c>
      <c r="K5">
        <f>_xlfn.XLOOKUP(Orders[[#This Row],[Product_ID]], Products[Product_ID], Products[Cost_Price])</f>
        <v>0.95</v>
      </c>
      <c r="L5">
        <f>Orders[[#This Row],[Cost_Price]]*Orders[[#This Row],[Quantity]]</f>
        <v>17.099999999999998</v>
      </c>
      <c r="M5">
        <f>Orders[[#This Row],[Unit_Price]]*Orders[[#This Row],[Discount]]*Orders[[#This Row],[Quantity]]</f>
        <v>0</v>
      </c>
      <c r="N5" s="23">
        <f>Orders[[#This Row],[Gross_Sales]]-Orders[[#This Row],[Total_Cost]]-Orders[[#This Row],[Total_Discount]]</f>
        <v>17.099999999999998</v>
      </c>
      <c r="O5" s="23">
        <f>Orders[[#This Row],[Total_Cost]]+Orders[[#This Row],[Total_Discount]]</f>
        <v>17.099999999999998</v>
      </c>
      <c r="P5" t="str">
        <f>_xlfn.XLOOKUP(Orders[[#This Row],[Product_ID]], Products[Product_ID], Products[Product_Name])</f>
        <v>Vitamin Water</v>
      </c>
      <c r="Q5" t="str">
        <f>_xlfn.XLOOKUP(Orders[[#This Row],[Product_ID]], Products[Product_ID], Products[Category])</f>
        <v>Water</v>
      </c>
      <c r="R5" t="str">
        <f>_xlfn.XLOOKUP(Orders[[#This Row],[Customer_ID]], Customers[Customer_ID], Customers[County])</f>
        <v>Offaly</v>
      </c>
      <c r="S5" t="str">
        <f>_xlfn.XLOOKUP(Orders[[#This Row],[Customer_ID]], Customers[Customer_ID], Customers[Customer_Type])</f>
        <v>Hotel</v>
      </c>
      <c r="T5" t="str">
        <f>_xlfn.XLOOKUP(Orders[[#This Row],[Customer_ID]], Customers[Customer_ID], Customers[Preferred_Channel])</f>
        <v>Phone</v>
      </c>
      <c r="U5" t="str">
        <f>_xlfn.XLOOKUP(Orders[[#This Row],[Product_ID]], Products[Product_ID], Products[Bottle_Size])</f>
        <v>500ml</v>
      </c>
    </row>
    <row r="6" spans="1:21" ht="14.5">
      <c r="A6" s="2" t="s">
        <v>82</v>
      </c>
      <c r="B6" s="2">
        <f>DAY(Orders[[#This Row],[Order_Date]])</f>
        <v>17</v>
      </c>
      <c r="C6" s="20">
        <v>46190</v>
      </c>
      <c r="D6" s="2" t="s">
        <v>86</v>
      </c>
      <c r="E6" s="2" t="s">
        <v>69</v>
      </c>
      <c r="F6" s="2">
        <v>40</v>
      </c>
      <c r="G6" s="22">
        <v>0</v>
      </c>
      <c r="H6" s="22" t="s">
        <v>61</v>
      </c>
      <c r="I6">
        <f>_xlfn.XLOOKUP(Orders[[#This Row],[Product_ID]],Products[Product_ID], Products[Unit_Price])</f>
        <v>2</v>
      </c>
      <c r="J6">
        <f>Orders[[#This Row],[Quantity]]*Orders[[#This Row],[Unit_Price]]</f>
        <v>80</v>
      </c>
      <c r="K6">
        <f>_xlfn.XLOOKUP(Orders[[#This Row],[Product_ID]], Products[Product_ID], Products[Cost_Price])</f>
        <v>1.1000000000000001</v>
      </c>
      <c r="L6">
        <f>Orders[[#This Row],[Cost_Price]]*Orders[[#This Row],[Quantity]]</f>
        <v>44</v>
      </c>
      <c r="M6">
        <f>Orders[[#This Row],[Unit_Price]]*Orders[[#This Row],[Discount]]*Orders[[#This Row],[Quantity]]</f>
        <v>0</v>
      </c>
      <c r="N6" s="23">
        <f>Orders[[#This Row],[Gross_Sales]]-Orders[[#This Row],[Total_Cost]]-Orders[[#This Row],[Total_Discount]]</f>
        <v>36</v>
      </c>
      <c r="O6" s="23">
        <f>Orders[[#This Row],[Total_Cost]]+Orders[[#This Row],[Total_Discount]]</f>
        <v>44</v>
      </c>
      <c r="P6" t="str">
        <f>_xlfn.XLOOKUP(Orders[[#This Row],[Product_ID]], Products[Product_ID], Products[Product_Name])</f>
        <v>Apple Juice</v>
      </c>
      <c r="Q6" t="str">
        <f>_xlfn.XLOOKUP(Orders[[#This Row],[Product_ID]], Products[Product_ID], Products[Category])</f>
        <v>Juice</v>
      </c>
      <c r="R6" t="str">
        <f>_xlfn.XLOOKUP(Orders[[#This Row],[Customer_ID]], Customers[Customer_ID], Customers[County])</f>
        <v>Meath</v>
      </c>
      <c r="S6" t="str">
        <f>_xlfn.XLOOKUP(Orders[[#This Row],[Customer_ID]], Customers[Customer_ID], Customers[Customer_Type])</f>
        <v>Wholesaler</v>
      </c>
      <c r="T6" t="str">
        <f>_xlfn.XLOOKUP(Orders[[#This Row],[Customer_ID]], Customers[Customer_ID], Customers[Preferred_Channel])</f>
        <v>Phone</v>
      </c>
      <c r="U6" t="str">
        <f>_xlfn.XLOOKUP(Orders[[#This Row],[Product_ID]], Products[Product_ID], Products[Bottle_Size])</f>
        <v>1L</v>
      </c>
    </row>
    <row r="7" spans="1:21" ht="14.5">
      <c r="A7" s="2" t="s">
        <v>91</v>
      </c>
      <c r="B7" s="2">
        <f>DAY(Orders[[#This Row],[Order_Date]])</f>
        <v>9</v>
      </c>
      <c r="C7" s="20">
        <v>46182</v>
      </c>
      <c r="D7" s="19" t="s">
        <v>93</v>
      </c>
      <c r="E7" s="19" t="s">
        <v>50</v>
      </c>
      <c r="F7" s="2">
        <v>8</v>
      </c>
      <c r="G7" s="22">
        <v>0.05</v>
      </c>
      <c r="H7" s="22" t="s">
        <v>61</v>
      </c>
      <c r="I7">
        <f>_xlfn.XLOOKUP(Orders[[#This Row],[Product_ID]],Products[Product_ID], Products[Unit_Price])</f>
        <v>1.6</v>
      </c>
      <c r="J7">
        <f>Orders[[#This Row],[Quantity]]*Orders[[#This Row],[Unit_Price]]</f>
        <v>12.8</v>
      </c>
      <c r="K7">
        <f>_xlfn.XLOOKUP(Orders[[#This Row],[Product_ID]], Products[Product_ID], Products[Cost_Price])</f>
        <v>0.85</v>
      </c>
      <c r="L7">
        <f>Orders[[#This Row],[Cost_Price]]*Orders[[#This Row],[Quantity]]</f>
        <v>6.8</v>
      </c>
      <c r="M7">
        <f>Orders[[#This Row],[Unit_Price]]*Orders[[#This Row],[Discount]]*Orders[[#This Row],[Quantity]]</f>
        <v>0.64000000000000012</v>
      </c>
      <c r="N7" s="23">
        <f>Orders[[#This Row],[Gross_Sales]]-Orders[[#This Row],[Total_Cost]]-Orders[[#This Row],[Total_Discount]]</f>
        <v>5.3600000000000012</v>
      </c>
      <c r="O7" s="23">
        <f>Orders[[#This Row],[Total_Cost]]+Orders[[#This Row],[Total_Discount]]</f>
        <v>7.4399999999999995</v>
      </c>
      <c r="P7" t="str">
        <f>_xlfn.XLOOKUP(Orders[[#This Row],[Product_ID]], Products[Product_ID], Products[Product_Name])</f>
        <v>Orange Soda</v>
      </c>
      <c r="Q7" t="str">
        <f>_xlfn.XLOOKUP(Orders[[#This Row],[Product_ID]], Products[Product_ID], Products[Category])</f>
        <v>Soft Drink</v>
      </c>
      <c r="R7" t="str">
        <f>_xlfn.XLOOKUP(Orders[[#This Row],[Customer_ID]], Customers[Customer_ID], Customers[County])</f>
        <v>Meath</v>
      </c>
      <c r="S7" t="str">
        <f>_xlfn.XLOOKUP(Orders[[#This Row],[Customer_ID]], Customers[Customer_ID], Customers[Customer_Type])</f>
        <v>Restaurant</v>
      </c>
      <c r="T7" t="str">
        <f>_xlfn.XLOOKUP(Orders[[#This Row],[Customer_ID]], Customers[Customer_ID], Customers[Preferred_Channel])</f>
        <v>Online</v>
      </c>
      <c r="U7" t="str">
        <f>_xlfn.XLOOKUP(Orders[[#This Row],[Product_ID]], Products[Product_ID], Products[Bottle_Size])</f>
        <v>500ml</v>
      </c>
    </row>
    <row r="8" spans="1:21" ht="14.5">
      <c r="A8" s="2" t="s">
        <v>103</v>
      </c>
      <c r="B8" s="2">
        <f>DAY(Orders[[#This Row],[Order_Date]])</f>
        <v>9</v>
      </c>
      <c r="C8" s="20">
        <v>46182</v>
      </c>
      <c r="D8" s="2" t="s">
        <v>105</v>
      </c>
      <c r="E8" s="2" t="s">
        <v>28</v>
      </c>
      <c r="F8" s="2">
        <v>11</v>
      </c>
      <c r="G8" s="22">
        <v>0.05</v>
      </c>
      <c r="H8" s="22" t="s">
        <v>61</v>
      </c>
      <c r="I8">
        <f>_xlfn.XLOOKUP(Orders[[#This Row],[Product_ID]],Products[Product_ID], Products[Unit_Price])</f>
        <v>1.8</v>
      </c>
      <c r="J8">
        <f>Orders[[#This Row],[Quantity]]*Orders[[#This Row],[Unit_Price]]</f>
        <v>19.8</v>
      </c>
      <c r="K8">
        <f>_xlfn.XLOOKUP(Orders[[#This Row],[Product_ID]], Products[Product_ID], Products[Cost_Price])</f>
        <v>0.9</v>
      </c>
      <c r="L8">
        <f>Orders[[#This Row],[Cost_Price]]*Orders[[#This Row],[Quantity]]</f>
        <v>9.9</v>
      </c>
      <c r="M8">
        <f>Orders[[#This Row],[Unit_Price]]*Orders[[#This Row],[Discount]]*Orders[[#This Row],[Quantity]]</f>
        <v>0.9900000000000001</v>
      </c>
      <c r="N8" s="23">
        <f>Orders[[#This Row],[Gross_Sales]]-Orders[[#This Row],[Total_Cost]]-Orders[[#This Row],[Total_Discount]]</f>
        <v>8.91</v>
      </c>
      <c r="O8" s="23">
        <f>Orders[[#This Row],[Total_Cost]]+Orders[[#This Row],[Total_Discount]]</f>
        <v>10.89</v>
      </c>
      <c r="P8" t="str">
        <f>_xlfn.XLOOKUP(Orders[[#This Row],[Product_ID]], Products[Product_ID], Products[Product_Name])</f>
        <v>Sparkling Water</v>
      </c>
      <c r="Q8" t="str">
        <f>_xlfn.XLOOKUP(Orders[[#This Row],[Product_ID]], Products[Product_ID], Products[Category])</f>
        <v>Water</v>
      </c>
      <c r="R8" t="str">
        <f>_xlfn.XLOOKUP(Orders[[#This Row],[Customer_ID]], Customers[Customer_ID], Customers[County])</f>
        <v>Tipperary</v>
      </c>
      <c r="S8" t="str">
        <f>_xlfn.XLOOKUP(Orders[[#This Row],[Customer_ID]], Customers[Customer_ID], Customers[Customer_Type])</f>
        <v>Hotel</v>
      </c>
      <c r="T8" t="str">
        <f>_xlfn.XLOOKUP(Orders[[#This Row],[Customer_ID]], Customers[Customer_ID], Customers[Preferred_Channel])</f>
        <v>Sales Rep</v>
      </c>
      <c r="U8" t="str">
        <f>_xlfn.XLOOKUP(Orders[[#This Row],[Product_ID]], Products[Product_ID], Products[Bottle_Size])</f>
        <v>1L</v>
      </c>
    </row>
    <row r="9" spans="1:21" ht="14.5">
      <c r="A9" s="2" t="s">
        <v>112</v>
      </c>
      <c r="B9" s="2">
        <f>DAY(Orders[[#This Row],[Order_Date]])</f>
        <v>7</v>
      </c>
      <c r="C9" s="20">
        <v>46180</v>
      </c>
      <c r="D9" s="2" t="s">
        <v>113</v>
      </c>
      <c r="E9" s="2" t="s">
        <v>108</v>
      </c>
      <c r="F9" s="2">
        <v>6</v>
      </c>
      <c r="G9" s="22">
        <v>0</v>
      </c>
      <c r="H9" s="22" t="s">
        <v>49</v>
      </c>
      <c r="I9">
        <f>_xlfn.XLOOKUP(Orders[[#This Row],[Product_ID]],Products[Product_ID], Products[Unit_Price])</f>
        <v>2.1</v>
      </c>
      <c r="J9">
        <f>Orders[[#This Row],[Quantity]]*Orders[[#This Row],[Unit_Price]]</f>
        <v>12.600000000000001</v>
      </c>
      <c r="K9">
        <f>_xlfn.XLOOKUP(Orders[[#This Row],[Product_ID]], Products[Product_ID], Products[Cost_Price])</f>
        <v>1.2</v>
      </c>
      <c r="L9">
        <f>Orders[[#This Row],[Cost_Price]]*Orders[[#This Row],[Quantity]]</f>
        <v>7.1999999999999993</v>
      </c>
      <c r="M9">
        <f>Orders[[#This Row],[Unit_Price]]*Orders[[#This Row],[Discount]]*Orders[[#This Row],[Quantity]]</f>
        <v>0</v>
      </c>
      <c r="N9" s="23">
        <f>Orders[[#This Row],[Gross_Sales]]-Orders[[#This Row],[Total_Cost]]-Orders[[#This Row],[Total_Discount]]</f>
        <v>5.4000000000000021</v>
      </c>
      <c r="O9" s="23">
        <f>Orders[[#This Row],[Total_Cost]]+Orders[[#This Row],[Total_Discount]]</f>
        <v>7.1999999999999993</v>
      </c>
      <c r="P9" t="str">
        <f>_xlfn.XLOOKUP(Orders[[#This Row],[Product_ID]], Products[Product_ID], Products[Product_Name])</f>
        <v>Berry Splash</v>
      </c>
      <c r="Q9" t="str">
        <f>_xlfn.XLOOKUP(Orders[[#This Row],[Product_ID]], Products[Product_ID], Products[Category])</f>
        <v>Juice</v>
      </c>
      <c r="R9" t="str">
        <f>_xlfn.XLOOKUP(Orders[[#This Row],[Customer_ID]], Customers[Customer_ID], Customers[County])</f>
        <v>Kerry</v>
      </c>
      <c r="S9" t="str">
        <f>_xlfn.XLOOKUP(Orders[[#This Row],[Customer_ID]], Customers[Customer_ID], Customers[Customer_Type])</f>
        <v>Retailer</v>
      </c>
      <c r="T9" t="str">
        <f>_xlfn.XLOOKUP(Orders[[#This Row],[Customer_ID]], Customers[Customer_ID], Customers[Preferred_Channel])</f>
        <v>Online</v>
      </c>
      <c r="U9" t="str">
        <f>_xlfn.XLOOKUP(Orders[[#This Row],[Product_ID]], Products[Product_ID], Products[Bottle_Size])</f>
        <v>500ml</v>
      </c>
    </row>
    <row r="10" spans="1:21" ht="14.5">
      <c r="A10" s="2" t="s">
        <v>122</v>
      </c>
      <c r="B10" s="2">
        <f>DAY(Orders[[#This Row],[Order_Date]])</f>
        <v>2</v>
      </c>
      <c r="C10" s="20">
        <v>46175</v>
      </c>
      <c r="D10" s="2" t="s">
        <v>124</v>
      </c>
      <c r="E10" s="2" t="s">
        <v>84</v>
      </c>
      <c r="F10" s="2">
        <v>44</v>
      </c>
      <c r="G10" s="22">
        <v>0</v>
      </c>
      <c r="H10" s="22" t="s">
        <v>61</v>
      </c>
      <c r="I10">
        <f>_xlfn.XLOOKUP(Orders[[#This Row],[Product_ID]],Products[Product_ID], Products[Unit_Price])</f>
        <v>1.7</v>
      </c>
      <c r="J10">
        <f>Orders[[#This Row],[Quantity]]*Orders[[#This Row],[Unit_Price]]</f>
        <v>74.8</v>
      </c>
      <c r="K10">
        <f>_xlfn.XLOOKUP(Orders[[#This Row],[Product_ID]], Products[Product_ID], Products[Cost_Price])</f>
        <v>0.9</v>
      </c>
      <c r="L10">
        <f>Orders[[#This Row],[Cost_Price]]*Orders[[#This Row],[Quantity]]</f>
        <v>39.6</v>
      </c>
      <c r="M10">
        <f>Orders[[#This Row],[Unit_Price]]*Orders[[#This Row],[Discount]]*Orders[[#This Row],[Quantity]]</f>
        <v>0</v>
      </c>
      <c r="N10" s="23">
        <f>Orders[[#This Row],[Gross_Sales]]-Orders[[#This Row],[Total_Cost]]-Orders[[#This Row],[Total_Discount]]</f>
        <v>35.199999999999996</v>
      </c>
      <c r="O10" s="23">
        <f>Orders[[#This Row],[Total_Cost]]+Orders[[#This Row],[Total_Discount]]</f>
        <v>39.6</v>
      </c>
      <c r="P10" t="str">
        <f>_xlfn.XLOOKUP(Orders[[#This Row],[Product_ID]], Products[Product_ID], Products[Product_Name])</f>
        <v>Lemon Lime</v>
      </c>
      <c r="Q10" t="str">
        <f>_xlfn.XLOOKUP(Orders[[#This Row],[Product_ID]], Products[Product_ID], Products[Category])</f>
        <v>Soft Drink</v>
      </c>
      <c r="R10" t="str">
        <f>_xlfn.XLOOKUP(Orders[[#This Row],[Customer_ID]], Customers[Customer_ID], Customers[County])</f>
        <v>Kerry</v>
      </c>
      <c r="S10" t="str">
        <f>_xlfn.XLOOKUP(Orders[[#This Row],[Customer_ID]], Customers[Customer_ID], Customers[Customer_Type])</f>
        <v>Retailer</v>
      </c>
      <c r="T10" t="str">
        <f>_xlfn.XLOOKUP(Orders[[#This Row],[Customer_ID]], Customers[Customer_ID], Customers[Preferred_Channel])</f>
        <v>Sales Rep</v>
      </c>
      <c r="U10" t="str">
        <f>_xlfn.XLOOKUP(Orders[[#This Row],[Product_ID]], Products[Product_ID], Products[Bottle_Size])</f>
        <v>500ml</v>
      </c>
    </row>
    <row r="11" spans="1:21" ht="14.5">
      <c r="A11" s="2" t="s">
        <v>659</v>
      </c>
      <c r="B11" s="2">
        <f>DAY(Orders[[#This Row],[Order_Date]])</f>
        <v>8</v>
      </c>
      <c r="C11" s="20">
        <v>46181</v>
      </c>
      <c r="D11" s="2" t="s">
        <v>133</v>
      </c>
      <c r="E11" s="2" t="s">
        <v>134</v>
      </c>
      <c r="F11" s="2">
        <v>10</v>
      </c>
      <c r="G11" s="22">
        <v>0</v>
      </c>
      <c r="H11" s="22" t="s">
        <v>61</v>
      </c>
      <c r="I11">
        <f>_xlfn.XLOOKUP(Orders[[#This Row],[Product_ID]],Products[Product_ID], Products[Unit_Price])</f>
        <v>1.8</v>
      </c>
      <c r="J11">
        <f>Orders[[#This Row],[Quantity]]*Orders[[#This Row],[Unit_Price]]</f>
        <v>18</v>
      </c>
      <c r="K11">
        <f>_xlfn.XLOOKUP(Orders[[#This Row],[Product_ID]], Products[Product_ID], Products[Cost_Price])</f>
        <v>0.95</v>
      </c>
      <c r="L11">
        <f>Orders[[#This Row],[Cost_Price]]*Orders[[#This Row],[Quantity]]</f>
        <v>9.5</v>
      </c>
      <c r="M11">
        <f>Orders[[#This Row],[Unit_Price]]*Orders[[#This Row],[Discount]]*Orders[[#This Row],[Quantity]]</f>
        <v>0</v>
      </c>
      <c r="N11" s="23">
        <f>Orders[[#This Row],[Gross_Sales]]-Orders[[#This Row],[Total_Cost]]-Orders[[#This Row],[Total_Discount]]</f>
        <v>8.5</v>
      </c>
      <c r="O11" s="23">
        <f>Orders[[#This Row],[Total_Cost]]+Orders[[#This Row],[Total_Discount]]</f>
        <v>9.5</v>
      </c>
      <c r="P11" t="str">
        <f>_xlfn.XLOOKUP(Orders[[#This Row],[Product_ID]], Products[Product_ID], Products[Product_Name])</f>
        <v>Sparkling Citrus</v>
      </c>
      <c r="Q11" t="str">
        <f>_xlfn.XLOOKUP(Orders[[#This Row],[Product_ID]], Products[Product_ID], Products[Category])</f>
        <v>Water</v>
      </c>
      <c r="R11" t="str">
        <f>_xlfn.XLOOKUP(Orders[[#This Row],[Customer_ID]], Customers[Customer_ID], Customers[County])</f>
        <v>Meath</v>
      </c>
      <c r="S11" t="str">
        <f>_xlfn.XLOOKUP(Orders[[#This Row],[Customer_ID]], Customers[Customer_ID], Customers[Customer_Type])</f>
        <v>Restaurant</v>
      </c>
      <c r="T11" t="str">
        <f>_xlfn.XLOOKUP(Orders[[#This Row],[Customer_ID]], Customers[Customer_ID], Customers[Preferred_Channel])</f>
        <v>Phone</v>
      </c>
      <c r="U11" t="str">
        <f>_xlfn.XLOOKUP(Orders[[#This Row],[Product_ID]], Products[Product_ID], Products[Bottle_Size])</f>
        <v>330ml</v>
      </c>
    </row>
    <row r="12" spans="1:21" ht="14.5">
      <c r="A12" s="2" t="s">
        <v>141</v>
      </c>
      <c r="B12" s="2">
        <f>DAY(Orders[[#This Row],[Order_Date]])</f>
        <v>27</v>
      </c>
      <c r="C12" s="20">
        <v>46200</v>
      </c>
      <c r="D12" s="2" t="s">
        <v>144</v>
      </c>
      <c r="E12" s="2" t="s">
        <v>134</v>
      </c>
      <c r="F12" s="2">
        <v>45</v>
      </c>
      <c r="G12" s="22">
        <v>0.05</v>
      </c>
      <c r="H12" s="22" t="s">
        <v>61</v>
      </c>
      <c r="I12">
        <f>_xlfn.XLOOKUP(Orders[[#This Row],[Product_ID]],Products[Product_ID], Products[Unit_Price])</f>
        <v>1.8</v>
      </c>
      <c r="J12">
        <f>Orders[[#This Row],[Quantity]]*Orders[[#This Row],[Unit_Price]]</f>
        <v>81</v>
      </c>
      <c r="K12">
        <f>_xlfn.XLOOKUP(Orders[[#This Row],[Product_ID]], Products[Product_ID], Products[Cost_Price])</f>
        <v>0.95</v>
      </c>
      <c r="L12">
        <f>Orders[[#This Row],[Cost_Price]]*Orders[[#This Row],[Quantity]]</f>
        <v>42.75</v>
      </c>
      <c r="M12">
        <f>Orders[[#This Row],[Unit_Price]]*Orders[[#This Row],[Discount]]*Orders[[#This Row],[Quantity]]</f>
        <v>4.0500000000000007</v>
      </c>
      <c r="N12" s="23">
        <f>Orders[[#This Row],[Gross_Sales]]-Orders[[#This Row],[Total_Cost]]-Orders[[#This Row],[Total_Discount]]</f>
        <v>34.200000000000003</v>
      </c>
      <c r="O12" s="23">
        <f>Orders[[#This Row],[Total_Cost]]+Orders[[#This Row],[Total_Discount]]</f>
        <v>46.8</v>
      </c>
      <c r="P12" t="str">
        <f>_xlfn.XLOOKUP(Orders[[#This Row],[Product_ID]], Products[Product_ID], Products[Product_Name])</f>
        <v>Sparkling Citrus</v>
      </c>
      <c r="Q12" t="str">
        <f>_xlfn.XLOOKUP(Orders[[#This Row],[Product_ID]], Products[Product_ID], Products[Category])</f>
        <v>Water</v>
      </c>
      <c r="R12" t="str">
        <f>_xlfn.XLOOKUP(Orders[[#This Row],[Customer_ID]], Customers[Customer_ID], Customers[County])</f>
        <v>Wexford</v>
      </c>
      <c r="S12" t="str">
        <f>_xlfn.XLOOKUP(Orders[[#This Row],[Customer_ID]], Customers[Customer_ID], Customers[Customer_Type])</f>
        <v>Wholesaler</v>
      </c>
      <c r="T12" t="str">
        <f>_xlfn.XLOOKUP(Orders[[#This Row],[Customer_ID]], Customers[Customer_ID], Customers[Preferred_Channel])</f>
        <v>Online</v>
      </c>
      <c r="U12" t="str">
        <f>_xlfn.XLOOKUP(Orders[[#This Row],[Product_ID]], Products[Product_ID], Products[Bottle_Size])</f>
        <v>330ml</v>
      </c>
    </row>
    <row r="13" spans="1:21" ht="14.5">
      <c r="A13" s="2" t="s">
        <v>150</v>
      </c>
      <c r="B13" s="2">
        <f>DAY(Orders[[#This Row],[Order_Date]])</f>
        <v>7</v>
      </c>
      <c r="C13" s="20">
        <v>46180</v>
      </c>
      <c r="D13" s="2" t="s">
        <v>30</v>
      </c>
      <c r="E13" s="2" t="s">
        <v>151</v>
      </c>
      <c r="F13" s="2">
        <v>46</v>
      </c>
      <c r="G13" s="22">
        <v>0.05</v>
      </c>
      <c r="H13" s="22" t="s">
        <v>61</v>
      </c>
      <c r="I13">
        <f>_xlfn.XLOOKUP(Orders[[#This Row],[Product_ID]],Products[Product_ID], Products[Unit_Price])</f>
        <v>1.5</v>
      </c>
      <c r="J13">
        <f>Orders[[#This Row],[Quantity]]*Orders[[#This Row],[Unit_Price]]</f>
        <v>69</v>
      </c>
      <c r="K13">
        <f>_xlfn.XLOOKUP(Orders[[#This Row],[Product_ID]], Products[Product_ID], Products[Cost_Price])</f>
        <v>0.8</v>
      </c>
      <c r="L13">
        <f>Orders[[#This Row],[Cost_Price]]*Orders[[#This Row],[Quantity]]</f>
        <v>36.800000000000004</v>
      </c>
      <c r="M13">
        <f>Orders[[#This Row],[Unit_Price]]*Orders[[#This Row],[Discount]]*Orders[[#This Row],[Quantity]]</f>
        <v>3.4500000000000006</v>
      </c>
      <c r="N13" s="23">
        <f>Orders[[#This Row],[Gross_Sales]]-Orders[[#This Row],[Total_Cost]]-Orders[[#This Row],[Total_Discount]]</f>
        <v>28.749999999999996</v>
      </c>
      <c r="O13" s="23">
        <f>Orders[[#This Row],[Total_Cost]]+Orders[[#This Row],[Total_Discount]]</f>
        <v>40.250000000000007</v>
      </c>
      <c r="P13" t="str">
        <f>_xlfn.XLOOKUP(Orders[[#This Row],[Product_ID]], Products[Product_ID], Products[Product_Name])</f>
        <v>Kids Juice</v>
      </c>
      <c r="Q13" t="str">
        <f>_xlfn.XLOOKUP(Orders[[#This Row],[Product_ID]], Products[Product_ID], Products[Category])</f>
        <v>Juice</v>
      </c>
      <c r="R13" t="str">
        <f>_xlfn.XLOOKUP(Orders[[#This Row],[Customer_ID]], Customers[Customer_ID], Customers[County])</f>
        <v>Kerry</v>
      </c>
      <c r="S13" t="str">
        <f>_xlfn.XLOOKUP(Orders[[#This Row],[Customer_ID]], Customers[Customer_ID], Customers[Customer_Type])</f>
        <v>Wholesaler</v>
      </c>
      <c r="T13" t="str">
        <f>_xlfn.XLOOKUP(Orders[[#This Row],[Customer_ID]], Customers[Customer_ID], Customers[Preferred_Channel])</f>
        <v>Online</v>
      </c>
      <c r="U13" t="str">
        <f>_xlfn.XLOOKUP(Orders[[#This Row],[Product_ID]], Products[Product_ID], Products[Bottle_Size])</f>
        <v>250ml</v>
      </c>
    </row>
    <row r="14" spans="1:21" ht="14.5">
      <c r="A14" s="2" t="s">
        <v>157</v>
      </c>
      <c r="B14" s="2">
        <f>DAY(Orders[[#This Row],[Order_Date]])</f>
        <v>3</v>
      </c>
      <c r="C14" s="20">
        <v>46176</v>
      </c>
      <c r="D14" s="2" t="s">
        <v>160</v>
      </c>
      <c r="E14" s="2" t="s">
        <v>117</v>
      </c>
      <c r="F14" s="2">
        <v>15</v>
      </c>
      <c r="G14" s="22">
        <v>0.05</v>
      </c>
      <c r="H14" s="22" t="s">
        <v>61</v>
      </c>
      <c r="I14">
        <f>_xlfn.XLOOKUP(Orders[[#This Row],[Product_ID]],Products[Product_ID], Products[Unit_Price])</f>
        <v>1.9</v>
      </c>
      <c r="J14">
        <f>Orders[[#This Row],[Quantity]]*Orders[[#This Row],[Unit_Price]]</f>
        <v>28.5</v>
      </c>
      <c r="K14">
        <f>_xlfn.XLOOKUP(Orders[[#This Row],[Product_ID]], Products[Product_ID], Products[Cost_Price])</f>
        <v>1</v>
      </c>
      <c r="L14">
        <f>Orders[[#This Row],[Cost_Price]]*Orders[[#This Row],[Quantity]]</f>
        <v>15</v>
      </c>
      <c r="M14">
        <f>Orders[[#This Row],[Unit_Price]]*Orders[[#This Row],[Discount]]*Orders[[#This Row],[Quantity]]</f>
        <v>1.425</v>
      </c>
      <c r="N14" s="23">
        <f>Orders[[#This Row],[Gross_Sales]]-Orders[[#This Row],[Total_Cost]]-Orders[[#This Row],[Total_Discount]]</f>
        <v>12.074999999999999</v>
      </c>
      <c r="O14" s="23">
        <f>Orders[[#This Row],[Total_Cost]]+Orders[[#This Row],[Total_Discount]]</f>
        <v>16.425000000000001</v>
      </c>
      <c r="P14" t="str">
        <f>_xlfn.XLOOKUP(Orders[[#This Row],[Product_ID]], Products[Product_ID], Products[Product_Name])</f>
        <v>Tonic Water</v>
      </c>
      <c r="Q14" t="str">
        <f>_xlfn.XLOOKUP(Orders[[#This Row],[Product_ID]], Products[Product_ID], Products[Category])</f>
        <v>Water</v>
      </c>
      <c r="R14" t="str">
        <f>_xlfn.XLOOKUP(Orders[[#This Row],[Customer_ID]], Customers[Customer_ID], Customers[County])</f>
        <v>Offaly</v>
      </c>
      <c r="S14" t="str">
        <f>_xlfn.XLOOKUP(Orders[[#This Row],[Customer_ID]], Customers[Customer_ID], Customers[Customer_Type])</f>
        <v>Hotel</v>
      </c>
      <c r="T14" t="str">
        <f>_xlfn.XLOOKUP(Orders[[#This Row],[Customer_ID]], Customers[Customer_ID], Customers[Preferred_Channel])</f>
        <v>Email</v>
      </c>
      <c r="U14" t="str">
        <f>_xlfn.XLOOKUP(Orders[[#This Row],[Product_ID]], Products[Product_ID], Products[Bottle_Size])</f>
        <v>1L</v>
      </c>
    </row>
    <row r="15" spans="1:21" ht="14.5">
      <c r="A15" s="2" t="s">
        <v>164</v>
      </c>
      <c r="B15" s="2">
        <f>DAY(Orders[[#This Row],[Order_Date]])</f>
        <v>5</v>
      </c>
      <c r="C15" s="20">
        <v>46178</v>
      </c>
      <c r="D15" s="2" t="s">
        <v>198</v>
      </c>
      <c r="E15" s="2" t="s">
        <v>170</v>
      </c>
      <c r="F15" s="2">
        <v>10</v>
      </c>
      <c r="G15" s="22">
        <v>0.05</v>
      </c>
      <c r="H15" s="22" t="s">
        <v>61</v>
      </c>
      <c r="I15">
        <f>_xlfn.XLOOKUP(Orders[[#This Row],[Product_ID]],Products[Product_ID], Products[Unit_Price])</f>
        <v>1.9</v>
      </c>
      <c r="J15">
        <f>Orders[[#This Row],[Quantity]]*Orders[[#This Row],[Unit_Price]]</f>
        <v>19</v>
      </c>
      <c r="K15">
        <f>_xlfn.XLOOKUP(Orders[[#This Row],[Product_ID]], Products[Product_ID], Products[Cost_Price])</f>
        <v>0.95</v>
      </c>
      <c r="L15">
        <f>Orders[[#This Row],[Cost_Price]]*Orders[[#This Row],[Quantity]]</f>
        <v>9.5</v>
      </c>
      <c r="M15">
        <f>Orders[[#This Row],[Unit_Price]]*Orders[[#This Row],[Discount]]*Orders[[#This Row],[Quantity]]</f>
        <v>0.95</v>
      </c>
      <c r="N15" s="23">
        <f>Orders[[#This Row],[Gross_Sales]]-Orders[[#This Row],[Total_Cost]]-Orders[[#This Row],[Total_Discount]]</f>
        <v>8.5500000000000007</v>
      </c>
      <c r="O15" s="23">
        <f>Orders[[#This Row],[Total_Cost]]+Orders[[#This Row],[Total_Discount]]</f>
        <v>10.45</v>
      </c>
      <c r="P15" t="str">
        <f>_xlfn.XLOOKUP(Orders[[#This Row],[Product_ID]], Products[Product_ID], Products[Product_Name])</f>
        <v>Vitamin Water</v>
      </c>
      <c r="Q15" t="str">
        <f>_xlfn.XLOOKUP(Orders[[#This Row],[Product_ID]], Products[Product_ID], Products[Category])</f>
        <v>Water</v>
      </c>
      <c r="R15" t="str">
        <f>_xlfn.XLOOKUP(Orders[[#This Row],[Customer_ID]], Customers[Customer_ID], Customers[County])</f>
        <v>Kerry</v>
      </c>
      <c r="S15" t="str">
        <f>_xlfn.XLOOKUP(Orders[[#This Row],[Customer_ID]], Customers[Customer_ID], Customers[Customer_Type])</f>
        <v>Restaurant</v>
      </c>
      <c r="T15" t="str">
        <f>_xlfn.XLOOKUP(Orders[[#This Row],[Customer_ID]], Customers[Customer_ID], Customers[Preferred_Channel])</f>
        <v>Sales Rep</v>
      </c>
      <c r="U15" t="str">
        <f>_xlfn.XLOOKUP(Orders[[#This Row],[Product_ID]], Products[Product_ID], Products[Bottle_Size])</f>
        <v>500ml</v>
      </c>
    </row>
    <row r="16" spans="1:21" ht="14.5">
      <c r="A16" s="2" t="s">
        <v>175</v>
      </c>
      <c r="B16" s="2">
        <f>DAY(Orders[[#This Row],[Order_Date]])</f>
        <v>13</v>
      </c>
      <c r="C16" s="20">
        <v>46186</v>
      </c>
      <c r="D16" s="2" t="s">
        <v>176</v>
      </c>
      <c r="E16" s="2" t="s">
        <v>41</v>
      </c>
      <c r="F16" s="2">
        <v>8</v>
      </c>
      <c r="G16" s="22">
        <v>0.05</v>
      </c>
      <c r="H16" s="22" t="s">
        <v>179</v>
      </c>
      <c r="I16">
        <f>_xlfn.XLOOKUP(Orders[[#This Row],[Product_ID]],Products[Product_ID], Products[Unit_Price])</f>
        <v>2.2000000000000002</v>
      </c>
      <c r="J16">
        <f>Orders[[#This Row],[Quantity]]*Orders[[#This Row],[Unit_Price]]</f>
        <v>17.600000000000001</v>
      </c>
      <c r="K16">
        <f>_xlfn.XLOOKUP(Orders[[#This Row],[Product_ID]], Products[Product_ID], Products[Cost_Price])</f>
        <v>1.2</v>
      </c>
      <c r="L16">
        <f>Orders[[#This Row],[Cost_Price]]*Orders[[#This Row],[Quantity]]</f>
        <v>9.6</v>
      </c>
      <c r="M16">
        <f>Orders[[#This Row],[Unit_Price]]*Orders[[#This Row],[Discount]]*Orders[[#This Row],[Quantity]]</f>
        <v>0.88000000000000012</v>
      </c>
      <c r="N16" s="23">
        <f>Orders[[#This Row],[Gross_Sales]]-Orders[[#This Row],[Total_Cost]]-Orders[[#This Row],[Total_Discount]]</f>
        <v>7.1200000000000019</v>
      </c>
      <c r="O16" s="23">
        <f>Orders[[#This Row],[Total_Cost]]+Orders[[#This Row],[Total_Discount]]</f>
        <v>10.48</v>
      </c>
      <c r="P16" t="str">
        <f>_xlfn.XLOOKUP(Orders[[#This Row],[Product_ID]], Products[Product_ID], Products[Product_Name])</f>
        <v>Peach Tea</v>
      </c>
      <c r="Q16" t="str">
        <f>_xlfn.XLOOKUP(Orders[[#This Row],[Product_ID]], Products[Product_ID], Products[Category])</f>
        <v>Tea</v>
      </c>
      <c r="R16" t="str">
        <f>_xlfn.XLOOKUP(Orders[[#This Row],[Customer_ID]], Customers[Customer_ID], Customers[County])</f>
        <v>Wexford</v>
      </c>
      <c r="S16" t="str">
        <f>_xlfn.XLOOKUP(Orders[[#This Row],[Customer_ID]], Customers[Customer_ID], Customers[Customer_Type])</f>
        <v>Retailer</v>
      </c>
      <c r="T16" t="str">
        <f>_xlfn.XLOOKUP(Orders[[#This Row],[Customer_ID]], Customers[Customer_ID], Customers[Preferred_Channel])</f>
        <v>Phone</v>
      </c>
      <c r="U16" t="str">
        <f>_xlfn.XLOOKUP(Orders[[#This Row],[Product_ID]], Products[Product_ID], Products[Bottle_Size])</f>
        <v>500ml</v>
      </c>
    </row>
    <row r="17" spans="1:21" ht="14.5">
      <c r="A17" s="2" t="s">
        <v>189</v>
      </c>
      <c r="B17" s="2">
        <f>DAY(Orders[[#This Row],[Order_Date]])</f>
        <v>1</v>
      </c>
      <c r="C17" s="20">
        <v>46174</v>
      </c>
      <c r="D17" s="2" t="s">
        <v>190</v>
      </c>
      <c r="E17" s="2" t="s">
        <v>134</v>
      </c>
      <c r="F17" s="2">
        <v>29</v>
      </c>
      <c r="G17" s="22">
        <v>0</v>
      </c>
      <c r="H17" s="22" t="s">
        <v>61</v>
      </c>
      <c r="I17">
        <f>_xlfn.XLOOKUP(Orders[[#This Row],[Product_ID]],Products[Product_ID], Products[Unit_Price])</f>
        <v>1.8</v>
      </c>
      <c r="J17">
        <f>Orders[[#This Row],[Quantity]]*Orders[[#This Row],[Unit_Price]]</f>
        <v>52.2</v>
      </c>
      <c r="K17">
        <f>_xlfn.XLOOKUP(Orders[[#This Row],[Product_ID]], Products[Product_ID], Products[Cost_Price])</f>
        <v>0.95</v>
      </c>
      <c r="L17">
        <f>Orders[[#This Row],[Cost_Price]]*Orders[[#This Row],[Quantity]]</f>
        <v>27.549999999999997</v>
      </c>
      <c r="M17">
        <f>Orders[[#This Row],[Unit_Price]]*Orders[[#This Row],[Discount]]*Orders[[#This Row],[Quantity]]</f>
        <v>0</v>
      </c>
      <c r="N17" s="23">
        <f>Orders[[#This Row],[Gross_Sales]]-Orders[[#This Row],[Total_Cost]]-Orders[[#This Row],[Total_Discount]]</f>
        <v>24.650000000000006</v>
      </c>
      <c r="O17" s="23">
        <f>Orders[[#This Row],[Total_Cost]]+Orders[[#This Row],[Total_Discount]]</f>
        <v>27.549999999999997</v>
      </c>
      <c r="P17" t="str">
        <f>_xlfn.XLOOKUP(Orders[[#This Row],[Product_ID]], Products[Product_ID], Products[Product_Name])</f>
        <v>Sparkling Citrus</v>
      </c>
      <c r="Q17" t="str">
        <f>_xlfn.XLOOKUP(Orders[[#This Row],[Product_ID]], Products[Product_ID], Products[Category])</f>
        <v>Water</v>
      </c>
      <c r="R17" t="str">
        <f>_xlfn.XLOOKUP(Orders[[#This Row],[Customer_ID]], Customers[Customer_ID], Customers[County])</f>
        <v>Galway</v>
      </c>
      <c r="S17" t="str">
        <f>_xlfn.XLOOKUP(Orders[[#This Row],[Customer_ID]], Customers[Customer_ID], Customers[Customer_Type])</f>
        <v>Wholesaler</v>
      </c>
      <c r="T17" t="str">
        <f>_xlfn.XLOOKUP(Orders[[#This Row],[Customer_ID]], Customers[Customer_ID], Customers[Preferred_Channel])</f>
        <v>Phone</v>
      </c>
      <c r="U17" t="str">
        <f>_xlfn.XLOOKUP(Orders[[#This Row],[Product_ID]], Products[Product_ID], Products[Bottle_Size])</f>
        <v>330ml</v>
      </c>
    </row>
    <row r="18" spans="1:21" ht="14.5">
      <c r="A18" s="2" t="s">
        <v>660</v>
      </c>
      <c r="B18" s="2">
        <f>DAY(Orders[[#This Row],[Order_Date]])</f>
        <v>11</v>
      </c>
      <c r="C18" s="20">
        <v>46184</v>
      </c>
      <c r="D18" s="2" t="s">
        <v>185</v>
      </c>
      <c r="E18" s="2" t="s">
        <v>108</v>
      </c>
      <c r="F18" s="2">
        <v>12</v>
      </c>
      <c r="G18" s="22">
        <v>0</v>
      </c>
      <c r="H18" s="22" t="s">
        <v>61</v>
      </c>
      <c r="I18">
        <f>_xlfn.XLOOKUP(Orders[[#This Row],[Product_ID]],Products[Product_ID], Products[Unit_Price])</f>
        <v>2.1</v>
      </c>
      <c r="J18">
        <f>Orders[[#This Row],[Quantity]]*Orders[[#This Row],[Unit_Price]]</f>
        <v>25.200000000000003</v>
      </c>
      <c r="K18">
        <f>_xlfn.XLOOKUP(Orders[[#This Row],[Product_ID]], Products[Product_ID], Products[Cost_Price])</f>
        <v>1.2</v>
      </c>
      <c r="L18">
        <f>Orders[[#This Row],[Cost_Price]]*Orders[[#This Row],[Quantity]]</f>
        <v>14.399999999999999</v>
      </c>
      <c r="M18">
        <f>Orders[[#This Row],[Unit_Price]]*Orders[[#This Row],[Discount]]*Orders[[#This Row],[Quantity]]</f>
        <v>0</v>
      </c>
      <c r="N18" s="23">
        <f>Orders[[#This Row],[Gross_Sales]]-Orders[[#This Row],[Total_Cost]]-Orders[[#This Row],[Total_Discount]]</f>
        <v>10.800000000000004</v>
      </c>
      <c r="O18" s="23">
        <f>Orders[[#This Row],[Total_Cost]]+Orders[[#This Row],[Total_Discount]]</f>
        <v>14.399999999999999</v>
      </c>
      <c r="P18" t="str">
        <f>_xlfn.XLOOKUP(Orders[[#This Row],[Product_ID]], Products[Product_ID], Products[Product_Name])</f>
        <v>Berry Splash</v>
      </c>
      <c r="Q18" t="str">
        <f>_xlfn.XLOOKUP(Orders[[#This Row],[Product_ID]], Products[Product_ID], Products[Category])</f>
        <v>Juice</v>
      </c>
      <c r="R18" t="str">
        <f>_xlfn.XLOOKUP(Orders[[#This Row],[Customer_ID]], Customers[Customer_ID], Customers[County])</f>
        <v>Limerick</v>
      </c>
      <c r="S18" t="str">
        <f>_xlfn.XLOOKUP(Orders[[#This Row],[Customer_ID]], Customers[Customer_ID], Customers[Customer_Type])</f>
        <v>Café</v>
      </c>
      <c r="T18" t="str">
        <f>_xlfn.XLOOKUP(Orders[[#This Row],[Customer_ID]], Customers[Customer_ID], Customers[Preferred_Channel])</f>
        <v>Phone</v>
      </c>
      <c r="U18" t="str">
        <f>_xlfn.XLOOKUP(Orders[[#This Row],[Product_ID]], Products[Product_ID], Products[Bottle_Size])</f>
        <v>500ml</v>
      </c>
    </row>
    <row r="19" spans="1:21" ht="14.5">
      <c r="A19" s="2" t="s">
        <v>201</v>
      </c>
      <c r="B19" s="2">
        <f>DAY(Orders[[#This Row],[Order_Date]])</f>
        <v>20</v>
      </c>
      <c r="C19" s="20">
        <v>46193</v>
      </c>
      <c r="D19" s="2" t="s">
        <v>204</v>
      </c>
      <c r="E19" s="2" t="s">
        <v>41</v>
      </c>
      <c r="F19" s="2">
        <v>16</v>
      </c>
      <c r="G19" s="22">
        <v>0.05</v>
      </c>
      <c r="H19" s="22" t="s">
        <v>61</v>
      </c>
      <c r="I19">
        <f>_xlfn.XLOOKUP(Orders[[#This Row],[Product_ID]],Products[Product_ID], Products[Unit_Price])</f>
        <v>2.2000000000000002</v>
      </c>
      <c r="J19">
        <f>Orders[[#This Row],[Quantity]]*Orders[[#This Row],[Unit_Price]]</f>
        <v>35.200000000000003</v>
      </c>
      <c r="K19">
        <f>_xlfn.XLOOKUP(Orders[[#This Row],[Product_ID]], Products[Product_ID], Products[Cost_Price])</f>
        <v>1.2</v>
      </c>
      <c r="L19">
        <f>Orders[[#This Row],[Cost_Price]]*Orders[[#This Row],[Quantity]]</f>
        <v>19.2</v>
      </c>
      <c r="M19">
        <f>Orders[[#This Row],[Unit_Price]]*Orders[[#This Row],[Discount]]*Orders[[#This Row],[Quantity]]</f>
        <v>1.7600000000000002</v>
      </c>
      <c r="N19" s="23">
        <f>Orders[[#This Row],[Gross_Sales]]-Orders[[#This Row],[Total_Cost]]-Orders[[#This Row],[Total_Discount]]</f>
        <v>14.240000000000004</v>
      </c>
      <c r="O19" s="23">
        <f>Orders[[#This Row],[Total_Cost]]+Orders[[#This Row],[Total_Discount]]</f>
        <v>20.96</v>
      </c>
      <c r="P19" t="str">
        <f>_xlfn.XLOOKUP(Orders[[#This Row],[Product_ID]], Products[Product_ID], Products[Product_Name])</f>
        <v>Peach Tea</v>
      </c>
      <c r="Q19" t="str">
        <f>_xlfn.XLOOKUP(Orders[[#This Row],[Product_ID]], Products[Product_ID], Products[Category])</f>
        <v>Tea</v>
      </c>
      <c r="R19" t="str">
        <f>_xlfn.XLOOKUP(Orders[[#This Row],[Customer_ID]], Customers[Customer_ID], Customers[County])</f>
        <v>Kerry</v>
      </c>
      <c r="S19" t="str">
        <f>_xlfn.XLOOKUP(Orders[[#This Row],[Customer_ID]], Customers[Customer_ID], Customers[Customer_Type])</f>
        <v>Restaurant</v>
      </c>
      <c r="T19" t="str">
        <f>_xlfn.XLOOKUP(Orders[[#This Row],[Customer_ID]], Customers[Customer_ID], Customers[Preferred_Channel])</f>
        <v>Sales Rep</v>
      </c>
      <c r="U19" t="str">
        <f>_xlfn.XLOOKUP(Orders[[#This Row],[Product_ID]], Products[Product_ID], Products[Bottle_Size])</f>
        <v>500ml</v>
      </c>
    </row>
    <row r="20" spans="1:21" ht="14.5">
      <c r="A20" s="2" t="s">
        <v>210</v>
      </c>
      <c r="B20" s="2">
        <f>DAY(Orders[[#This Row],[Order_Date]])</f>
        <v>22</v>
      </c>
      <c r="C20" s="20">
        <v>46195</v>
      </c>
      <c r="D20" s="2" t="s">
        <v>127</v>
      </c>
      <c r="E20" s="2" t="s">
        <v>17</v>
      </c>
      <c r="F20" s="2">
        <v>12</v>
      </c>
      <c r="G20" s="22">
        <v>0.05</v>
      </c>
      <c r="H20" s="22" t="s">
        <v>61</v>
      </c>
      <c r="I20">
        <f>_xlfn.XLOOKUP(Orders[[#This Row],[Product_ID]],Products[Product_ID], Products[Unit_Price])</f>
        <v>1.2</v>
      </c>
      <c r="J20">
        <f>Orders[[#This Row],[Quantity]]*Orders[[#This Row],[Unit_Price]]</f>
        <v>14.399999999999999</v>
      </c>
      <c r="K20">
        <f>_xlfn.XLOOKUP(Orders[[#This Row],[Product_ID]], Products[Product_ID], Products[Cost_Price])</f>
        <v>0.6</v>
      </c>
      <c r="L20">
        <f>Orders[[#This Row],[Cost_Price]]*Orders[[#This Row],[Quantity]]</f>
        <v>7.1999999999999993</v>
      </c>
      <c r="M20">
        <f>Orders[[#This Row],[Unit_Price]]*Orders[[#This Row],[Discount]]*Orders[[#This Row],[Quantity]]</f>
        <v>0.72</v>
      </c>
      <c r="N20" s="23">
        <f>Orders[[#This Row],[Gross_Sales]]-Orders[[#This Row],[Total_Cost]]-Orders[[#This Row],[Total_Discount]]</f>
        <v>6.4799999999999995</v>
      </c>
      <c r="O20" s="23">
        <f>Orders[[#This Row],[Total_Cost]]+Orders[[#This Row],[Total_Discount]]</f>
        <v>7.919999999999999</v>
      </c>
      <c r="P20" t="str">
        <f>_xlfn.XLOOKUP(Orders[[#This Row],[Product_ID]], Products[Product_ID], Products[Product_Name])</f>
        <v>Still Water</v>
      </c>
      <c r="Q20" t="str">
        <f>_xlfn.XLOOKUP(Orders[[#This Row],[Product_ID]], Products[Product_ID], Products[Category])</f>
        <v>Water</v>
      </c>
      <c r="R20" t="str">
        <f>_xlfn.XLOOKUP(Orders[[#This Row],[Customer_ID]], Customers[Customer_ID], Customers[County])</f>
        <v>Waterford</v>
      </c>
      <c r="S20" t="str">
        <f>_xlfn.XLOOKUP(Orders[[#This Row],[Customer_ID]], Customers[Customer_ID], Customers[Customer_Type])</f>
        <v>Supermarket</v>
      </c>
      <c r="T20" t="str">
        <f>_xlfn.XLOOKUP(Orders[[#This Row],[Customer_ID]], Customers[Customer_ID], Customers[Preferred_Channel])</f>
        <v>Email</v>
      </c>
      <c r="U20" t="str">
        <f>_xlfn.XLOOKUP(Orders[[#This Row],[Product_ID]], Products[Product_ID], Products[Bottle_Size])</f>
        <v>500ml</v>
      </c>
    </row>
    <row r="21" spans="1:21" ht="15.75" customHeight="1">
      <c r="A21" s="2" t="s">
        <v>219</v>
      </c>
      <c r="B21" s="2">
        <f>DAY(Orders[[#This Row],[Order_Date]])</f>
        <v>10</v>
      </c>
      <c r="C21" s="20">
        <v>46183</v>
      </c>
      <c r="D21" s="2" t="s">
        <v>221</v>
      </c>
      <c r="E21" s="2" t="s">
        <v>50</v>
      </c>
      <c r="F21" s="2">
        <v>5</v>
      </c>
      <c r="G21" s="22">
        <v>0</v>
      </c>
      <c r="H21" s="22" t="s">
        <v>49</v>
      </c>
      <c r="I21">
        <f>_xlfn.XLOOKUP(Orders[[#This Row],[Product_ID]],Products[Product_ID], Products[Unit_Price])</f>
        <v>1.6</v>
      </c>
      <c r="J21">
        <f>Orders[[#This Row],[Quantity]]*Orders[[#This Row],[Unit_Price]]</f>
        <v>8</v>
      </c>
      <c r="K21">
        <f>_xlfn.XLOOKUP(Orders[[#This Row],[Product_ID]], Products[Product_ID], Products[Cost_Price])</f>
        <v>0.85</v>
      </c>
      <c r="L21">
        <f>Orders[[#This Row],[Cost_Price]]*Orders[[#This Row],[Quantity]]</f>
        <v>4.25</v>
      </c>
      <c r="M21">
        <f>Orders[[#This Row],[Unit_Price]]*Orders[[#This Row],[Discount]]*Orders[[#This Row],[Quantity]]</f>
        <v>0</v>
      </c>
      <c r="N21" s="23">
        <f>Orders[[#This Row],[Gross_Sales]]-Orders[[#This Row],[Total_Cost]]-Orders[[#This Row],[Total_Discount]]</f>
        <v>3.75</v>
      </c>
      <c r="O21" s="23">
        <f>Orders[[#This Row],[Total_Cost]]+Orders[[#This Row],[Total_Discount]]</f>
        <v>4.25</v>
      </c>
      <c r="P21" t="str">
        <f>_xlfn.XLOOKUP(Orders[[#This Row],[Product_ID]], Products[Product_ID], Products[Product_Name])</f>
        <v>Orange Soda</v>
      </c>
      <c r="Q21" t="str">
        <f>_xlfn.XLOOKUP(Orders[[#This Row],[Product_ID]], Products[Product_ID], Products[Category])</f>
        <v>Soft Drink</v>
      </c>
      <c r="R21" t="str">
        <f>_xlfn.XLOOKUP(Orders[[#This Row],[Customer_ID]], Customers[Customer_ID], Customers[County])</f>
        <v>Galway</v>
      </c>
      <c r="S21" t="str">
        <f>_xlfn.XLOOKUP(Orders[[#This Row],[Customer_ID]], Customers[Customer_ID], Customers[Customer_Type])</f>
        <v>Restaurant</v>
      </c>
      <c r="T21" t="str">
        <f>_xlfn.XLOOKUP(Orders[[#This Row],[Customer_ID]], Customers[Customer_ID], Customers[Preferred_Channel])</f>
        <v>Online</v>
      </c>
      <c r="U21" t="str">
        <f>_xlfn.XLOOKUP(Orders[[#This Row],[Product_ID]], Products[Product_ID], Products[Bottle_Size])</f>
        <v>500ml</v>
      </c>
    </row>
    <row r="22" spans="1:21" ht="15.75" customHeight="1">
      <c r="A22" s="2" t="s">
        <v>226</v>
      </c>
      <c r="B22" s="2">
        <f>DAY(Orders[[#This Row],[Order_Date]])</f>
        <v>16</v>
      </c>
      <c r="C22" s="20">
        <v>46189</v>
      </c>
      <c r="D22" s="2" t="s">
        <v>220</v>
      </c>
      <c r="E22" s="2" t="s">
        <v>50</v>
      </c>
      <c r="F22" s="2">
        <v>16</v>
      </c>
      <c r="G22" s="22">
        <v>0</v>
      </c>
      <c r="H22" s="22" t="s">
        <v>61</v>
      </c>
      <c r="I22">
        <f>_xlfn.XLOOKUP(Orders[[#This Row],[Product_ID]],Products[Product_ID], Products[Unit_Price])</f>
        <v>1.6</v>
      </c>
      <c r="J22">
        <f>Orders[[#This Row],[Quantity]]*Orders[[#This Row],[Unit_Price]]</f>
        <v>25.6</v>
      </c>
      <c r="K22">
        <f>_xlfn.XLOOKUP(Orders[[#This Row],[Product_ID]], Products[Product_ID], Products[Cost_Price])</f>
        <v>0.85</v>
      </c>
      <c r="L22">
        <f>Orders[[#This Row],[Cost_Price]]*Orders[[#This Row],[Quantity]]</f>
        <v>13.6</v>
      </c>
      <c r="M22">
        <f>Orders[[#This Row],[Unit_Price]]*Orders[[#This Row],[Discount]]*Orders[[#This Row],[Quantity]]</f>
        <v>0</v>
      </c>
      <c r="N22" s="23">
        <f>Orders[[#This Row],[Gross_Sales]]-Orders[[#This Row],[Total_Cost]]-Orders[[#This Row],[Total_Discount]]</f>
        <v>12.000000000000002</v>
      </c>
      <c r="O22" s="23">
        <f>Orders[[#This Row],[Total_Cost]]+Orders[[#This Row],[Total_Discount]]</f>
        <v>13.6</v>
      </c>
      <c r="P22" t="str">
        <f>_xlfn.XLOOKUP(Orders[[#This Row],[Product_ID]], Products[Product_ID], Products[Product_Name])</f>
        <v>Orange Soda</v>
      </c>
      <c r="Q22" t="str">
        <f>_xlfn.XLOOKUP(Orders[[#This Row],[Product_ID]], Products[Product_ID], Products[Category])</f>
        <v>Soft Drink</v>
      </c>
      <c r="R22" t="str">
        <f>_xlfn.XLOOKUP(Orders[[#This Row],[Customer_ID]], Customers[Customer_ID], Customers[County])</f>
        <v>Offaly</v>
      </c>
      <c r="S22" t="str">
        <f>_xlfn.XLOOKUP(Orders[[#This Row],[Customer_ID]], Customers[Customer_ID], Customers[Customer_Type])</f>
        <v>Café</v>
      </c>
      <c r="T22" t="str">
        <f>_xlfn.XLOOKUP(Orders[[#This Row],[Customer_ID]], Customers[Customer_ID], Customers[Preferred_Channel])</f>
        <v>Distributor</v>
      </c>
      <c r="U22" t="str">
        <f>_xlfn.XLOOKUP(Orders[[#This Row],[Product_ID]], Products[Product_ID], Products[Bottle_Size])</f>
        <v>500ml</v>
      </c>
    </row>
    <row r="23" spans="1:21" ht="15.75" customHeight="1">
      <c r="A23" s="2" t="s">
        <v>229</v>
      </c>
      <c r="B23" s="2">
        <f>DAY(Orders[[#This Row],[Order_Date]])</f>
        <v>20</v>
      </c>
      <c r="C23" s="20">
        <v>46193</v>
      </c>
      <c r="D23" s="2" t="s">
        <v>231</v>
      </c>
      <c r="E23" s="2" t="s">
        <v>95</v>
      </c>
      <c r="F23" s="2">
        <v>24</v>
      </c>
      <c r="G23" s="22">
        <v>0</v>
      </c>
      <c r="H23" s="22" t="s">
        <v>61</v>
      </c>
      <c r="I23">
        <f>_xlfn.XLOOKUP(Orders[[#This Row],[Product_ID]],Products[Product_ID], Products[Unit_Price])</f>
        <v>2.5</v>
      </c>
      <c r="J23">
        <f>Orders[[#This Row],[Quantity]]*Orders[[#This Row],[Unit_Price]]</f>
        <v>60</v>
      </c>
      <c r="K23">
        <f>_xlfn.XLOOKUP(Orders[[#This Row],[Product_ID]], Products[Product_ID], Products[Cost_Price])</f>
        <v>1.4</v>
      </c>
      <c r="L23">
        <f>Orders[[#This Row],[Cost_Price]]*Orders[[#This Row],[Quantity]]</f>
        <v>33.599999999999994</v>
      </c>
      <c r="M23">
        <f>Orders[[#This Row],[Unit_Price]]*Orders[[#This Row],[Discount]]*Orders[[#This Row],[Quantity]]</f>
        <v>0</v>
      </c>
      <c r="N23" s="23">
        <f>Orders[[#This Row],[Gross_Sales]]-Orders[[#This Row],[Total_Cost]]-Orders[[#This Row],[Total_Discount]]</f>
        <v>26.400000000000006</v>
      </c>
      <c r="O23" s="23">
        <f>Orders[[#This Row],[Total_Cost]]+Orders[[#This Row],[Total_Discount]]</f>
        <v>33.599999999999994</v>
      </c>
      <c r="P23" t="str">
        <f>_xlfn.XLOOKUP(Orders[[#This Row],[Product_ID]], Products[Product_ID], Products[Product_Name])</f>
        <v>Energy Boost</v>
      </c>
      <c r="Q23" t="str">
        <f>_xlfn.XLOOKUP(Orders[[#This Row],[Product_ID]], Products[Product_ID], Products[Category])</f>
        <v>Energy Drink</v>
      </c>
      <c r="R23" t="str">
        <f>_xlfn.XLOOKUP(Orders[[#This Row],[Customer_ID]], Customers[Customer_ID], Customers[County])</f>
        <v>Louth</v>
      </c>
      <c r="S23" t="str">
        <f>_xlfn.XLOOKUP(Orders[[#This Row],[Customer_ID]], Customers[Customer_ID], Customers[Customer_Type])</f>
        <v>Hotel</v>
      </c>
      <c r="T23" t="str">
        <f>_xlfn.XLOOKUP(Orders[[#This Row],[Customer_ID]], Customers[Customer_ID], Customers[Preferred_Channel])</f>
        <v>Phone</v>
      </c>
      <c r="U23" t="str">
        <f>_xlfn.XLOOKUP(Orders[[#This Row],[Product_ID]], Products[Product_ID], Products[Bottle_Size])</f>
        <v>250ml</v>
      </c>
    </row>
    <row r="24" spans="1:21" ht="15.75" customHeight="1">
      <c r="A24" s="2" t="s">
        <v>236</v>
      </c>
      <c r="B24" s="2">
        <f>DAY(Orders[[#This Row],[Order_Date]])</f>
        <v>12</v>
      </c>
      <c r="C24" s="20">
        <v>46185</v>
      </c>
      <c r="D24" s="2" t="s">
        <v>239</v>
      </c>
      <c r="E24" s="2" t="s">
        <v>125</v>
      </c>
      <c r="F24" s="2">
        <v>12</v>
      </c>
      <c r="G24" s="22">
        <v>0</v>
      </c>
      <c r="H24" s="22" t="s">
        <v>49</v>
      </c>
      <c r="I24">
        <f>_xlfn.XLOOKUP(Orders[[#This Row],[Product_ID]],Products[Product_ID], Products[Unit_Price])</f>
        <v>2.2000000000000002</v>
      </c>
      <c r="J24">
        <f>Orders[[#This Row],[Quantity]]*Orders[[#This Row],[Unit_Price]]</f>
        <v>26.400000000000002</v>
      </c>
      <c r="K24">
        <f>_xlfn.XLOOKUP(Orders[[#This Row],[Product_ID]], Products[Product_ID], Products[Cost_Price])</f>
        <v>1.3</v>
      </c>
      <c r="L24">
        <f>Orders[[#This Row],[Cost_Price]]*Orders[[#This Row],[Quantity]]</f>
        <v>15.600000000000001</v>
      </c>
      <c r="M24">
        <f>Orders[[#This Row],[Unit_Price]]*Orders[[#This Row],[Discount]]*Orders[[#This Row],[Quantity]]</f>
        <v>0</v>
      </c>
      <c r="N24" s="23">
        <f>Orders[[#This Row],[Gross_Sales]]-Orders[[#This Row],[Total_Cost]]-Orders[[#This Row],[Total_Discount]]</f>
        <v>10.8</v>
      </c>
      <c r="O24" s="23">
        <f>Orders[[#This Row],[Total_Cost]]+Orders[[#This Row],[Total_Discount]]</f>
        <v>15.600000000000001</v>
      </c>
      <c r="P24" t="str">
        <f>_xlfn.XLOOKUP(Orders[[#This Row],[Product_ID]], Products[Product_ID], Products[Product_Name])</f>
        <v>Iced Tea</v>
      </c>
      <c r="Q24" t="str">
        <f>_xlfn.XLOOKUP(Orders[[#This Row],[Product_ID]], Products[Product_ID], Products[Category])</f>
        <v>Tea</v>
      </c>
      <c r="R24" t="str">
        <f>_xlfn.XLOOKUP(Orders[[#This Row],[Customer_ID]], Customers[Customer_ID], Customers[County])</f>
        <v>Waterford</v>
      </c>
      <c r="S24" t="str">
        <f>_xlfn.XLOOKUP(Orders[[#This Row],[Customer_ID]], Customers[Customer_ID], Customers[Customer_Type])</f>
        <v>Hotel</v>
      </c>
      <c r="T24" t="str">
        <f>_xlfn.XLOOKUP(Orders[[#This Row],[Customer_ID]], Customers[Customer_ID], Customers[Preferred_Channel])</f>
        <v>Distributor</v>
      </c>
      <c r="U24" t="str">
        <f>_xlfn.XLOOKUP(Orders[[#This Row],[Product_ID]], Products[Product_ID], Products[Bottle_Size])</f>
        <v>500ml</v>
      </c>
    </row>
    <row r="25" spans="1:21" ht="15.75" customHeight="1">
      <c r="A25" s="2" t="s">
        <v>244</v>
      </c>
      <c r="B25" s="2">
        <f>DAY(Orders[[#This Row],[Order_Date]])</f>
        <v>4</v>
      </c>
      <c r="C25" s="20">
        <v>46177</v>
      </c>
      <c r="D25" s="2" t="s">
        <v>114</v>
      </c>
      <c r="E25" s="2" t="s">
        <v>151</v>
      </c>
      <c r="F25" s="2">
        <v>41</v>
      </c>
      <c r="G25" s="22">
        <v>0</v>
      </c>
      <c r="H25" s="22" t="s">
        <v>61</v>
      </c>
      <c r="I25">
        <f>_xlfn.XLOOKUP(Orders[[#This Row],[Product_ID]],Products[Product_ID], Products[Unit_Price])</f>
        <v>1.5</v>
      </c>
      <c r="J25">
        <f>Orders[[#This Row],[Quantity]]*Orders[[#This Row],[Unit_Price]]</f>
        <v>61.5</v>
      </c>
      <c r="K25">
        <f>_xlfn.XLOOKUP(Orders[[#This Row],[Product_ID]], Products[Product_ID], Products[Cost_Price])</f>
        <v>0.8</v>
      </c>
      <c r="L25">
        <f>Orders[[#This Row],[Cost_Price]]*Orders[[#This Row],[Quantity]]</f>
        <v>32.800000000000004</v>
      </c>
      <c r="M25">
        <f>Orders[[#This Row],[Unit_Price]]*Orders[[#This Row],[Discount]]*Orders[[#This Row],[Quantity]]</f>
        <v>0</v>
      </c>
      <c r="N25" s="23">
        <f>Orders[[#This Row],[Gross_Sales]]-Orders[[#This Row],[Total_Cost]]-Orders[[#This Row],[Total_Discount]]</f>
        <v>28.699999999999996</v>
      </c>
      <c r="O25" s="23">
        <f>Orders[[#This Row],[Total_Cost]]+Orders[[#This Row],[Total_Discount]]</f>
        <v>32.800000000000004</v>
      </c>
      <c r="P25" t="str">
        <f>_xlfn.XLOOKUP(Orders[[#This Row],[Product_ID]], Products[Product_ID], Products[Product_Name])</f>
        <v>Kids Juice</v>
      </c>
      <c r="Q25" t="str">
        <f>_xlfn.XLOOKUP(Orders[[#This Row],[Product_ID]], Products[Product_ID], Products[Category])</f>
        <v>Juice</v>
      </c>
      <c r="R25" t="str">
        <f>_xlfn.XLOOKUP(Orders[[#This Row],[Customer_ID]], Customers[Customer_ID], Customers[County])</f>
        <v>Clare</v>
      </c>
      <c r="S25" t="str">
        <f>_xlfn.XLOOKUP(Orders[[#This Row],[Customer_ID]], Customers[Customer_ID], Customers[Customer_Type])</f>
        <v>Café</v>
      </c>
      <c r="T25" t="str">
        <f>_xlfn.XLOOKUP(Orders[[#This Row],[Customer_ID]], Customers[Customer_ID], Customers[Preferred_Channel])</f>
        <v>Phone</v>
      </c>
      <c r="U25" t="str">
        <f>_xlfn.XLOOKUP(Orders[[#This Row],[Product_ID]], Products[Product_ID], Products[Bottle_Size])</f>
        <v>250ml</v>
      </c>
    </row>
    <row r="26" spans="1:21" ht="15.75" customHeight="1">
      <c r="A26" s="2" t="s">
        <v>249</v>
      </c>
      <c r="B26" s="2">
        <f>DAY(Orders[[#This Row],[Order_Date]])</f>
        <v>10</v>
      </c>
      <c r="C26" s="20">
        <v>46183</v>
      </c>
      <c r="D26" s="2" t="s">
        <v>251</v>
      </c>
      <c r="E26" s="2" t="s">
        <v>170</v>
      </c>
      <c r="F26" s="2">
        <v>22</v>
      </c>
      <c r="G26" s="22">
        <v>0.1</v>
      </c>
      <c r="H26" s="22" t="s">
        <v>61</v>
      </c>
      <c r="I26">
        <f>_xlfn.XLOOKUP(Orders[[#This Row],[Product_ID]],Products[Product_ID], Products[Unit_Price])</f>
        <v>1.9</v>
      </c>
      <c r="J26">
        <f>Orders[[#This Row],[Quantity]]*Orders[[#This Row],[Unit_Price]]</f>
        <v>41.8</v>
      </c>
      <c r="K26">
        <f>_xlfn.XLOOKUP(Orders[[#This Row],[Product_ID]], Products[Product_ID], Products[Cost_Price])</f>
        <v>0.95</v>
      </c>
      <c r="L26">
        <f>Orders[[#This Row],[Cost_Price]]*Orders[[#This Row],[Quantity]]</f>
        <v>20.9</v>
      </c>
      <c r="M26">
        <f>Orders[[#This Row],[Unit_Price]]*Orders[[#This Row],[Discount]]*Orders[[#This Row],[Quantity]]</f>
        <v>4.18</v>
      </c>
      <c r="N26" s="23">
        <f>Orders[[#This Row],[Gross_Sales]]-Orders[[#This Row],[Total_Cost]]-Orders[[#This Row],[Total_Discount]]</f>
        <v>16.72</v>
      </c>
      <c r="O26" s="23">
        <f>Orders[[#This Row],[Total_Cost]]+Orders[[#This Row],[Total_Discount]]</f>
        <v>25.08</v>
      </c>
      <c r="P26" t="str">
        <f>_xlfn.XLOOKUP(Orders[[#This Row],[Product_ID]], Products[Product_ID], Products[Product_Name])</f>
        <v>Vitamin Water</v>
      </c>
      <c r="Q26" t="str">
        <f>_xlfn.XLOOKUP(Orders[[#This Row],[Product_ID]], Products[Product_ID], Products[Category])</f>
        <v>Water</v>
      </c>
      <c r="R26" t="str">
        <f>_xlfn.XLOOKUP(Orders[[#This Row],[Customer_ID]], Customers[Customer_ID], Customers[County])</f>
        <v>Tipperary</v>
      </c>
      <c r="S26" t="str">
        <f>_xlfn.XLOOKUP(Orders[[#This Row],[Customer_ID]], Customers[Customer_ID], Customers[Customer_Type])</f>
        <v>Restaurant</v>
      </c>
      <c r="T26" t="str">
        <f>_xlfn.XLOOKUP(Orders[[#This Row],[Customer_ID]], Customers[Customer_ID], Customers[Preferred_Channel])</f>
        <v>Distributor</v>
      </c>
      <c r="U26" t="str">
        <f>_xlfn.XLOOKUP(Orders[[#This Row],[Product_ID]], Products[Product_ID], Products[Bottle_Size])</f>
        <v>500ml</v>
      </c>
    </row>
    <row r="27" spans="1:21" ht="15.75" customHeight="1">
      <c r="A27" s="2" t="s">
        <v>258</v>
      </c>
      <c r="B27" s="2">
        <f>DAY(Orders[[#This Row],[Order_Date]])</f>
        <v>14</v>
      </c>
      <c r="C27" s="20">
        <v>46187</v>
      </c>
      <c r="D27" s="2" t="s">
        <v>260</v>
      </c>
      <c r="E27" s="2" t="s">
        <v>134</v>
      </c>
      <c r="F27" s="2">
        <v>9</v>
      </c>
      <c r="G27" s="22">
        <v>0.05</v>
      </c>
      <c r="H27" s="22" t="s">
        <v>61</v>
      </c>
      <c r="I27">
        <f>_xlfn.XLOOKUP(Orders[[#This Row],[Product_ID]],Products[Product_ID], Products[Unit_Price])</f>
        <v>1.8</v>
      </c>
      <c r="J27">
        <f>Orders[[#This Row],[Quantity]]*Orders[[#This Row],[Unit_Price]]</f>
        <v>16.2</v>
      </c>
      <c r="K27">
        <f>_xlfn.XLOOKUP(Orders[[#This Row],[Product_ID]], Products[Product_ID], Products[Cost_Price])</f>
        <v>0.95</v>
      </c>
      <c r="L27">
        <f>Orders[[#This Row],[Cost_Price]]*Orders[[#This Row],[Quantity]]</f>
        <v>8.5499999999999989</v>
      </c>
      <c r="M27">
        <f>Orders[[#This Row],[Unit_Price]]*Orders[[#This Row],[Discount]]*Orders[[#This Row],[Quantity]]</f>
        <v>0.81</v>
      </c>
      <c r="N27" s="23">
        <f>Orders[[#This Row],[Gross_Sales]]-Orders[[#This Row],[Total_Cost]]-Orders[[#This Row],[Total_Discount]]</f>
        <v>6.84</v>
      </c>
      <c r="O27" s="23">
        <f>Orders[[#This Row],[Total_Cost]]+Orders[[#This Row],[Total_Discount]]</f>
        <v>9.36</v>
      </c>
      <c r="P27" t="str">
        <f>_xlfn.XLOOKUP(Orders[[#This Row],[Product_ID]], Products[Product_ID], Products[Product_Name])</f>
        <v>Sparkling Citrus</v>
      </c>
      <c r="Q27" t="str">
        <f>_xlfn.XLOOKUP(Orders[[#This Row],[Product_ID]], Products[Product_ID], Products[Category])</f>
        <v>Water</v>
      </c>
      <c r="R27" t="str">
        <f>_xlfn.XLOOKUP(Orders[[#This Row],[Customer_ID]], Customers[Customer_ID], Customers[County])</f>
        <v>Sligo</v>
      </c>
      <c r="S27" t="str">
        <f>_xlfn.XLOOKUP(Orders[[#This Row],[Customer_ID]], Customers[Customer_ID], Customers[Customer_Type])</f>
        <v>Restaurant</v>
      </c>
      <c r="T27" t="str">
        <f>_xlfn.XLOOKUP(Orders[[#This Row],[Customer_ID]], Customers[Customer_ID], Customers[Preferred_Channel])</f>
        <v>Phone</v>
      </c>
      <c r="U27" t="str">
        <f>_xlfn.XLOOKUP(Orders[[#This Row],[Product_ID]], Products[Product_ID], Products[Bottle_Size])</f>
        <v>330ml</v>
      </c>
    </row>
    <row r="28" spans="1:21" ht="15.75" customHeight="1">
      <c r="A28" s="2" t="s">
        <v>266</v>
      </c>
      <c r="B28" s="2">
        <f>DAY(Orders[[#This Row],[Order_Date]])</f>
        <v>25</v>
      </c>
      <c r="C28" s="20">
        <v>46198</v>
      </c>
      <c r="D28" s="2" t="s">
        <v>270</v>
      </c>
      <c r="E28" s="2" t="s">
        <v>41</v>
      </c>
      <c r="F28" s="2">
        <v>5</v>
      </c>
      <c r="G28" s="22">
        <v>0.05</v>
      </c>
      <c r="H28" s="22" t="s">
        <v>61</v>
      </c>
      <c r="I28">
        <f>_xlfn.XLOOKUP(Orders[[#This Row],[Product_ID]],Products[Product_ID], Products[Unit_Price])</f>
        <v>2.2000000000000002</v>
      </c>
      <c r="J28">
        <f>Orders[[#This Row],[Quantity]]*Orders[[#This Row],[Unit_Price]]</f>
        <v>11</v>
      </c>
      <c r="K28">
        <f>_xlfn.XLOOKUP(Orders[[#This Row],[Product_ID]], Products[Product_ID], Products[Cost_Price])</f>
        <v>1.2</v>
      </c>
      <c r="L28">
        <f>Orders[[#This Row],[Cost_Price]]*Orders[[#This Row],[Quantity]]</f>
        <v>6</v>
      </c>
      <c r="M28">
        <f>Orders[[#This Row],[Unit_Price]]*Orders[[#This Row],[Discount]]*Orders[[#This Row],[Quantity]]</f>
        <v>0.55000000000000004</v>
      </c>
      <c r="N28" s="23">
        <f>Orders[[#This Row],[Gross_Sales]]-Orders[[#This Row],[Total_Cost]]-Orders[[#This Row],[Total_Discount]]</f>
        <v>4.45</v>
      </c>
      <c r="O28" s="23">
        <f>Orders[[#This Row],[Total_Cost]]+Orders[[#This Row],[Total_Discount]]</f>
        <v>6.55</v>
      </c>
      <c r="P28" t="str">
        <f>_xlfn.XLOOKUP(Orders[[#This Row],[Product_ID]], Products[Product_ID], Products[Product_Name])</f>
        <v>Peach Tea</v>
      </c>
      <c r="Q28" t="str">
        <f>_xlfn.XLOOKUP(Orders[[#This Row],[Product_ID]], Products[Product_ID], Products[Category])</f>
        <v>Tea</v>
      </c>
      <c r="R28" t="str">
        <f>_xlfn.XLOOKUP(Orders[[#This Row],[Customer_ID]], Customers[Customer_ID], Customers[County])</f>
        <v>Mayo</v>
      </c>
      <c r="S28" t="str">
        <f>_xlfn.XLOOKUP(Orders[[#This Row],[Customer_ID]], Customers[Customer_ID], Customers[Customer_Type])</f>
        <v>Wholesaler</v>
      </c>
      <c r="T28" t="str">
        <f>_xlfn.XLOOKUP(Orders[[#This Row],[Customer_ID]], Customers[Customer_ID], Customers[Preferred_Channel])</f>
        <v>Online</v>
      </c>
      <c r="U28" t="str">
        <f>_xlfn.XLOOKUP(Orders[[#This Row],[Product_ID]], Products[Product_ID], Products[Bottle_Size])</f>
        <v>500ml</v>
      </c>
    </row>
    <row r="29" spans="1:21" ht="15.75" customHeight="1">
      <c r="A29" s="2" t="s">
        <v>275</v>
      </c>
      <c r="B29" s="2">
        <f>DAY(Orders[[#This Row],[Order_Date]])</f>
        <v>19</v>
      </c>
      <c r="C29" s="20">
        <v>46192</v>
      </c>
      <c r="D29" s="2" t="s">
        <v>276</v>
      </c>
      <c r="E29" s="2" t="s">
        <v>95</v>
      </c>
      <c r="F29" s="2">
        <v>22</v>
      </c>
      <c r="G29" s="22">
        <v>0</v>
      </c>
      <c r="H29" s="22" t="s">
        <v>49</v>
      </c>
      <c r="I29">
        <f>_xlfn.XLOOKUP(Orders[[#This Row],[Product_ID]],Products[Product_ID], Products[Unit_Price])</f>
        <v>2.5</v>
      </c>
      <c r="J29">
        <f>Orders[[#This Row],[Quantity]]*Orders[[#This Row],[Unit_Price]]</f>
        <v>55</v>
      </c>
      <c r="K29">
        <f>_xlfn.XLOOKUP(Orders[[#This Row],[Product_ID]], Products[Product_ID], Products[Cost_Price])</f>
        <v>1.4</v>
      </c>
      <c r="L29">
        <f>Orders[[#This Row],[Cost_Price]]*Orders[[#This Row],[Quantity]]</f>
        <v>30.799999999999997</v>
      </c>
      <c r="M29">
        <f>Orders[[#This Row],[Unit_Price]]*Orders[[#This Row],[Discount]]*Orders[[#This Row],[Quantity]]</f>
        <v>0</v>
      </c>
      <c r="N29" s="23">
        <f>Orders[[#This Row],[Gross_Sales]]-Orders[[#This Row],[Total_Cost]]-Orders[[#This Row],[Total_Discount]]</f>
        <v>24.200000000000003</v>
      </c>
      <c r="O29" s="23">
        <f>Orders[[#This Row],[Total_Cost]]+Orders[[#This Row],[Total_Discount]]</f>
        <v>30.799999999999997</v>
      </c>
      <c r="P29" t="str">
        <f>_xlfn.XLOOKUP(Orders[[#This Row],[Product_ID]], Products[Product_ID], Products[Product_Name])</f>
        <v>Energy Boost</v>
      </c>
      <c r="Q29" t="str">
        <f>_xlfn.XLOOKUP(Orders[[#This Row],[Product_ID]], Products[Product_ID], Products[Category])</f>
        <v>Energy Drink</v>
      </c>
      <c r="R29" t="str">
        <f>_xlfn.XLOOKUP(Orders[[#This Row],[Customer_ID]], Customers[Customer_ID], Customers[County])</f>
        <v>Louth</v>
      </c>
      <c r="S29" t="str">
        <f>_xlfn.XLOOKUP(Orders[[#This Row],[Customer_ID]], Customers[Customer_ID], Customers[Customer_Type])</f>
        <v>Café</v>
      </c>
      <c r="T29" t="str">
        <f>_xlfn.XLOOKUP(Orders[[#This Row],[Customer_ID]], Customers[Customer_ID], Customers[Preferred_Channel])</f>
        <v>Phone</v>
      </c>
      <c r="U29" t="str">
        <f>_xlfn.XLOOKUP(Orders[[#This Row],[Product_ID]], Products[Product_ID], Products[Bottle_Size])</f>
        <v>250ml</v>
      </c>
    </row>
    <row r="30" spans="1:21" ht="15.75" customHeight="1">
      <c r="A30" s="2" t="s">
        <v>281</v>
      </c>
      <c r="B30" s="2">
        <f>DAY(Orders[[#This Row],[Order_Date]])</f>
        <v>15</v>
      </c>
      <c r="C30" s="20">
        <v>46188</v>
      </c>
      <c r="D30" s="2" t="s">
        <v>282</v>
      </c>
      <c r="E30" s="2" t="s">
        <v>38</v>
      </c>
      <c r="F30" s="2">
        <v>38</v>
      </c>
      <c r="G30" s="22">
        <v>0.05</v>
      </c>
      <c r="H30" s="22" t="s">
        <v>49</v>
      </c>
      <c r="I30">
        <f>_xlfn.XLOOKUP(Orders[[#This Row],[Product_ID]],Products[Product_ID], Products[Unit_Price])</f>
        <v>1.5</v>
      </c>
      <c r="J30">
        <f>Orders[[#This Row],[Quantity]]*Orders[[#This Row],[Unit_Price]]</f>
        <v>57</v>
      </c>
      <c r="K30">
        <f>_xlfn.XLOOKUP(Orders[[#This Row],[Product_ID]], Products[Product_ID], Products[Cost_Price])</f>
        <v>0.8</v>
      </c>
      <c r="L30">
        <f>Orders[[#This Row],[Cost_Price]]*Orders[[#This Row],[Quantity]]</f>
        <v>30.400000000000002</v>
      </c>
      <c r="M30">
        <f>Orders[[#This Row],[Unit_Price]]*Orders[[#This Row],[Discount]]*Orders[[#This Row],[Quantity]]</f>
        <v>2.8500000000000005</v>
      </c>
      <c r="N30" s="23">
        <f>Orders[[#This Row],[Gross_Sales]]-Orders[[#This Row],[Total_Cost]]-Orders[[#This Row],[Total_Discount]]</f>
        <v>23.749999999999996</v>
      </c>
      <c r="O30" s="23">
        <f>Orders[[#This Row],[Total_Cost]]+Orders[[#This Row],[Total_Discount]]</f>
        <v>33.25</v>
      </c>
      <c r="P30" t="str">
        <f>_xlfn.XLOOKUP(Orders[[#This Row],[Product_ID]], Products[Product_ID], Products[Product_Name])</f>
        <v>Cola</v>
      </c>
      <c r="Q30" t="str">
        <f>_xlfn.XLOOKUP(Orders[[#This Row],[Product_ID]], Products[Product_ID], Products[Category])</f>
        <v>Soft Drink</v>
      </c>
      <c r="R30" t="str">
        <f>_xlfn.XLOOKUP(Orders[[#This Row],[Customer_ID]], Customers[Customer_ID], Customers[County])</f>
        <v>Clare</v>
      </c>
      <c r="S30" t="str">
        <f>_xlfn.XLOOKUP(Orders[[#This Row],[Customer_ID]], Customers[Customer_ID], Customers[Customer_Type])</f>
        <v>Hotel</v>
      </c>
      <c r="T30" t="str">
        <f>_xlfn.XLOOKUP(Orders[[#This Row],[Customer_ID]], Customers[Customer_ID], Customers[Preferred_Channel])</f>
        <v>Phone</v>
      </c>
      <c r="U30" t="str">
        <f>_xlfn.XLOOKUP(Orders[[#This Row],[Product_ID]], Products[Product_ID], Products[Bottle_Size])</f>
        <v>330ml</v>
      </c>
    </row>
    <row r="31" spans="1:21" ht="15.75" customHeight="1">
      <c r="A31" s="2" t="s">
        <v>287</v>
      </c>
      <c r="B31" s="2">
        <f>DAY(Orders[[#This Row],[Order_Date]])</f>
        <v>29</v>
      </c>
      <c r="C31" s="20">
        <v>46202</v>
      </c>
      <c r="D31" s="2" t="s">
        <v>283</v>
      </c>
      <c r="E31" s="2" t="s">
        <v>69</v>
      </c>
      <c r="F31" s="2">
        <v>33</v>
      </c>
      <c r="G31" s="22">
        <v>0</v>
      </c>
      <c r="H31" s="22" t="s">
        <v>49</v>
      </c>
      <c r="I31">
        <f>_xlfn.XLOOKUP(Orders[[#This Row],[Product_ID]],Products[Product_ID], Products[Unit_Price])</f>
        <v>2</v>
      </c>
      <c r="J31">
        <f>Orders[[#This Row],[Quantity]]*Orders[[#This Row],[Unit_Price]]</f>
        <v>66</v>
      </c>
      <c r="K31">
        <f>_xlfn.XLOOKUP(Orders[[#This Row],[Product_ID]], Products[Product_ID], Products[Cost_Price])</f>
        <v>1.1000000000000001</v>
      </c>
      <c r="L31">
        <f>Orders[[#This Row],[Cost_Price]]*Orders[[#This Row],[Quantity]]</f>
        <v>36.300000000000004</v>
      </c>
      <c r="M31">
        <f>Orders[[#This Row],[Unit_Price]]*Orders[[#This Row],[Discount]]*Orders[[#This Row],[Quantity]]</f>
        <v>0</v>
      </c>
      <c r="N31" s="23">
        <f>Orders[[#This Row],[Gross_Sales]]-Orders[[#This Row],[Total_Cost]]-Orders[[#This Row],[Total_Discount]]</f>
        <v>29.699999999999996</v>
      </c>
      <c r="O31" s="23">
        <f>Orders[[#This Row],[Total_Cost]]+Orders[[#This Row],[Total_Discount]]</f>
        <v>36.300000000000004</v>
      </c>
      <c r="P31" t="str">
        <f>_xlfn.XLOOKUP(Orders[[#This Row],[Product_ID]], Products[Product_ID], Products[Product_Name])</f>
        <v>Apple Juice</v>
      </c>
      <c r="Q31" t="str">
        <f>_xlfn.XLOOKUP(Orders[[#This Row],[Product_ID]], Products[Product_ID], Products[Category])</f>
        <v>Juice</v>
      </c>
      <c r="R31" t="str">
        <f>_xlfn.XLOOKUP(Orders[[#This Row],[Customer_ID]], Customers[Customer_ID], Customers[County])</f>
        <v>Louth</v>
      </c>
      <c r="S31" t="str">
        <f>_xlfn.XLOOKUP(Orders[[#This Row],[Customer_ID]], Customers[Customer_ID], Customers[Customer_Type])</f>
        <v>Wholesaler</v>
      </c>
      <c r="T31" t="str">
        <f>_xlfn.XLOOKUP(Orders[[#This Row],[Customer_ID]], Customers[Customer_ID], Customers[Preferred_Channel])</f>
        <v>Phone</v>
      </c>
      <c r="U31" t="str">
        <f>_xlfn.XLOOKUP(Orders[[#This Row],[Product_ID]], Products[Product_ID], Products[Bottle_Size])</f>
        <v>1L</v>
      </c>
    </row>
    <row r="32" spans="1:21" ht="15.75" customHeight="1">
      <c r="A32" s="2" t="s">
        <v>292</v>
      </c>
      <c r="B32" s="2">
        <f>DAY(Orders[[#This Row],[Order_Date]])</f>
        <v>15</v>
      </c>
      <c r="C32" s="20">
        <v>46188</v>
      </c>
      <c r="D32" s="2" t="s">
        <v>190</v>
      </c>
      <c r="E32" s="2" t="s">
        <v>134</v>
      </c>
      <c r="F32" s="2">
        <v>38</v>
      </c>
      <c r="G32" s="22">
        <v>0</v>
      </c>
      <c r="H32" s="22" t="s">
        <v>61</v>
      </c>
      <c r="I32">
        <f>_xlfn.XLOOKUP(Orders[[#This Row],[Product_ID]],Products[Product_ID], Products[Unit_Price])</f>
        <v>1.8</v>
      </c>
      <c r="J32">
        <f>Orders[[#This Row],[Quantity]]*Orders[[#This Row],[Unit_Price]]</f>
        <v>68.400000000000006</v>
      </c>
      <c r="K32">
        <f>_xlfn.XLOOKUP(Orders[[#This Row],[Product_ID]], Products[Product_ID], Products[Cost_Price])</f>
        <v>0.95</v>
      </c>
      <c r="L32">
        <f>Orders[[#This Row],[Cost_Price]]*Orders[[#This Row],[Quantity]]</f>
        <v>36.1</v>
      </c>
      <c r="M32">
        <f>Orders[[#This Row],[Unit_Price]]*Orders[[#This Row],[Discount]]*Orders[[#This Row],[Quantity]]</f>
        <v>0</v>
      </c>
      <c r="N32" s="23">
        <f>Orders[[#This Row],[Gross_Sales]]-Orders[[#This Row],[Total_Cost]]-Orders[[#This Row],[Total_Discount]]</f>
        <v>32.300000000000004</v>
      </c>
      <c r="O32" s="23">
        <f>Orders[[#This Row],[Total_Cost]]+Orders[[#This Row],[Total_Discount]]</f>
        <v>36.1</v>
      </c>
      <c r="P32" t="str">
        <f>_xlfn.XLOOKUP(Orders[[#This Row],[Product_ID]], Products[Product_ID], Products[Product_Name])</f>
        <v>Sparkling Citrus</v>
      </c>
      <c r="Q32" t="str">
        <f>_xlfn.XLOOKUP(Orders[[#This Row],[Product_ID]], Products[Product_ID], Products[Category])</f>
        <v>Water</v>
      </c>
      <c r="R32" t="str">
        <f>_xlfn.XLOOKUP(Orders[[#This Row],[Customer_ID]], Customers[Customer_ID], Customers[County])</f>
        <v>Galway</v>
      </c>
      <c r="S32" t="str">
        <f>_xlfn.XLOOKUP(Orders[[#This Row],[Customer_ID]], Customers[Customer_ID], Customers[Customer_Type])</f>
        <v>Wholesaler</v>
      </c>
      <c r="T32" t="str">
        <f>_xlfn.XLOOKUP(Orders[[#This Row],[Customer_ID]], Customers[Customer_ID], Customers[Preferred_Channel])</f>
        <v>Phone</v>
      </c>
      <c r="U32" t="str">
        <f>_xlfn.XLOOKUP(Orders[[#This Row],[Product_ID]], Products[Product_ID], Products[Bottle_Size])</f>
        <v>330ml</v>
      </c>
    </row>
    <row r="33" spans="1:21" ht="15.75" customHeight="1">
      <c r="A33" s="2" t="s">
        <v>297</v>
      </c>
      <c r="B33" s="2">
        <f>DAY(Orders[[#This Row],[Order_Date]])</f>
        <v>12</v>
      </c>
      <c r="C33" s="20">
        <v>46185</v>
      </c>
      <c r="D33" s="2" t="s">
        <v>299</v>
      </c>
      <c r="E33" s="2" t="s">
        <v>139</v>
      </c>
      <c r="F33" s="2">
        <v>29</v>
      </c>
      <c r="G33" s="22">
        <v>0</v>
      </c>
      <c r="H33" s="22" t="s">
        <v>49</v>
      </c>
      <c r="I33">
        <f>_xlfn.XLOOKUP(Orders[[#This Row],[Product_ID]],Products[Product_ID], Products[Unit_Price])</f>
        <v>2.2999999999999998</v>
      </c>
      <c r="J33">
        <f>Orders[[#This Row],[Quantity]]*Orders[[#This Row],[Unit_Price]]</f>
        <v>66.699999999999989</v>
      </c>
      <c r="K33">
        <f>_xlfn.XLOOKUP(Orders[[#This Row],[Product_ID]], Products[Product_ID], Products[Cost_Price])</f>
        <v>1.25</v>
      </c>
      <c r="L33">
        <f>Orders[[#This Row],[Cost_Price]]*Orders[[#This Row],[Quantity]]</f>
        <v>36.25</v>
      </c>
      <c r="M33">
        <f>Orders[[#This Row],[Unit_Price]]*Orders[[#This Row],[Discount]]*Orders[[#This Row],[Quantity]]</f>
        <v>0</v>
      </c>
      <c r="N33" s="23">
        <f>Orders[[#This Row],[Gross_Sales]]-Orders[[#This Row],[Total_Cost]]-Orders[[#This Row],[Total_Discount]]</f>
        <v>30.449999999999989</v>
      </c>
      <c r="O33" s="23">
        <f>Orders[[#This Row],[Total_Cost]]+Orders[[#This Row],[Total_Discount]]</f>
        <v>36.25</v>
      </c>
      <c r="P33" t="str">
        <f>_xlfn.XLOOKUP(Orders[[#This Row],[Product_ID]], Products[Product_ID], Products[Product_Name])</f>
        <v>Mango Juice</v>
      </c>
      <c r="Q33" t="str">
        <f>_xlfn.XLOOKUP(Orders[[#This Row],[Product_ID]], Products[Product_ID], Products[Category])</f>
        <v>Juice</v>
      </c>
      <c r="R33" t="str">
        <f>_xlfn.XLOOKUP(Orders[[#This Row],[Customer_ID]], Customers[Customer_ID], Customers[County])</f>
        <v>Tipperary</v>
      </c>
      <c r="S33" t="str">
        <f>_xlfn.XLOOKUP(Orders[[#This Row],[Customer_ID]], Customers[Customer_ID], Customers[Customer_Type])</f>
        <v>Restaurant</v>
      </c>
      <c r="T33" t="str">
        <f>_xlfn.XLOOKUP(Orders[[#This Row],[Customer_ID]], Customers[Customer_ID], Customers[Preferred_Channel])</f>
        <v>Phone</v>
      </c>
      <c r="U33" t="str">
        <f>_xlfn.XLOOKUP(Orders[[#This Row],[Product_ID]], Products[Product_ID], Products[Bottle_Size])</f>
        <v>1L</v>
      </c>
    </row>
    <row r="34" spans="1:21" ht="15.75" customHeight="1">
      <c r="A34" s="2" t="s">
        <v>304</v>
      </c>
      <c r="B34" s="2">
        <f>DAY(Orders[[#This Row],[Order_Date]])</f>
        <v>18</v>
      </c>
      <c r="C34" s="20">
        <v>46191</v>
      </c>
      <c r="D34" s="2" t="s">
        <v>37</v>
      </c>
      <c r="E34" s="2" t="s">
        <v>125</v>
      </c>
      <c r="F34" s="2">
        <v>43</v>
      </c>
      <c r="G34" s="22">
        <v>0</v>
      </c>
      <c r="H34" s="22" t="s">
        <v>61</v>
      </c>
      <c r="I34">
        <f>_xlfn.XLOOKUP(Orders[[#This Row],[Product_ID]],Products[Product_ID], Products[Unit_Price])</f>
        <v>2.2000000000000002</v>
      </c>
      <c r="J34">
        <f>Orders[[#This Row],[Quantity]]*Orders[[#This Row],[Unit_Price]]</f>
        <v>94.600000000000009</v>
      </c>
      <c r="K34">
        <f>_xlfn.XLOOKUP(Orders[[#This Row],[Product_ID]], Products[Product_ID], Products[Cost_Price])</f>
        <v>1.3</v>
      </c>
      <c r="L34">
        <f>Orders[[#This Row],[Cost_Price]]*Orders[[#This Row],[Quantity]]</f>
        <v>55.9</v>
      </c>
      <c r="M34">
        <f>Orders[[#This Row],[Unit_Price]]*Orders[[#This Row],[Discount]]*Orders[[#This Row],[Quantity]]</f>
        <v>0</v>
      </c>
      <c r="N34" s="23">
        <f>Orders[[#This Row],[Gross_Sales]]-Orders[[#This Row],[Total_Cost]]-Orders[[#This Row],[Total_Discount]]</f>
        <v>38.70000000000001</v>
      </c>
      <c r="O34" s="23">
        <f>Orders[[#This Row],[Total_Cost]]+Orders[[#This Row],[Total_Discount]]</f>
        <v>55.9</v>
      </c>
      <c r="P34" t="str">
        <f>_xlfn.XLOOKUP(Orders[[#This Row],[Product_ID]], Products[Product_ID], Products[Product_Name])</f>
        <v>Iced Tea</v>
      </c>
      <c r="Q34" t="str">
        <f>_xlfn.XLOOKUP(Orders[[#This Row],[Product_ID]], Products[Product_ID], Products[Category])</f>
        <v>Tea</v>
      </c>
      <c r="R34" t="str">
        <f>_xlfn.XLOOKUP(Orders[[#This Row],[Customer_ID]], Customers[Customer_ID], Customers[County])</f>
        <v>Kerry</v>
      </c>
      <c r="S34" t="str">
        <f>_xlfn.XLOOKUP(Orders[[#This Row],[Customer_ID]], Customers[Customer_ID], Customers[Customer_Type])</f>
        <v>Restaurant</v>
      </c>
      <c r="T34" t="str">
        <f>_xlfn.XLOOKUP(Orders[[#This Row],[Customer_ID]], Customers[Customer_ID], Customers[Preferred_Channel])</f>
        <v>Distributor</v>
      </c>
      <c r="U34" t="str">
        <f>_xlfn.XLOOKUP(Orders[[#This Row],[Product_ID]], Products[Product_ID], Products[Bottle_Size])</f>
        <v>500ml</v>
      </c>
    </row>
    <row r="35" spans="1:21" ht="15.75" customHeight="1">
      <c r="A35" s="2" t="s">
        <v>311</v>
      </c>
      <c r="B35" s="2">
        <f>DAY(Orders[[#This Row],[Order_Date]])</f>
        <v>20</v>
      </c>
      <c r="C35" s="20">
        <v>46193</v>
      </c>
      <c r="D35" s="2" t="s">
        <v>313</v>
      </c>
      <c r="E35" s="2" t="s">
        <v>108</v>
      </c>
      <c r="F35" s="2">
        <v>11</v>
      </c>
      <c r="G35" s="22">
        <v>0</v>
      </c>
      <c r="H35" s="22" t="s">
        <v>61</v>
      </c>
      <c r="I35">
        <f>_xlfn.XLOOKUP(Orders[[#This Row],[Product_ID]],Products[Product_ID], Products[Unit_Price])</f>
        <v>2.1</v>
      </c>
      <c r="J35">
        <f>Orders[[#This Row],[Quantity]]*Orders[[#This Row],[Unit_Price]]</f>
        <v>23.1</v>
      </c>
      <c r="K35">
        <f>_xlfn.XLOOKUP(Orders[[#This Row],[Product_ID]], Products[Product_ID], Products[Cost_Price])</f>
        <v>1.2</v>
      </c>
      <c r="L35">
        <f>Orders[[#This Row],[Cost_Price]]*Orders[[#This Row],[Quantity]]</f>
        <v>13.2</v>
      </c>
      <c r="M35">
        <f>Orders[[#This Row],[Unit_Price]]*Orders[[#This Row],[Discount]]*Orders[[#This Row],[Quantity]]</f>
        <v>0</v>
      </c>
      <c r="N35" s="23">
        <f>Orders[[#This Row],[Gross_Sales]]-Orders[[#This Row],[Total_Cost]]-Orders[[#This Row],[Total_Discount]]</f>
        <v>9.9000000000000021</v>
      </c>
      <c r="O35" s="23">
        <f>Orders[[#This Row],[Total_Cost]]+Orders[[#This Row],[Total_Discount]]</f>
        <v>13.2</v>
      </c>
      <c r="P35" t="str">
        <f>_xlfn.XLOOKUP(Orders[[#This Row],[Product_ID]], Products[Product_ID], Products[Product_Name])</f>
        <v>Berry Splash</v>
      </c>
      <c r="Q35" t="str">
        <f>_xlfn.XLOOKUP(Orders[[#This Row],[Product_ID]], Products[Product_ID], Products[Category])</f>
        <v>Juice</v>
      </c>
      <c r="R35" t="str">
        <f>_xlfn.XLOOKUP(Orders[[#This Row],[Customer_ID]], Customers[Customer_ID], Customers[County])</f>
        <v>Meath</v>
      </c>
      <c r="S35" t="str">
        <f>_xlfn.XLOOKUP(Orders[[#This Row],[Customer_ID]], Customers[Customer_ID], Customers[Customer_Type])</f>
        <v>Restaurant</v>
      </c>
      <c r="T35" t="str">
        <f>_xlfn.XLOOKUP(Orders[[#This Row],[Customer_ID]], Customers[Customer_ID], Customers[Preferred_Channel])</f>
        <v>Phone</v>
      </c>
      <c r="U35" t="str">
        <f>_xlfn.XLOOKUP(Orders[[#This Row],[Product_ID]], Products[Product_ID], Products[Bottle_Size])</f>
        <v>500ml</v>
      </c>
    </row>
    <row r="36" spans="1:21" ht="15.75" customHeight="1">
      <c r="A36" s="2" t="s">
        <v>318</v>
      </c>
      <c r="B36" s="2">
        <f>DAY(Orders[[#This Row],[Order_Date]])</f>
        <v>16</v>
      </c>
      <c r="C36" s="20">
        <v>46189</v>
      </c>
      <c r="D36" s="2" t="s">
        <v>55</v>
      </c>
      <c r="E36" s="2" t="s">
        <v>199</v>
      </c>
      <c r="F36" s="2">
        <v>12</v>
      </c>
      <c r="G36" s="22">
        <v>0</v>
      </c>
      <c r="H36" s="22" t="s">
        <v>61</v>
      </c>
      <c r="I36">
        <f>_xlfn.XLOOKUP(Orders[[#This Row],[Product_ID]],Products[Product_ID], Products[Unit_Price])</f>
        <v>1.7</v>
      </c>
      <c r="J36">
        <f>Orders[[#This Row],[Quantity]]*Orders[[#This Row],[Unit_Price]]</f>
        <v>20.399999999999999</v>
      </c>
      <c r="K36">
        <f>_xlfn.XLOOKUP(Orders[[#This Row],[Product_ID]], Products[Product_ID], Products[Cost_Price])</f>
        <v>0.9</v>
      </c>
      <c r="L36">
        <f>Orders[[#This Row],[Cost_Price]]*Orders[[#This Row],[Quantity]]</f>
        <v>10.8</v>
      </c>
      <c r="M36">
        <f>Orders[[#This Row],[Unit_Price]]*Orders[[#This Row],[Discount]]*Orders[[#This Row],[Quantity]]</f>
        <v>0</v>
      </c>
      <c r="N36" s="23">
        <f>Orders[[#This Row],[Gross_Sales]]-Orders[[#This Row],[Total_Cost]]-Orders[[#This Row],[Total_Discount]]</f>
        <v>9.5999999999999979</v>
      </c>
      <c r="O36" s="23">
        <f>Orders[[#This Row],[Total_Cost]]+Orders[[#This Row],[Total_Discount]]</f>
        <v>10.8</v>
      </c>
      <c r="P36" t="str">
        <f>_xlfn.XLOOKUP(Orders[[#This Row],[Product_ID]], Products[Product_ID], Products[Product_Name])</f>
        <v>Zero Cola</v>
      </c>
      <c r="Q36" t="str">
        <f>_xlfn.XLOOKUP(Orders[[#This Row],[Product_ID]], Products[Product_ID], Products[Category])</f>
        <v>Soft Drink</v>
      </c>
      <c r="R36" t="str">
        <f>_xlfn.XLOOKUP(Orders[[#This Row],[Customer_ID]], Customers[Customer_ID], Customers[County])</f>
        <v>Tipperary</v>
      </c>
      <c r="S36" t="str">
        <f>_xlfn.XLOOKUP(Orders[[#This Row],[Customer_ID]], Customers[Customer_ID], Customers[Customer_Type])</f>
        <v>Retailer</v>
      </c>
      <c r="T36" t="str">
        <f>_xlfn.XLOOKUP(Orders[[#This Row],[Customer_ID]], Customers[Customer_ID], Customers[Preferred_Channel])</f>
        <v>Online</v>
      </c>
      <c r="U36" t="str">
        <f>_xlfn.XLOOKUP(Orders[[#This Row],[Product_ID]], Products[Product_ID], Products[Bottle_Size])</f>
        <v>330ml</v>
      </c>
    </row>
    <row r="37" spans="1:21" ht="15.75" customHeight="1">
      <c r="A37" s="2" t="s">
        <v>320</v>
      </c>
      <c r="B37" s="2">
        <f>DAY(Orders[[#This Row],[Order_Date]])</f>
        <v>21</v>
      </c>
      <c r="C37" s="20">
        <v>46194</v>
      </c>
      <c r="D37" s="2" t="s">
        <v>322</v>
      </c>
      <c r="E37" s="2" t="s">
        <v>217</v>
      </c>
      <c r="F37" s="2">
        <v>35</v>
      </c>
      <c r="G37" s="22">
        <v>0</v>
      </c>
      <c r="H37" s="22" t="s">
        <v>61</v>
      </c>
      <c r="I37">
        <f>_xlfn.XLOOKUP(Orders[[#This Row],[Product_ID]],Products[Product_ID], Products[Unit_Price])</f>
        <v>1.4</v>
      </c>
      <c r="J37">
        <f>Orders[[#This Row],[Quantity]]*Orders[[#This Row],[Unit_Price]]</f>
        <v>49</v>
      </c>
      <c r="K37">
        <f>_xlfn.XLOOKUP(Orders[[#This Row],[Product_ID]], Products[Product_ID], Products[Cost_Price])</f>
        <v>0.7</v>
      </c>
      <c r="L37">
        <f>Orders[[#This Row],[Cost_Price]]*Orders[[#This Row],[Quantity]]</f>
        <v>24.5</v>
      </c>
      <c r="M37">
        <f>Orders[[#This Row],[Unit_Price]]*Orders[[#This Row],[Discount]]*Orders[[#This Row],[Quantity]]</f>
        <v>0</v>
      </c>
      <c r="N37" s="23">
        <f>Orders[[#This Row],[Gross_Sales]]-Orders[[#This Row],[Total_Cost]]-Orders[[#This Row],[Total_Discount]]</f>
        <v>24.5</v>
      </c>
      <c r="O37" s="23">
        <f>Orders[[#This Row],[Total_Cost]]+Orders[[#This Row],[Total_Discount]]</f>
        <v>24.5</v>
      </c>
      <c r="P37" t="str">
        <f>_xlfn.XLOOKUP(Orders[[#This Row],[Product_ID]], Products[Product_ID], Products[Product_Name])</f>
        <v>Spring Water</v>
      </c>
      <c r="Q37" t="str">
        <f>_xlfn.XLOOKUP(Orders[[#This Row],[Product_ID]], Products[Product_ID], Products[Category])</f>
        <v>Water</v>
      </c>
      <c r="R37" t="str">
        <f>_xlfn.XLOOKUP(Orders[[#This Row],[Customer_ID]], Customers[Customer_ID], Customers[County])</f>
        <v>Sligo</v>
      </c>
      <c r="S37" t="str">
        <f>_xlfn.XLOOKUP(Orders[[#This Row],[Customer_ID]], Customers[Customer_ID], Customers[Customer_Type])</f>
        <v>Restaurant</v>
      </c>
      <c r="T37" t="str">
        <f>_xlfn.XLOOKUP(Orders[[#This Row],[Customer_ID]], Customers[Customer_ID], Customers[Preferred_Channel])</f>
        <v>Distributor</v>
      </c>
      <c r="U37" t="str">
        <f>_xlfn.XLOOKUP(Orders[[#This Row],[Product_ID]], Products[Product_ID], Products[Bottle_Size])</f>
        <v>500ml</v>
      </c>
    </row>
    <row r="38" spans="1:21" ht="15.75" customHeight="1">
      <c r="A38" s="2" t="s">
        <v>326</v>
      </c>
      <c r="B38" s="2">
        <f>DAY(Orders[[#This Row],[Order_Date]])</f>
        <v>24</v>
      </c>
      <c r="C38" s="20">
        <v>46197</v>
      </c>
      <c r="D38" s="2" t="s">
        <v>177</v>
      </c>
      <c r="E38" s="2" t="s">
        <v>57</v>
      </c>
      <c r="F38" s="2">
        <v>27</v>
      </c>
      <c r="G38" s="22">
        <v>0</v>
      </c>
      <c r="H38" s="22" t="s">
        <v>61</v>
      </c>
      <c r="I38">
        <f>_xlfn.XLOOKUP(Orders[[#This Row],[Product_ID]],Products[Product_ID], Products[Unit_Price])</f>
        <v>2</v>
      </c>
      <c r="J38">
        <f>Orders[[#This Row],[Quantity]]*Orders[[#This Row],[Unit_Price]]</f>
        <v>54</v>
      </c>
      <c r="K38">
        <f>_xlfn.XLOOKUP(Orders[[#This Row],[Product_ID]], Products[Product_ID], Products[Cost_Price])</f>
        <v>1</v>
      </c>
      <c r="L38">
        <f>Orders[[#This Row],[Cost_Price]]*Orders[[#This Row],[Quantity]]</f>
        <v>27</v>
      </c>
      <c r="M38">
        <f>Orders[[#This Row],[Unit_Price]]*Orders[[#This Row],[Discount]]*Orders[[#This Row],[Quantity]]</f>
        <v>0</v>
      </c>
      <c r="N38" s="23">
        <f>Orders[[#This Row],[Gross_Sales]]-Orders[[#This Row],[Total_Cost]]-Orders[[#This Row],[Total_Discount]]</f>
        <v>27</v>
      </c>
      <c r="O38" s="23">
        <f>Orders[[#This Row],[Total_Cost]]+Orders[[#This Row],[Total_Discount]]</f>
        <v>27</v>
      </c>
      <c r="P38" t="str">
        <f>_xlfn.XLOOKUP(Orders[[#This Row],[Product_ID]], Products[Product_ID], Products[Product_Name])</f>
        <v xml:space="preserve">Mineral Water
</v>
      </c>
      <c r="Q38" t="str">
        <f>_xlfn.XLOOKUP(Orders[[#This Row],[Product_ID]], Products[Product_ID], Products[Category])</f>
        <v>Water</v>
      </c>
      <c r="R38" t="str">
        <f>_xlfn.XLOOKUP(Orders[[#This Row],[Customer_ID]], Customers[Customer_ID], Customers[County])</f>
        <v>Kildare</v>
      </c>
      <c r="S38" t="str">
        <f>_xlfn.XLOOKUP(Orders[[#This Row],[Customer_ID]], Customers[Customer_ID], Customers[Customer_Type])</f>
        <v>Supermarket</v>
      </c>
      <c r="T38" t="str">
        <f>_xlfn.XLOOKUP(Orders[[#This Row],[Customer_ID]], Customers[Customer_ID], Customers[Preferred_Channel])</f>
        <v>Email</v>
      </c>
      <c r="U38" t="str">
        <f>_xlfn.XLOOKUP(Orders[[#This Row],[Product_ID]], Products[Product_ID], Products[Bottle_Size])</f>
        <v>1.5L</v>
      </c>
    </row>
    <row r="39" spans="1:21" ht="15.75" customHeight="1">
      <c r="A39" s="2" t="s">
        <v>333</v>
      </c>
      <c r="B39" s="2">
        <f>DAY(Orders[[#This Row],[Order_Date]])</f>
        <v>8</v>
      </c>
      <c r="C39" s="20">
        <v>46181</v>
      </c>
      <c r="D39" s="2" t="s">
        <v>290</v>
      </c>
      <c r="E39" s="2" t="s">
        <v>108</v>
      </c>
      <c r="F39" s="2">
        <v>13</v>
      </c>
      <c r="G39" s="22">
        <v>0</v>
      </c>
      <c r="H39" s="22" t="s">
        <v>61</v>
      </c>
      <c r="I39">
        <f>_xlfn.XLOOKUP(Orders[[#This Row],[Product_ID]],Products[Product_ID], Products[Unit_Price])</f>
        <v>2.1</v>
      </c>
      <c r="J39">
        <f>Orders[[#This Row],[Quantity]]*Orders[[#This Row],[Unit_Price]]</f>
        <v>27.3</v>
      </c>
      <c r="K39">
        <f>_xlfn.XLOOKUP(Orders[[#This Row],[Product_ID]], Products[Product_ID], Products[Cost_Price])</f>
        <v>1.2</v>
      </c>
      <c r="L39">
        <f>Orders[[#This Row],[Cost_Price]]*Orders[[#This Row],[Quantity]]</f>
        <v>15.6</v>
      </c>
      <c r="M39">
        <f>Orders[[#This Row],[Unit_Price]]*Orders[[#This Row],[Discount]]*Orders[[#This Row],[Quantity]]</f>
        <v>0</v>
      </c>
      <c r="N39" s="23">
        <f>Orders[[#This Row],[Gross_Sales]]-Orders[[#This Row],[Total_Cost]]-Orders[[#This Row],[Total_Discount]]</f>
        <v>11.700000000000001</v>
      </c>
      <c r="O39" s="23">
        <f>Orders[[#This Row],[Total_Cost]]+Orders[[#This Row],[Total_Discount]]</f>
        <v>15.6</v>
      </c>
      <c r="P39" t="str">
        <f>_xlfn.XLOOKUP(Orders[[#This Row],[Product_ID]], Products[Product_ID], Products[Product_Name])</f>
        <v>Berry Splash</v>
      </c>
      <c r="Q39" t="str">
        <f>_xlfn.XLOOKUP(Orders[[#This Row],[Product_ID]], Products[Product_ID], Products[Category])</f>
        <v>Juice</v>
      </c>
      <c r="R39" t="str">
        <f>_xlfn.XLOOKUP(Orders[[#This Row],[Customer_ID]], Customers[Customer_ID], Customers[County])</f>
        <v>Waterford</v>
      </c>
      <c r="S39" t="str">
        <f>_xlfn.XLOOKUP(Orders[[#This Row],[Customer_ID]], Customers[Customer_ID], Customers[Customer_Type])</f>
        <v>Café</v>
      </c>
      <c r="T39" t="str">
        <f>_xlfn.XLOOKUP(Orders[[#This Row],[Customer_ID]], Customers[Customer_ID], Customers[Preferred_Channel])</f>
        <v>Phone</v>
      </c>
      <c r="U39" t="str">
        <f>_xlfn.XLOOKUP(Orders[[#This Row],[Product_ID]], Products[Product_ID], Products[Bottle_Size])</f>
        <v>500ml</v>
      </c>
    </row>
    <row r="40" spans="1:21" ht="15.75" customHeight="1">
      <c r="A40" s="2" t="s">
        <v>340</v>
      </c>
      <c r="B40" s="2">
        <f>DAY(Orders[[#This Row],[Order_Date]])</f>
        <v>25</v>
      </c>
      <c r="C40" s="20">
        <v>46198</v>
      </c>
      <c r="D40" s="2" t="s">
        <v>231</v>
      </c>
      <c r="E40" s="2" t="s">
        <v>17</v>
      </c>
      <c r="F40" s="2">
        <v>41</v>
      </c>
      <c r="G40" s="22">
        <v>0.1</v>
      </c>
      <c r="H40" s="22" t="s">
        <v>61</v>
      </c>
      <c r="I40">
        <f>_xlfn.XLOOKUP(Orders[[#This Row],[Product_ID]],Products[Product_ID], Products[Unit_Price])</f>
        <v>1.2</v>
      </c>
      <c r="J40">
        <f>Orders[[#This Row],[Quantity]]*Orders[[#This Row],[Unit_Price]]</f>
        <v>49.199999999999996</v>
      </c>
      <c r="K40">
        <f>_xlfn.XLOOKUP(Orders[[#This Row],[Product_ID]], Products[Product_ID], Products[Cost_Price])</f>
        <v>0.6</v>
      </c>
      <c r="L40">
        <f>Orders[[#This Row],[Cost_Price]]*Orders[[#This Row],[Quantity]]</f>
        <v>24.599999999999998</v>
      </c>
      <c r="M40">
        <f>Orders[[#This Row],[Unit_Price]]*Orders[[#This Row],[Discount]]*Orders[[#This Row],[Quantity]]</f>
        <v>4.92</v>
      </c>
      <c r="N40" s="23">
        <f>Orders[[#This Row],[Gross_Sales]]-Orders[[#This Row],[Total_Cost]]-Orders[[#This Row],[Total_Discount]]</f>
        <v>19.68</v>
      </c>
      <c r="O40" s="23">
        <f>Orders[[#This Row],[Total_Cost]]+Orders[[#This Row],[Total_Discount]]</f>
        <v>29.519999999999996</v>
      </c>
      <c r="P40" t="str">
        <f>_xlfn.XLOOKUP(Orders[[#This Row],[Product_ID]], Products[Product_ID], Products[Product_Name])</f>
        <v>Still Water</v>
      </c>
      <c r="Q40" t="str">
        <f>_xlfn.XLOOKUP(Orders[[#This Row],[Product_ID]], Products[Product_ID], Products[Category])</f>
        <v>Water</v>
      </c>
      <c r="R40" t="str">
        <f>_xlfn.XLOOKUP(Orders[[#This Row],[Customer_ID]], Customers[Customer_ID], Customers[County])</f>
        <v>Louth</v>
      </c>
      <c r="S40" t="str">
        <f>_xlfn.XLOOKUP(Orders[[#This Row],[Customer_ID]], Customers[Customer_ID], Customers[Customer_Type])</f>
        <v>Hotel</v>
      </c>
      <c r="T40" t="str">
        <f>_xlfn.XLOOKUP(Orders[[#This Row],[Customer_ID]], Customers[Customer_ID], Customers[Preferred_Channel])</f>
        <v>Phone</v>
      </c>
      <c r="U40" t="str">
        <f>_xlfn.XLOOKUP(Orders[[#This Row],[Product_ID]], Products[Product_ID], Products[Bottle_Size])</f>
        <v>500ml</v>
      </c>
    </row>
    <row r="41" spans="1:21" ht="15.75" customHeight="1">
      <c r="A41" s="2" t="s">
        <v>347</v>
      </c>
      <c r="B41" s="2">
        <f>DAY(Orders[[#This Row],[Order_Date]])</f>
        <v>30</v>
      </c>
      <c r="C41" s="20">
        <v>46203</v>
      </c>
      <c r="D41" s="2" t="s">
        <v>349</v>
      </c>
      <c r="E41" s="2" t="s">
        <v>95</v>
      </c>
      <c r="F41" s="2">
        <v>48</v>
      </c>
      <c r="G41" s="22">
        <v>0</v>
      </c>
      <c r="H41" s="22" t="s">
        <v>61</v>
      </c>
      <c r="I41">
        <f>_xlfn.XLOOKUP(Orders[[#This Row],[Product_ID]],Products[Product_ID], Products[Unit_Price])</f>
        <v>2.5</v>
      </c>
      <c r="J41">
        <f>Orders[[#This Row],[Quantity]]*Orders[[#This Row],[Unit_Price]]</f>
        <v>120</v>
      </c>
      <c r="K41">
        <f>_xlfn.XLOOKUP(Orders[[#This Row],[Product_ID]], Products[Product_ID], Products[Cost_Price])</f>
        <v>1.4</v>
      </c>
      <c r="L41">
        <f>Orders[[#This Row],[Cost_Price]]*Orders[[#This Row],[Quantity]]</f>
        <v>67.199999999999989</v>
      </c>
      <c r="M41">
        <f>Orders[[#This Row],[Unit_Price]]*Orders[[#This Row],[Discount]]*Orders[[#This Row],[Quantity]]</f>
        <v>0</v>
      </c>
      <c r="N41" s="23">
        <f>Orders[[#This Row],[Gross_Sales]]-Orders[[#This Row],[Total_Cost]]-Orders[[#This Row],[Total_Discount]]</f>
        <v>52.800000000000011</v>
      </c>
      <c r="O41" s="23">
        <f>Orders[[#This Row],[Total_Cost]]+Orders[[#This Row],[Total_Discount]]</f>
        <v>67.199999999999989</v>
      </c>
      <c r="P41" t="str">
        <f>_xlfn.XLOOKUP(Orders[[#This Row],[Product_ID]], Products[Product_ID], Products[Product_Name])</f>
        <v>Energy Boost</v>
      </c>
      <c r="Q41" t="str">
        <f>_xlfn.XLOOKUP(Orders[[#This Row],[Product_ID]], Products[Product_ID], Products[Category])</f>
        <v>Energy Drink</v>
      </c>
      <c r="R41" t="str">
        <f>_xlfn.XLOOKUP(Orders[[#This Row],[Customer_ID]], Customers[Customer_ID], Customers[County])</f>
        <v>Sligo</v>
      </c>
      <c r="S41" t="str">
        <f>_xlfn.XLOOKUP(Orders[[#This Row],[Customer_ID]], Customers[Customer_ID], Customers[Customer_Type])</f>
        <v>Wholesaler</v>
      </c>
      <c r="T41" t="str">
        <f>_xlfn.XLOOKUP(Orders[[#This Row],[Customer_ID]], Customers[Customer_ID], Customers[Preferred_Channel])</f>
        <v>Distributor</v>
      </c>
      <c r="U41" t="str">
        <f>_xlfn.XLOOKUP(Orders[[#This Row],[Product_ID]], Products[Product_ID], Products[Bottle_Size])</f>
        <v>250ml</v>
      </c>
    </row>
    <row r="42" spans="1:21" ht="15.75" customHeight="1">
      <c r="A42" s="2" t="s">
        <v>353</v>
      </c>
      <c r="B42" s="2">
        <f>DAY(Orders[[#This Row],[Order_Date]])</f>
        <v>12</v>
      </c>
      <c r="C42" s="20">
        <v>46185</v>
      </c>
      <c r="D42" s="2" t="s">
        <v>322</v>
      </c>
      <c r="E42" s="2" t="s">
        <v>172</v>
      </c>
      <c r="F42" s="2">
        <v>40</v>
      </c>
      <c r="G42" s="22">
        <v>0.05</v>
      </c>
      <c r="H42" s="22" t="s">
        <v>61</v>
      </c>
      <c r="I42">
        <f>_xlfn.XLOOKUP(Orders[[#This Row],[Product_ID]],Products[Product_ID], Products[Unit_Price])</f>
        <v>1.6</v>
      </c>
      <c r="J42">
        <f>Orders[[#This Row],[Quantity]]*Orders[[#This Row],[Unit_Price]]</f>
        <v>64</v>
      </c>
      <c r="K42">
        <f>_xlfn.XLOOKUP(Orders[[#This Row],[Product_ID]], Products[Product_ID], Products[Cost_Price])</f>
        <v>0.85</v>
      </c>
      <c r="L42">
        <f>Orders[[#This Row],[Cost_Price]]*Orders[[#This Row],[Quantity]]</f>
        <v>34</v>
      </c>
      <c r="M42">
        <f>Orders[[#This Row],[Unit_Price]]*Orders[[#This Row],[Discount]]*Orders[[#This Row],[Quantity]]</f>
        <v>3.2000000000000006</v>
      </c>
      <c r="N42" s="23">
        <f>Orders[[#This Row],[Gross_Sales]]-Orders[[#This Row],[Total_Cost]]-Orders[[#This Row],[Total_Discount]]</f>
        <v>26.8</v>
      </c>
      <c r="O42" s="23">
        <f>Orders[[#This Row],[Total_Cost]]+Orders[[#This Row],[Total_Discount]]</f>
        <v>37.200000000000003</v>
      </c>
      <c r="P42" t="str">
        <f>_xlfn.XLOOKUP(Orders[[#This Row],[Product_ID]], Products[Product_ID], Products[Product_Name])</f>
        <v>Grape Soda</v>
      </c>
      <c r="Q42" t="str">
        <f>_xlfn.XLOOKUP(Orders[[#This Row],[Product_ID]], Products[Product_ID], Products[Category])</f>
        <v>Soft Drink</v>
      </c>
      <c r="R42" t="str">
        <f>_xlfn.XLOOKUP(Orders[[#This Row],[Customer_ID]], Customers[Customer_ID], Customers[County])</f>
        <v>Sligo</v>
      </c>
      <c r="S42" t="str">
        <f>_xlfn.XLOOKUP(Orders[[#This Row],[Customer_ID]], Customers[Customer_ID], Customers[Customer_Type])</f>
        <v>Restaurant</v>
      </c>
      <c r="T42" t="str">
        <f>_xlfn.XLOOKUP(Orders[[#This Row],[Customer_ID]], Customers[Customer_ID], Customers[Preferred_Channel])</f>
        <v>Distributor</v>
      </c>
      <c r="U42" t="str">
        <f>_xlfn.XLOOKUP(Orders[[#This Row],[Product_ID]], Products[Product_ID], Products[Bottle_Size])</f>
        <v>330ml</v>
      </c>
    </row>
    <row r="43" spans="1:21" ht="15.75" customHeight="1">
      <c r="A43" s="2" t="s">
        <v>358</v>
      </c>
      <c r="B43" s="2">
        <f>DAY(Orders[[#This Row],[Order_Date]])</f>
        <v>25</v>
      </c>
      <c r="C43" s="20">
        <v>46198</v>
      </c>
      <c r="D43" s="2" t="s">
        <v>257</v>
      </c>
      <c r="E43" s="2" t="s">
        <v>41</v>
      </c>
      <c r="F43" s="2">
        <v>32</v>
      </c>
      <c r="G43" s="22">
        <v>0.05</v>
      </c>
      <c r="H43" s="22" t="s">
        <v>49</v>
      </c>
      <c r="I43">
        <f>_xlfn.XLOOKUP(Orders[[#This Row],[Product_ID]],Products[Product_ID], Products[Unit_Price])</f>
        <v>2.2000000000000002</v>
      </c>
      <c r="J43">
        <f>Orders[[#This Row],[Quantity]]*Orders[[#This Row],[Unit_Price]]</f>
        <v>70.400000000000006</v>
      </c>
      <c r="K43">
        <f>_xlfn.XLOOKUP(Orders[[#This Row],[Product_ID]], Products[Product_ID], Products[Cost_Price])</f>
        <v>1.2</v>
      </c>
      <c r="L43">
        <f>Orders[[#This Row],[Cost_Price]]*Orders[[#This Row],[Quantity]]</f>
        <v>38.4</v>
      </c>
      <c r="M43">
        <f>Orders[[#This Row],[Unit_Price]]*Orders[[#This Row],[Discount]]*Orders[[#This Row],[Quantity]]</f>
        <v>3.5200000000000005</v>
      </c>
      <c r="N43" s="23">
        <f>Orders[[#This Row],[Gross_Sales]]-Orders[[#This Row],[Total_Cost]]-Orders[[#This Row],[Total_Discount]]</f>
        <v>28.480000000000008</v>
      </c>
      <c r="O43" s="23">
        <f>Orders[[#This Row],[Total_Cost]]+Orders[[#This Row],[Total_Discount]]</f>
        <v>41.92</v>
      </c>
      <c r="P43" t="str">
        <f>_xlfn.XLOOKUP(Orders[[#This Row],[Product_ID]], Products[Product_ID], Products[Product_Name])</f>
        <v>Peach Tea</v>
      </c>
      <c r="Q43" t="str">
        <f>_xlfn.XLOOKUP(Orders[[#This Row],[Product_ID]], Products[Product_ID], Products[Category])</f>
        <v>Tea</v>
      </c>
      <c r="R43" t="str">
        <f>_xlfn.XLOOKUP(Orders[[#This Row],[Customer_ID]], Customers[Customer_ID], Customers[County])</f>
        <v>Wexford</v>
      </c>
      <c r="S43" t="str">
        <f>_xlfn.XLOOKUP(Orders[[#This Row],[Customer_ID]], Customers[Customer_ID], Customers[Customer_Type])</f>
        <v>Café</v>
      </c>
      <c r="T43" t="str">
        <f>_xlfn.XLOOKUP(Orders[[#This Row],[Customer_ID]], Customers[Customer_ID], Customers[Preferred_Channel])</f>
        <v>Phone</v>
      </c>
      <c r="U43" t="str">
        <f>_xlfn.XLOOKUP(Orders[[#This Row],[Product_ID]], Products[Product_ID], Products[Bottle_Size])</f>
        <v>500ml</v>
      </c>
    </row>
    <row r="44" spans="1:21" ht="15.75" customHeight="1">
      <c r="A44" s="2" t="s">
        <v>364</v>
      </c>
      <c r="B44" s="2">
        <f>DAY(Orders[[#This Row],[Order_Date]])</f>
        <v>25</v>
      </c>
      <c r="C44" s="20">
        <v>46198</v>
      </c>
      <c r="D44" s="2" t="s">
        <v>133</v>
      </c>
      <c r="E44" s="2" t="s">
        <v>170</v>
      </c>
      <c r="F44" s="2">
        <v>8</v>
      </c>
      <c r="G44" s="22">
        <v>0</v>
      </c>
      <c r="H44" s="22" t="s">
        <v>61</v>
      </c>
      <c r="I44">
        <f>_xlfn.XLOOKUP(Orders[[#This Row],[Product_ID]],Products[Product_ID], Products[Unit_Price])</f>
        <v>1.9</v>
      </c>
      <c r="J44">
        <f>Orders[[#This Row],[Quantity]]*Orders[[#This Row],[Unit_Price]]</f>
        <v>15.2</v>
      </c>
      <c r="K44">
        <f>_xlfn.XLOOKUP(Orders[[#This Row],[Product_ID]], Products[Product_ID], Products[Cost_Price])</f>
        <v>0.95</v>
      </c>
      <c r="L44">
        <f>Orders[[#This Row],[Cost_Price]]*Orders[[#This Row],[Quantity]]</f>
        <v>7.6</v>
      </c>
      <c r="M44">
        <f>Orders[[#This Row],[Unit_Price]]*Orders[[#This Row],[Discount]]*Orders[[#This Row],[Quantity]]</f>
        <v>0</v>
      </c>
      <c r="N44" s="23">
        <f>Orders[[#This Row],[Gross_Sales]]-Orders[[#This Row],[Total_Cost]]-Orders[[#This Row],[Total_Discount]]</f>
        <v>7.6</v>
      </c>
      <c r="O44" s="23">
        <f>Orders[[#This Row],[Total_Cost]]+Orders[[#This Row],[Total_Discount]]</f>
        <v>7.6</v>
      </c>
      <c r="P44" t="str">
        <f>_xlfn.XLOOKUP(Orders[[#This Row],[Product_ID]], Products[Product_ID], Products[Product_Name])</f>
        <v>Vitamin Water</v>
      </c>
      <c r="Q44" t="str">
        <f>_xlfn.XLOOKUP(Orders[[#This Row],[Product_ID]], Products[Product_ID], Products[Category])</f>
        <v>Water</v>
      </c>
      <c r="R44" t="str">
        <f>_xlfn.XLOOKUP(Orders[[#This Row],[Customer_ID]], Customers[Customer_ID], Customers[County])</f>
        <v>Meath</v>
      </c>
      <c r="S44" t="str">
        <f>_xlfn.XLOOKUP(Orders[[#This Row],[Customer_ID]], Customers[Customer_ID], Customers[Customer_Type])</f>
        <v>Restaurant</v>
      </c>
      <c r="T44" t="str">
        <f>_xlfn.XLOOKUP(Orders[[#This Row],[Customer_ID]], Customers[Customer_ID], Customers[Preferred_Channel])</f>
        <v>Phone</v>
      </c>
      <c r="U44" t="str">
        <f>_xlfn.XLOOKUP(Orders[[#This Row],[Product_ID]], Products[Product_ID], Products[Bottle_Size])</f>
        <v>500ml</v>
      </c>
    </row>
    <row r="45" spans="1:21" ht="15.75" customHeight="1">
      <c r="A45" s="2" t="s">
        <v>370</v>
      </c>
      <c r="B45" s="2">
        <f>DAY(Orders[[#This Row],[Order_Date]])</f>
        <v>7</v>
      </c>
      <c r="C45" s="20">
        <v>46180</v>
      </c>
      <c r="D45" s="2" t="s">
        <v>371</v>
      </c>
      <c r="E45" s="2" t="s">
        <v>134</v>
      </c>
      <c r="F45" s="2">
        <v>48</v>
      </c>
      <c r="G45" s="22">
        <v>0</v>
      </c>
      <c r="H45" s="22" t="s">
        <v>179</v>
      </c>
      <c r="I45">
        <f>_xlfn.XLOOKUP(Orders[[#This Row],[Product_ID]],Products[Product_ID], Products[Unit_Price])</f>
        <v>1.8</v>
      </c>
      <c r="J45">
        <f>Orders[[#This Row],[Quantity]]*Orders[[#This Row],[Unit_Price]]</f>
        <v>86.4</v>
      </c>
      <c r="K45">
        <f>_xlfn.XLOOKUP(Orders[[#This Row],[Product_ID]], Products[Product_ID], Products[Cost_Price])</f>
        <v>0.95</v>
      </c>
      <c r="L45">
        <f>Orders[[#This Row],[Cost_Price]]*Orders[[#This Row],[Quantity]]</f>
        <v>45.599999999999994</v>
      </c>
      <c r="M45">
        <f>Orders[[#This Row],[Unit_Price]]*Orders[[#This Row],[Discount]]*Orders[[#This Row],[Quantity]]</f>
        <v>0</v>
      </c>
      <c r="N45" s="23">
        <f>Orders[[#This Row],[Gross_Sales]]-Orders[[#This Row],[Total_Cost]]-Orders[[#This Row],[Total_Discount]]</f>
        <v>40.800000000000011</v>
      </c>
      <c r="O45" s="23">
        <f>Orders[[#This Row],[Total_Cost]]+Orders[[#This Row],[Total_Discount]]</f>
        <v>45.599999999999994</v>
      </c>
      <c r="P45" t="str">
        <f>_xlfn.XLOOKUP(Orders[[#This Row],[Product_ID]], Products[Product_ID], Products[Product_Name])</f>
        <v>Sparkling Citrus</v>
      </c>
      <c r="Q45" t="str">
        <f>_xlfn.XLOOKUP(Orders[[#This Row],[Product_ID]], Products[Product_ID], Products[Category])</f>
        <v>Water</v>
      </c>
      <c r="R45" t="str">
        <f>_xlfn.XLOOKUP(Orders[[#This Row],[Customer_ID]], Customers[Customer_ID], Customers[County])</f>
        <v>Waterford</v>
      </c>
      <c r="S45" t="str">
        <f>_xlfn.XLOOKUP(Orders[[#This Row],[Customer_ID]], Customers[Customer_ID], Customers[Customer_Type])</f>
        <v>Hotel</v>
      </c>
      <c r="T45" t="str">
        <f>_xlfn.XLOOKUP(Orders[[#This Row],[Customer_ID]], Customers[Customer_ID], Customers[Preferred_Channel])</f>
        <v>Email</v>
      </c>
      <c r="U45" t="str">
        <f>_xlfn.XLOOKUP(Orders[[#This Row],[Product_ID]], Products[Product_ID], Products[Bottle_Size])</f>
        <v>330ml</v>
      </c>
    </row>
    <row r="46" spans="1:21" ht="15.75" customHeight="1">
      <c r="A46" s="2" t="s">
        <v>375</v>
      </c>
      <c r="B46" s="2">
        <f>DAY(Orders[[#This Row],[Order_Date]])</f>
        <v>17</v>
      </c>
      <c r="C46" s="20">
        <v>46190</v>
      </c>
      <c r="D46" s="2" t="s">
        <v>376</v>
      </c>
      <c r="E46" s="2" t="s">
        <v>28</v>
      </c>
      <c r="F46" s="2">
        <v>24</v>
      </c>
      <c r="G46" s="22">
        <v>0.05</v>
      </c>
      <c r="H46" s="22" t="s">
        <v>61</v>
      </c>
      <c r="I46">
        <f>_xlfn.XLOOKUP(Orders[[#This Row],[Product_ID]],Products[Product_ID], Products[Unit_Price])</f>
        <v>1.8</v>
      </c>
      <c r="J46">
        <f>Orders[[#This Row],[Quantity]]*Orders[[#This Row],[Unit_Price]]</f>
        <v>43.2</v>
      </c>
      <c r="K46">
        <f>_xlfn.XLOOKUP(Orders[[#This Row],[Product_ID]], Products[Product_ID], Products[Cost_Price])</f>
        <v>0.9</v>
      </c>
      <c r="L46">
        <f>Orders[[#This Row],[Cost_Price]]*Orders[[#This Row],[Quantity]]</f>
        <v>21.6</v>
      </c>
      <c r="M46">
        <f>Orders[[#This Row],[Unit_Price]]*Orders[[#This Row],[Discount]]*Orders[[#This Row],[Quantity]]</f>
        <v>2.16</v>
      </c>
      <c r="N46" s="23">
        <f>Orders[[#This Row],[Gross_Sales]]-Orders[[#This Row],[Total_Cost]]-Orders[[#This Row],[Total_Discount]]</f>
        <v>19.440000000000001</v>
      </c>
      <c r="O46" s="23">
        <f>Orders[[#This Row],[Total_Cost]]+Orders[[#This Row],[Total_Discount]]</f>
        <v>23.76</v>
      </c>
      <c r="P46" t="str">
        <f>_xlfn.XLOOKUP(Orders[[#This Row],[Product_ID]], Products[Product_ID], Products[Product_Name])</f>
        <v>Sparkling Water</v>
      </c>
      <c r="Q46" t="str">
        <f>_xlfn.XLOOKUP(Orders[[#This Row],[Product_ID]], Products[Product_ID], Products[Category])</f>
        <v>Water</v>
      </c>
      <c r="R46" t="str">
        <f>_xlfn.XLOOKUP(Orders[[#This Row],[Customer_ID]], Customers[Customer_ID], Customers[County])</f>
        <v>Waterford</v>
      </c>
      <c r="S46" t="str">
        <f>_xlfn.XLOOKUP(Orders[[#This Row],[Customer_ID]], Customers[Customer_ID], Customers[Customer_Type])</f>
        <v>Retailer</v>
      </c>
      <c r="T46" t="str">
        <f>_xlfn.XLOOKUP(Orders[[#This Row],[Customer_ID]], Customers[Customer_ID], Customers[Preferred_Channel])</f>
        <v>Online</v>
      </c>
      <c r="U46" t="str">
        <f>_xlfn.XLOOKUP(Orders[[#This Row],[Product_ID]], Products[Product_ID], Products[Bottle_Size])</f>
        <v>1L</v>
      </c>
    </row>
    <row r="47" spans="1:21" ht="15.75" customHeight="1">
      <c r="A47" s="2" t="s">
        <v>378</v>
      </c>
      <c r="B47" s="2">
        <f>DAY(Orders[[#This Row],[Order_Date]])</f>
        <v>29</v>
      </c>
      <c r="C47" s="20">
        <v>46202</v>
      </c>
      <c r="D47" s="2" t="s">
        <v>182</v>
      </c>
      <c r="E47" s="2" t="s">
        <v>172</v>
      </c>
      <c r="F47" s="2">
        <v>42</v>
      </c>
      <c r="G47" s="22">
        <v>0</v>
      </c>
      <c r="H47" s="22" t="s">
        <v>49</v>
      </c>
      <c r="I47">
        <f>_xlfn.XLOOKUP(Orders[[#This Row],[Product_ID]],Products[Product_ID], Products[Unit_Price])</f>
        <v>1.6</v>
      </c>
      <c r="J47">
        <f>Orders[[#This Row],[Quantity]]*Orders[[#This Row],[Unit_Price]]</f>
        <v>67.2</v>
      </c>
      <c r="K47">
        <f>_xlfn.XLOOKUP(Orders[[#This Row],[Product_ID]], Products[Product_ID], Products[Cost_Price])</f>
        <v>0.85</v>
      </c>
      <c r="L47">
        <f>Orders[[#This Row],[Cost_Price]]*Orders[[#This Row],[Quantity]]</f>
        <v>35.699999999999996</v>
      </c>
      <c r="M47">
        <f>Orders[[#This Row],[Unit_Price]]*Orders[[#This Row],[Discount]]*Orders[[#This Row],[Quantity]]</f>
        <v>0</v>
      </c>
      <c r="N47" s="23">
        <f>Orders[[#This Row],[Gross_Sales]]-Orders[[#This Row],[Total_Cost]]-Orders[[#This Row],[Total_Discount]]</f>
        <v>31.500000000000007</v>
      </c>
      <c r="O47" s="23">
        <f>Orders[[#This Row],[Total_Cost]]+Orders[[#This Row],[Total_Discount]]</f>
        <v>35.699999999999996</v>
      </c>
      <c r="P47" t="str">
        <f>_xlfn.XLOOKUP(Orders[[#This Row],[Product_ID]], Products[Product_ID], Products[Product_Name])</f>
        <v>Grape Soda</v>
      </c>
      <c r="Q47" t="str">
        <f>_xlfn.XLOOKUP(Orders[[#This Row],[Product_ID]], Products[Product_ID], Products[Category])</f>
        <v>Soft Drink</v>
      </c>
      <c r="R47" t="str">
        <f>_xlfn.XLOOKUP(Orders[[#This Row],[Customer_ID]], Customers[Customer_ID], Customers[County])</f>
        <v>Waterford</v>
      </c>
      <c r="S47" t="str">
        <f>_xlfn.XLOOKUP(Orders[[#This Row],[Customer_ID]], Customers[Customer_ID], Customers[Customer_Type])</f>
        <v>Café</v>
      </c>
      <c r="T47" t="str">
        <f>_xlfn.XLOOKUP(Orders[[#This Row],[Customer_ID]], Customers[Customer_ID], Customers[Preferred_Channel])</f>
        <v>Phone</v>
      </c>
      <c r="U47" t="str">
        <f>_xlfn.XLOOKUP(Orders[[#This Row],[Product_ID]], Products[Product_ID], Products[Bottle_Size])</f>
        <v>330ml</v>
      </c>
    </row>
    <row r="48" spans="1:21" ht="15.75" customHeight="1">
      <c r="A48" s="2" t="s">
        <v>384</v>
      </c>
      <c r="B48" s="2">
        <f>DAY(Orders[[#This Row],[Order_Date]])</f>
        <v>29</v>
      </c>
      <c r="C48" s="20">
        <v>46202</v>
      </c>
      <c r="D48" s="2" t="s">
        <v>373</v>
      </c>
      <c r="E48" s="2" t="s">
        <v>139</v>
      </c>
      <c r="F48" s="2">
        <v>32</v>
      </c>
      <c r="G48" s="22">
        <v>0</v>
      </c>
      <c r="H48" s="22" t="s">
        <v>61</v>
      </c>
      <c r="I48">
        <f>_xlfn.XLOOKUP(Orders[[#This Row],[Product_ID]],Products[Product_ID], Products[Unit_Price])</f>
        <v>2.2999999999999998</v>
      </c>
      <c r="J48">
        <f>Orders[[#This Row],[Quantity]]*Orders[[#This Row],[Unit_Price]]</f>
        <v>73.599999999999994</v>
      </c>
      <c r="K48">
        <f>_xlfn.XLOOKUP(Orders[[#This Row],[Product_ID]], Products[Product_ID], Products[Cost_Price])</f>
        <v>1.25</v>
      </c>
      <c r="L48">
        <f>Orders[[#This Row],[Cost_Price]]*Orders[[#This Row],[Quantity]]</f>
        <v>40</v>
      </c>
      <c r="M48">
        <f>Orders[[#This Row],[Unit_Price]]*Orders[[#This Row],[Discount]]*Orders[[#This Row],[Quantity]]</f>
        <v>0</v>
      </c>
      <c r="N48" s="23">
        <f>Orders[[#This Row],[Gross_Sales]]-Orders[[#This Row],[Total_Cost]]-Orders[[#This Row],[Total_Discount]]</f>
        <v>33.599999999999994</v>
      </c>
      <c r="O48" s="23">
        <f>Orders[[#This Row],[Total_Cost]]+Orders[[#This Row],[Total_Discount]]</f>
        <v>40</v>
      </c>
      <c r="P48" t="str">
        <f>_xlfn.XLOOKUP(Orders[[#This Row],[Product_ID]], Products[Product_ID], Products[Product_Name])</f>
        <v>Mango Juice</v>
      </c>
      <c r="Q48" t="str">
        <f>_xlfn.XLOOKUP(Orders[[#This Row],[Product_ID]], Products[Product_ID], Products[Category])</f>
        <v>Juice</v>
      </c>
      <c r="R48" t="str">
        <f>_xlfn.XLOOKUP(Orders[[#This Row],[Customer_ID]], Customers[Customer_ID], Customers[County])</f>
        <v>Mayo</v>
      </c>
      <c r="S48" t="str">
        <f>_xlfn.XLOOKUP(Orders[[#This Row],[Customer_ID]], Customers[Customer_ID], Customers[Customer_Type])</f>
        <v>Restaurant</v>
      </c>
      <c r="T48" t="str">
        <f>_xlfn.XLOOKUP(Orders[[#This Row],[Customer_ID]], Customers[Customer_ID], Customers[Preferred_Channel])</f>
        <v>Email</v>
      </c>
      <c r="U48" t="str">
        <f>_xlfn.XLOOKUP(Orders[[#This Row],[Product_ID]], Products[Product_ID], Products[Bottle_Size])</f>
        <v>1L</v>
      </c>
    </row>
    <row r="49" spans="1:21" ht="15.75" customHeight="1">
      <c r="A49" s="2" t="s">
        <v>389</v>
      </c>
      <c r="B49" s="2">
        <f>DAY(Orders[[#This Row],[Order_Date]])</f>
        <v>2</v>
      </c>
      <c r="C49" s="20">
        <v>46175</v>
      </c>
      <c r="D49" s="2" t="s">
        <v>220</v>
      </c>
      <c r="E49" s="2" t="s">
        <v>170</v>
      </c>
      <c r="F49" s="2">
        <v>6</v>
      </c>
      <c r="G49" s="22">
        <v>0</v>
      </c>
      <c r="H49" s="22" t="s">
        <v>49</v>
      </c>
      <c r="I49">
        <f>_xlfn.XLOOKUP(Orders[[#This Row],[Product_ID]],Products[Product_ID], Products[Unit_Price])</f>
        <v>1.9</v>
      </c>
      <c r="J49">
        <f>Orders[[#This Row],[Quantity]]*Orders[[#This Row],[Unit_Price]]</f>
        <v>11.399999999999999</v>
      </c>
      <c r="K49">
        <f>_xlfn.XLOOKUP(Orders[[#This Row],[Product_ID]], Products[Product_ID], Products[Cost_Price])</f>
        <v>0.95</v>
      </c>
      <c r="L49">
        <f>Orders[[#This Row],[Cost_Price]]*Orders[[#This Row],[Quantity]]</f>
        <v>5.6999999999999993</v>
      </c>
      <c r="M49">
        <f>Orders[[#This Row],[Unit_Price]]*Orders[[#This Row],[Discount]]*Orders[[#This Row],[Quantity]]</f>
        <v>0</v>
      </c>
      <c r="N49" s="23">
        <f>Orders[[#This Row],[Gross_Sales]]-Orders[[#This Row],[Total_Cost]]-Orders[[#This Row],[Total_Discount]]</f>
        <v>5.6999999999999993</v>
      </c>
      <c r="O49" s="23">
        <f>Orders[[#This Row],[Total_Cost]]+Orders[[#This Row],[Total_Discount]]</f>
        <v>5.6999999999999993</v>
      </c>
      <c r="P49" t="str">
        <f>_xlfn.XLOOKUP(Orders[[#This Row],[Product_ID]], Products[Product_ID], Products[Product_Name])</f>
        <v>Vitamin Water</v>
      </c>
      <c r="Q49" t="str">
        <f>_xlfn.XLOOKUP(Orders[[#This Row],[Product_ID]], Products[Product_ID], Products[Category])</f>
        <v>Water</v>
      </c>
      <c r="R49" t="str">
        <f>_xlfn.XLOOKUP(Orders[[#This Row],[Customer_ID]], Customers[Customer_ID], Customers[County])</f>
        <v>Offaly</v>
      </c>
      <c r="S49" t="str">
        <f>_xlfn.XLOOKUP(Orders[[#This Row],[Customer_ID]], Customers[Customer_ID], Customers[Customer_Type])</f>
        <v>Café</v>
      </c>
      <c r="T49" t="str">
        <f>_xlfn.XLOOKUP(Orders[[#This Row],[Customer_ID]], Customers[Customer_ID], Customers[Preferred_Channel])</f>
        <v>Distributor</v>
      </c>
      <c r="U49" t="str">
        <f>_xlfn.XLOOKUP(Orders[[#This Row],[Product_ID]], Products[Product_ID], Products[Bottle_Size])</f>
        <v>500ml</v>
      </c>
    </row>
    <row r="50" spans="1:21" ht="15.75" customHeight="1">
      <c r="A50" s="2" t="s">
        <v>394</v>
      </c>
      <c r="B50" s="2">
        <f>DAY(Orders[[#This Row],[Order_Date]])</f>
        <v>18</v>
      </c>
      <c r="C50" s="20">
        <v>46191</v>
      </c>
      <c r="D50" s="2" t="s">
        <v>362</v>
      </c>
      <c r="E50" s="2" t="s">
        <v>17</v>
      </c>
      <c r="F50" s="2">
        <v>45</v>
      </c>
      <c r="G50" s="22">
        <v>0</v>
      </c>
      <c r="H50" s="22" t="s">
        <v>61</v>
      </c>
      <c r="I50">
        <f>_xlfn.XLOOKUP(Orders[[#This Row],[Product_ID]],Products[Product_ID], Products[Unit_Price])</f>
        <v>1.2</v>
      </c>
      <c r="J50">
        <f>Orders[[#This Row],[Quantity]]*Orders[[#This Row],[Unit_Price]]</f>
        <v>54</v>
      </c>
      <c r="K50">
        <f>_xlfn.XLOOKUP(Orders[[#This Row],[Product_ID]], Products[Product_ID], Products[Cost_Price])</f>
        <v>0.6</v>
      </c>
      <c r="L50">
        <f>Orders[[#This Row],[Cost_Price]]*Orders[[#This Row],[Quantity]]</f>
        <v>27</v>
      </c>
      <c r="M50">
        <f>Orders[[#This Row],[Unit_Price]]*Orders[[#This Row],[Discount]]*Orders[[#This Row],[Quantity]]</f>
        <v>0</v>
      </c>
      <c r="N50" s="23">
        <f>Orders[[#This Row],[Gross_Sales]]-Orders[[#This Row],[Total_Cost]]-Orders[[#This Row],[Total_Discount]]</f>
        <v>27</v>
      </c>
      <c r="O50" s="23">
        <f>Orders[[#This Row],[Total_Cost]]+Orders[[#This Row],[Total_Discount]]</f>
        <v>27</v>
      </c>
      <c r="P50" t="str">
        <f>_xlfn.XLOOKUP(Orders[[#This Row],[Product_ID]], Products[Product_ID], Products[Product_Name])</f>
        <v>Still Water</v>
      </c>
      <c r="Q50" t="str">
        <f>_xlfn.XLOOKUP(Orders[[#This Row],[Product_ID]], Products[Product_ID], Products[Category])</f>
        <v>Water</v>
      </c>
      <c r="R50" t="str">
        <f>_xlfn.XLOOKUP(Orders[[#This Row],[Customer_ID]], Customers[Customer_ID], Customers[County])</f>
        <v>Louth</v>
      </c>
      <c r="S50" t="str">
        <f>_xlfn.XLOOKUP(Orders[[#This Row],[Customer_ID]], Customers[Customer_ID], Customers[Customer_Type])</f>
        <v>Supermarket</v>
      </c>
      <c r="T50" t="str">
        <f>_xlfn.XLOOKUP(Orders[[#This Row],[Customer_ID]], Customers[Customer_ID], Customers[Preferred_Channel])</f>
        <v>Sales Rep</v>
      </c>
      <c r="U50" t="str">
        <f>_xlfn.XLOOKUP(Orders[[#This Row],[Product_ID]], Products[Product_ID], Products[Bottle_Size])</f>
        <v>500ml</v>
      </c>
    </row>
    <row r="51" spans="1:21" ht="15.75" customHeight="1">
      <c r="A51" s="2" t="s">
        <v>403</v>
      </c>
      <c r="B51" s="2">
        <f>DAY(Orders[[#This Row],[Order_Date]])</f>
        <v>29</v>
      </c>
      <c r="C51" s="20">
        <v>46202</v>
      </c>
      <c r="D51" s="2" t="s">
        <v>221</v>
      </c>
      <c r="E51" s="2" t="s">
        <v>151</v>
      </c>
      <c r="F51" s="2">
        <v>33</v>
      </c>
      <c r="G51" s="22">
        <v>0</v>
      </c>
      <c r="H51" s="22" t="s">
        <v>61</v>
      </c>
      <c r="I51">
        <f>_xlfn.XLOOKUP(Orders[[#This Row],[Product_ID]],Products[Product_ID], Products[Unit_Price])</f>
        <v>1.5</v>
      </c>
      <c r="J51">
        <f>Orders[[#This Row],[Quantity]]*Orders[[#This Row],[Unit_Price]]</f>
        <v>49.5</v>
      </c>
      <c r="K51">
        <f>_xlfn.XLOOKUP(Orders[[#This Row],[Product_ID]], Products[Product_ID], Products[Cost_Price])</f>
        <v>0.8</v>
      </c>
      <c r="L51">
        <f>Orders[[#This Row],[Cost_Price]]*Orders[[#This Row],[Quantity]]</f>
        <v>26.400000000000002</v>
      </c>
      <c r="M51">
        <f>Orders[[#This Row],[Unit_Price]]*Orders[[#This Row],[Discount]]*Orders[[#This Row],[Quantity]]</f>
        <v>0</v>
      </c>
      <c r="N51" s="23">
        <f>Orders[[#This Row],[Gross_Sales]]-Orders[[#This Row],[Total_Cost]]-Orders[[#This Row],[Total_Discount]]</f>
        <v>23.099999999999998</v>
      </c>
      <c r="O51" s="23">
        <f>Orders[[#This Row],[Total_Cost]]+Orders[[#This Row],[Total_Discount]]</f>
        <v>26.400000000000002</v>
      </c>
      <c r="P51" t="str">
        <f>_xlfn.XLOOKUP(Orders[[#This Row],[Product_ID]], Products[Product_ID], Products[Product_Name])</f>
        <v>Kids Juice</v>
      </c>
      <c r="Q51" t="str">
        <f>_xlfn.XLOOKUP(Orders[[#This Row],[Product_ID]], Products[Product_ID], Products[Category])</f>
        <v>Juice</v>
      </c>
      <c r="R51" t="str">
        <f>_xlfn.XLOOKUP(Orders[[#This Row],[Customer_ID]], Customers[Customer_ID], Customers[County])</f>
        <v>Galway</v>
      </c>
      <c r="S51" t="str">
        <f>_xlfn.XLOOKUP(Orders[[#This Row],[Customer_ID]], Customers[Customer_ID], Customers[Customer_Type])</f>
        <v>Restaurant</v>
      </c>
      <c r="T51" t="str">
        <f>_xlfn.XLOOKUP(Orders[[#This Row],[Customer_ID]], Customers[Customer_ID], Customers[Preferred_Channel])</f>
        <v>Online</v>
      </c>
      <c r="U51" t="str">
        <f>_xlfn.XLOOKUP(Orders[[#This Row],[Product_ID]], Products[Product_ID], Products[Bottle_Size])</f>
        <v>250ml</v>
      </c>
    </row>
    <row r="52" spans="1:21" ht="15.75" customHeight="1">
      <c r="A52" s="2" t="s">
        <v>406</v>
      </c>
      <c r="B52" s="2">
        <f>DAY(Orders[[#This Row],[Order_Date]])</f>
        <v>15</v>
      </c>
      <c r="C52" s="20">
        <v>46188</v>
      </c>
      <c r="D52" s="2" t="s">
        <v>177</v>
      </c>
      <c r="E52" s="2" t="s">
        <v>125</v>
      </c>
      <c r="F52" s="2">
        <v>30</v>
      </c>
      <c r="G52" s="22">
        <v>0</v>
      </c>
      <c r="H52" s="22" t="s">
        <v>61</v>
      </c>
      <c r="I52">
        <f>_xlfn.XLOOKUP(Orders[[#This Row],[Product_ID]],Products[Product_ID], Products[Unit_Price])</f>
        <v>2.2000000000000002</v>
      </c>
      <c r="J52">
        <f>Orders[[#This Row],[Quantity]]*Orders[[#This Row],[Unit_Price]]</f>
        <v>66</v>
      </c>
      <c r="K52">
        <f>_xlfn.XLOOKUP(Orders[[#This Row],[Product_ID]], Products[Product_ID], Products[Cost_Price])</f>
        <v>1.3</v>
      </c>
      <c r="L52">
        <f>Orders[[#This Row],[Cost_Price]]*Orders[[#This Row],[Quantity]]</f>
        <v>39</v>
      </c>
      <c r="M52">
        <f>Orders[[#This Row],[Unit_Price]]*Orders[[#This Row],[Discount]]*Orders[[#This Row],[Quantity]]</f>
        <v>0</v>
      </c>
      <c r="N52" s="23">
        <f>Orders[[#This Row],[Gross_Sales]]-Orders[[#This Row],[Total_Cost]]-Orders[[#This Row],[Total_Discount]]</f>
        <v>27</v>
      </c>
      <c r="O52" s="23">
        <f>Orders[[#This Row],[Total_Cost]]+Orders[[#This Row],[Total_Discount]]</f>
        <v>39</v>
      </c>
      <c r="P52" t="str">
        <f>_xlfn.XLOOKUP(Orders[[#This Row],[Product_ID]], Products[Product_ID], Products[Product_Name])</f>
        <v>Iced Tea</v>
      </c>
      <c r="Q52" t="str">
        <f>_xlfn.XLOOKUP(Orders[[#This Row],[Product_ID]], Products[Product_ID], Products[Category])</f>
        <v>Tea</v>
      </c>
      <c r="R52" t="str">
        <f>_xlfn.XLOOKUP(Orders[[#This Row],[Customer_ID]], Customers[Customer_ID], Customers[County])</f>
        <v>Kildare</v>
      </c>
      <c r="S52" t="str">
        <f>_xlfn.XLOOKUP(Orders[[#This Row],[Customer_ID]], Customers[Customer_ID], Customers[Customer_Type])</f>
        <v>Supermarket</v>
      </c>
      <c r="T52" t="str">
        <f>_xlfn.XLOOKUP(Orders[[#This Row],[Customer_ID]], Customers[Customer_ID], Customers[Preferred_Channel])</f>
        <v>Email</v>
      </c>
      <c r="U52" t="str">
        <f>_xlfn.XLOOKUP(Orders[[#This Row],[Product_ID]], Products[Product_ID], Products[Bottle_Size])</f>
        <v>500ml</v>
      </c>
    </row>
    <row r="53" spans="1:21" ht="15.75" customHeight="1">
      <c r="A53" s="2" t="s">
        <v>411</v>
      </c>
      <c r="B53" s="2">
        <f>DAY(Orders[[#This Row],[Order_Date]])</f>
        <v>11</v>
      </c>
      <c r="C53" s="20">
        <v>46184</v>
      </c>
      <c r="D53" s="2" t="s">
        <v>260</v>
      </c>
      <c r="E53" s="2" t="s">
        <v>199</v>
      </c>
      <c r="F53" s="2">
        <v>18</v>
      </c>
      <c r="G53" s="22">
        <v>0</v>
      </c>
      <c r="H53" s="22" t="s">
        <v>49</v>
      </c>
      <c r="I53">
        <f>_xlfn.XLOOKUP(Orders[[#This Row],[Product_ID]],Products[Product_ID], Products[Unit_Price])</f>
        <v>1.7</v>
      </c>
      <c r="J53">
        <f>Orders[[#This Row],[Quantity]]*Orders[[#This Row],[Unit_Price]]</f>
        <v>30.599999999999998</v>
      </c>
      <c r="K53">
        <f>_xlfn.XLOOKUP(Orders[[#This Row],[Product_ID]], Products[Product_ID], Products[Cost_Price])</f>
        <v>0.9</v>
      </c>
      <c r="L53">
        <f>Orders[[#This Row],[Cost_Price]]*Orders[[#This Row],[Quantity]]</f>
        <v>16.2</v>
      </c>
      <c r="M53">
        <f>Orders[[#This Row],[Unit_Price]]*Orders[[#This Row],[Discount]]*Orders[[#This Row],[Quantity]]</f>
        <v>0</v>
      </c>
      <c r="N53" s="23">
        <f>Orders[[#This Row],[Gross_Sales]]-Orders[[#This Row],[Total_Cost]]-Orders[[#This Row],[Total_Discount]]</f>
        <v>14.399999999999999</v>
      </c>
      <c r="O53" s="23">
        <f>Orders[[#This Row],[Total_Cost]]+Orders[[#This Row],[Total_Discount]]</f>
        <v>16.2</v>
      </c>
      <c r="P53" t="str">
        <f>_xlfn.XLOOKUP(Orders[[#This Row],[Product_ID]], Products[Product_ID], Products[Product_Name])</f>
        <v>Zero Cola</v>
      </c>
      <c r="Q53" t="str">
        <f>_xlfn.XLOOKUP(Orders[[#This Row],[Product_ID]], Products[Product_ID], Products[Category])</f>
        <v>Soft Drink</v>
      </c>
      <c r="R53" t="str">
        <f>_xlfn.XLOOKUP(Orders[[#This Row],[Customer_ID]], Customers[Customer_ID], Customers[County])</f>
        <v>Sligo</v>
      </c>
      <c r="S53" t="str">
        <f>_xlfn.XLOOKUP(Orders[[#This Row],[Customer_ID]], Customers[Customer_ID], Customers[Customer_Type])</f>
        <v>Restaurant</v>
      </c>
      <c r="T53" t="str">
        <f>_xlfn.XLOOKUP(Orders[[#This Row],[Customer_ID]], Customers[Customer_ID], Customers[Preferred_Channel])</f>
        <v>Phone</v>
      </c>
      <c r="U53" t="str">
        <f>_xlfn.XLOOKUP(Orders[[#This Row],[Product_ID]], Products[Product_ID], Products[Bottle_Size])</f>
        <v>330ml</v>
      </c>
    </row>
    <row r="54" spans="1:21" ht="15.75" customHeight="1">
      <c r="A54" s="2" t="s">
        <v>413</v>
      </c>
      <c r="B54" s="2">
        <f>DAY(Orders[[#This Row],[Order_Date]])</f>
        <v>29</v>
      </c>
      <c r="C54" s="20">
        <v>46202</v>
      </c>
      <c r="D54" s="2" t="s">
        <v>135</v>
      </c>
      <c r="E54" s="2" t="s">
        <v>38</v>
      </c>
      <c r="F54" s="2">
        <v>39</v>
      </c>
      <c r="G54" s="22">
        <v>0.05</v>
      </c>
      <c r="H54" s="22" t="s">
        <v>61</v>
      </c>
      <c r="I54">
        <f>_xlfn.XLOOKUP(Orders[[#This Row],[Product_ID]],Products[Product_ID], Products[Unit_Price])</f>
        <v>1.5</v>
      </c>
      <c r="J54">
        <f>Orders[[#This Row],[Quantity]]*Orders[[#This Row],[Unit_Price]]</f>
        <v>58.5</v>
      </c>
      <c r="K54">
        <f>_xlfn.XLOOKUP(Orders[[#This Row],[Product_ID]], Products[Product_ID], Products[Cost_Price])</f>
        <v>0.8</v>
      </c>
      <c r="L54">
        <f>Orders[[#This Row],[Cost_Price]]*Orders[[#This Row],[Quantity]]</f>
        <v>31.200000000000003</v>
      </c>
      <c r="M54">
        <f>Orders[[#This Row],[Unit_Price]]*Orders[[#This Row],[Discount]]*Orders[[#This Row],[Quantity]]</f>
        <v>2.9250000000000003</v>
      </c>
      <c r="N54" s="23">
        <f>Orders[[#This Row],[Gross_Sales]]-Orders[[#This Row],[Total_Cost]]-Orders[[#This Row],[Total_Discount]]</f>
        <v>24.374999999999996</v>
      </c>
      <c r="O54" s="23">
        <f>Orders[[#This Row],[Total_Cost]]+Orders[[#This Row],[Total_Discount]]</f>
        <v>34.125</v>
      </c>
      <c r="P54" t="str">
        <f>_xlfn.XLOOKUP(Orders[[#This Row],[Product_ID]], Products[Product_ID], Products[Product_Name])</f>
        <v>Cola</v>
      </c>
      <c r="Q54" t="str">
        <f>_xlfn.XLOOKUP(Orders[[#This Row],[Product_ID]], Products[Product_ID], Products[Category])</f>
        <v>Soft Drink</v>
      </c>
      <c r="R54" t="str">
        <f>_xlfn.XLOOKUP(Orders[[#This Row],[Customer_ID]], Customers[Customer_ID], Customers[County])</f>
        <v>Galway</v>
      </c>
      <c r="S54" t="str">
        <f>_xlfn.XLOOKUP(Orders[[#This Row],[Customer_ID]], Customers[Customer_ID], Customers[Customer_Type])</f>
        <v>Hotel</v>
      </c>
      <c r="T54" t="str">
        <f>_xlfn.XLOOKUP(Orders[[#This Row],[Customer_ID]], Customers[Customer_ID], Customers[Preferred_Channel])</f>
        <v>Sales Rep</v>
      </c>
      <c r="U54" t="str">
        <f>_xlfn.XLOOKUP(Orders[[#This Row],[Product_ID]], Products[Product_ID], Products[Bottle_Size])</f>
        <v>330ml</v>
      </c>
    </row>
    <row r="55" spans="1:21" ht="15.75" customHeight="1">
      <c r="A55" s="2" t="s">
        <v>418</v>
      </c>
      <c r="B55" s="2">
        <f>DAY(Orders[[#This Row],[Order_Date]])</f>
        <v>23</v>
      </c>
      <c r="C55" s="20">
        <v>46196</v>
      </c>
      <c r="D55" s="2" t="s">
        <v>331</v>
      </c>
      <c r="E55" s="2" t="s">
        <v>217</v>
      </c>
      <c r="F55" s="2">
        <v>8</v>
      </c>
      <c r="G55" s="22">
        <v>0</v>
      </c>
      <c r="H55" s="22" t="s">
        <v>61</v>
      </c>
      <c r="I55">
        <f>_xlfn.XLOOKUP(Orders[[#This Row],[Product_ID]],Products[Product_ID], Products[Unit_Price])</f>
        <v>1.4</v>
      </c>
      <c r="J55">
        <f>Orders[[#This Row],[Quantity]]*Orders[[#This Row],[Unit_Price]]</f>
        <v>11.2</v>
      </c>
      <c r="K55">
        <f>_xlfn.XLOOKUP(Orders[[#This Row],[Product_ID]], Products[Product_ID], Products[Cost_Price])</f>
        <v>0.7</v>
      </c>
      <c r="L55">
        <f>Orders[[#This Row],[Cost_Price]]*Orders[[#This Row],[Quantity]]</f>
        <v>5.6</v>
      </c>
      <c r="M55">
        <f>Orders[[#This Row],[Unit_Price]]*Orders[[#This Row],[Discount]]*Orders[[#This Row],[Quantity]]</f>
        <v>0</v>
      </c>
      <c r="N55" s="23">
        <f>Orders[[#This Row],[Gross_Sales]]-Orders[[#This Row],[Total_Cost]]-Orders[[#This Row],[Total_Discount]]</f>
        <v>5.6</v>
      </c>
      <c r="O55" s="23">
        <f>Orders[[#This Row],[Total_Cost]]+Orders[[#This Row],[Total_Discount]]</f>
        <v>5.6</v>
      </c>
      <c r="P55" t="str">
        <f>_xlfn.XLOOKUP(Orders[[#This Row],[Product_ID]], Products[Product_ID], Products[Product_Name])</f>
        <v>Spring Water</v>
      </c>
      <c r="Q55" t="str">
        <f>_xlfn.XLOOKUP(Orders[[#This Row],[Product_ID]], Products[Product_ID], Products[Category])</f>
        <v>Water</v>
      </c>
      <c r="R55" t="str">
        <f>_xlfn.XLOOKUP(Orders[[#This Row],[Customer_ID]], Customers[Customer_ID], Customers[County])</f>
        <v>Donegal</v>
      </c>
      <c r="S55" t="str">
        <f>_xlfn.XLOOKUP(Orders[[#This Row],[Customer_ID]], Customers[Customer_ID], Customers[Customer_Type])</f>
        <v>Retailer</v>
      </c>
      <c r="T55" t="str">
        <f>_xlfn.XLOOKUP(Orders[[#This Row],[Customer_ID]], Customers[Customer_ID], Customers[Preferred_Channel])</f>
        <v>Online</v>
      </c>
      <c r="U55" t="str">
        <f>_xlfn.XLOOKUP(Orders[[#This Row],[Product_ID]], Products[Product_ID], Products[Bottle_Size])</f>
        <v>500ml</v>
      </c>
    </row>
    <row r="56" spans="1:21" ht="15.75" customHeight="1">
      <c r="A56" s="2" t="s">
        <v>422</v>
      </c>
      <c r="B56" s="2">
        <f>DAY(Orders[[#This Row],[Order_Date]])</f>
        <v>21</v>
      </c>
      <c r="C56" s="20">
        <v>46194</v>
      </c>
      <c r="D56" s="2" t="s">
        <v>231</v>
      </c>
      <c r="E56" s="2" t="s">
        <v>134</v>
      </c>
      <c r="F56" s="2">
        <v>40</v>
      </c>
      <c r="G56" s="22">
        <v>0.05</v>
      </c>
      <c r="H56" s="22" t="s">
        <v>49</v>
      </c>
      <c r="I56">
        <f>_xlfn.XLOOKUP(Orders[[#This Row],[Product_ID]],Products[Product_ID], Products[Unit_Price])</f>
        <v>1.8</v>
      </c>
      <c r="J56">
        <f>Orders[[#This Row],[Quantity]]*Orders[[#This Row],[Unit_Price]]</f>
        <v>72</v>
      </c>
      <c r="K56">
        <f>_xlfn.XLOOKUP(Orders[[#This Row],[Product_ID]], Products[Product_ID], Products[Cost_Price])</f>
        <v>0.95</v>
      </c>
      <c r="L56">
        <f>Orders[[#This Row],[Cost_Price]]*Orders[[#This Row],[Quantity]]</f>
        <v>38</v>
      </c>
      <c r="M56">
        <f>Orders[[#This Row],[Unit_Price]]*Orders[[#This Row],[Discount]]*Orders[[#This Row],[Quantity]]</f>
        <v>3.6000000000000005</v>
      </c>
      <c r="N56" s="23">
        <f>Orders[[#This Row],[Gross_Sales]]-Orders[[#This Row],[Total_Cost]]-Orders[[#This Row],[Total_Discount]]</f>
        <v>30.4</v>
      </c>
      <c r="O56" s="23">
        <f>Orders[[#This Row],[Total_Cost]]+Orders[[#This Row],[Total_Discount]]</f>
        <v>41.6</v>
      </c>
      <c r="P56" t="str">
        <f>_xlfn.XLOOKUP(Orders[[#This Row],[Product_ID]], Products[Product_ID], Products[Product_Name])</f>
        <v>Sparkling Citrus</v>
      </c>
      <c r="Q56" t="str">
        <f>_xlfn.XLOOKUP(Orders[[#This Row],[Product_ID]], Products[Product_ID], Products[Category])</f>
        <v>Water</v>
      </c>
      <c r="R56" t="str">
        <f>_xlfn.XLOOKUP(Orders[[#This Row],[Customer_ID]], Customers[Customer_ID], Customers[County])</f>
        <v>Louth</v>
      </c>
      <c r="S56" t="str">
        <f>_xlfn.XLOOKUP(Orders[[#This Row],[Customer_ID]], Customers[Customer_ID], Customers[Customer_Type])</f>
        <v>Hotel</v>
      </c>
      <c r="T56" t="str">
        <f>_xlfn.XLOOKUP(Orders[[#This Row],[Customer_ID]], Customers[Customer_ID], Customers[Preferred_Channel])</f>
        <v>Phone</v>
      </c>
      <c r="U56" t="str">
        <f>_xlfn.XLOOKUP(Orders[[#This Row],[Product_ID]], Products[Product_ID], Products[Bottle_Size])</f>
        <v>330ml</v>
      </c>
    </row>
    <row r="57" spans="1:21" ht="15.75" customHeight="1">
      <c r="A57" s="2" t="s">
        <v>424</v>
      </c>
      <c r="B57" s="2">
        <f>DAY(Orders[[#This Row],[Order_Date]])</f>
        <v>7</v>
      </c>
      <c r="C57" s="20">
        <v>46180</v>
      </c>
      <c r="D57" s="2" t="s">
        <v>312</v>
      </c>
      <c r="E57" s="2" t="s">
        <v>17</v>
      </c>
      <c r="F57" s="2">
        <v>13</v>
      </c>
      <c r="G57" s="22">
        <v>0</v>
      </c>
      <c r="H57" s="22" t="s">
        <v>61</v>
      </c>
      <c r="I57">
        <f>_xlfn.XLOOKUP(Orders[[#This Row],[Product_ID]],Products[Product_ID], Products[Unit_Price])</f>
        <v>1.2</v>
      </c>
      <c r="J57">
        <f>Orders[[#This Row],[Quantity]]*Orders[[#This Row],[Unit_Price]]</f>
        <v>15.6</v>
      </c>
      <c r="K57">
        <f>_xlfn.XLOOKUP(Orders[[#This Row],[Product_ID]], Products[Product_ID], Products[Cost_Price])</f>
        <v>0.6</v>
      </c>
      <c r="L57">
        <f>Orders[[#This Row],[Cost_Price]]*Orders[[#This Row],[Quantity]]</f>
        <v>7.8</v>
      </c>
      <c r="M57">
        <f>Orders[[#This Row],[Unit_Price]]*Orders[[#This Row],[Discount]]*Orders[[#This Row],[Quantity]]</f>
        <v>0</v>
      </c>
      <c r="N57" s="23">
        <f>Orders[[#This Row],[Gross_Sales]]-Orders[[#This Row],[Total_Cost]]-Orders[[#This Row],[Total_Discount]]</f>
        <v>7.8</v>
      </c>
      <c r="O57" s="23">
        <f>Orders[[#This Row],[Total_Cost]]+Orders[[#This Row],[Total_Discount]]</f>
        <v>7.8</v>
      </c>
      <c r="P57" t="str">
        <f>_xlfn.XLOOKUP(Orders[[#This Row],[Product_ID]], Products[Product_ID], Products[Product_Name])</f>
        <v>Still Water</v>
      </c>
      <c r="Q57" t="str">
        <f>_xlfn.XLOOKUP(Orders[[#This Row],[Product_ID]], Products[Product_ID], Products[Category])</f>
        <v>Water</v>
      </c>
      <c r="R57" t="str">
        <f>_xlfn.XLOOKUP(Orders[[#This Row],[Customer_ID]], Customers[Customer_ID], Customers[County])</f>
        <v>Offaly</v>
      </c>
      <c r="S57" t="str">
        <f>_xlfn.XLOOKUP(Orders[[#This Row],[Customer_ID]], Customers[Customer_ID], Customers[Customer_Type])</f>
        <v>Restaurant</v>
      </c>
      <c r="T57" t="str">
        <f>_xlfn.XLOOKUP(Orders[[#This Row],[Customer_ID]], Customers[Customer_ID], Customers[Preferred_Channel])</f>
        <v>Sales Rep</v>
      </c>
      <c r="U57" t="str">
        <f>_xlfn.XLOOKUP(Orders[[#This Row],[Product_ID]], Products[Product_ID], Products[Bottle_Size])</f>
        <v>500ml</v>
      </c>
    </row>
    <row r="58" spans="1:21" ht="15.75" customHeight="1">
      <c r="A58" s="2" t="s">
        <v>426</v>
      </c>
      <c r="B58" s="2">
        <f>DAY(Orders[[#This Row],[Order_Date]])</f>
        <v>10</v>
      </c>
      <c r="C58" s="20">
        <v>46183</v>
      </c>
      <c r="D58" s="2" t="s">
        <v>420</v>
      </c>
      <c r="E58" s="2" t="s">
        <v>38</v>
      </c>
      <c r="F58" s="2">
        <v>26</v>
      </c>
      <c r="G58" s="22">
        <v>0</v>
      </c>
      <c r="H58" s="22" t="s">
        <v>61</v>
      </c>
      <c r="I58">
        <f>_xlfn.XLOOKUP(Orders[[#This Row],[Product_ID]],Products[Product_ID], Products[Unit_Price])</f>
        <v>1.5</v>
      </c>
      <c r="J58">
        <f>Orders[[#This Row],[Quantity]]*Orders[[#This Row],[Unit_Price]]</f>
        <v>39</v>
      </c>
      <c r="K58">
        <f>_xlfn.XLOOKUP(Orders[[#This Row],[Product_ID]], Products[Product_ID], Products[Cost_Price])</f>
        <v>0.8</v>
      </c>
      <c r="L58">
        <f>Orders[[#This Row],[Cost_Price]]*Orders[[#This Row],[Quantity]]</f>
        <v>20.8</v>
      </c>
      <c r="M58">
        <f>Orders[[#This Row],[Unit_Price]]*Orders[[#This Row],[Discount]]*Orders[[#This Row],[Quantity]]</f>
        <v>0</v>
      </c>
      <c r="N58" s="23">
        <f>Orders[[#This Row],[Gross_Sales]]-Orders[[#This Row],[Total_Cost]]-Orders[[#This Row],[Total_Discount]]</f>
        <v>18.2</v>
      </c>
      <c r="O58" s="23">
        <f>Orders[[#This Row],[Total_Cost]]+Orders[[#This Row],[Total_Discount]]</f>
        <v>20.8</v>
      </c>
      <c r="P58" t="str">
        <f>_xlfn.XLOOKUP(Orders[[#This Row],[Product_ID]], Products[Product_ID], Products[Product_Name])</f>
        <v>Cola</v>
      </c>
      <c r="Q58" t="str">
        <f>_xlfn.XLOOKUP(Orders[[#This Row],[Product_ID]], Products[Product_ID], Products[Category])</f>
        <v>Soft Drink</v>
      </c>
      <c r="R58" t="str">
        <f>_xlfn.XLOOKUP(Orders[[#This Row],[Customer_ID]], Customers[Customer_ID], Customers[County])</f>
        <v>Galway</v>
      </c>
      <c r="S58" t="str">
        <f>_xlfn.XLOOKUP(Orders[[#This Row],[Customer_ID]], Customers[Customer_ID], Customers[Customer_Type])</f>
        <v>Restaurant</v>
      </c>
      <c r="T58" t="str">
        <f>_xlfn.XLOOKUP(Orders[[#This Row],[Customer_ID]], Customers[Customer_ID], Customers[Preferred_Channel])</f>
        <v>Email</v>
      </c>
      <c r="U58" t="str">
        <f>_xlfn.XLOOKUP(Orders[[#This Row],[Product_ID]], Products[Product_ID], Products[Bottle_Size])</f>
        <v>330ml</v>
      </c>
    </row>
    <row r="59" spans="1:21" ht="15.75" customHeight="1">
      <c r="A59" s="2" t="s">
        <v>428</v>
      </c>
      <c r="B59" s="2">
        <f>DAY(Orders[[#This Row],[Order_Date]])</f>
        <v>2</v>
      </c>
      <c r="C59" s="20">
        <v>46175</v>
      </c>
      <c r="D59" s="2" t="s">
        <v>144</v>
      </c>
      <c r="E59" s="2" t="s">
        <v>84</v>
      </c>
      <c r="F59" s="2">
        <v>20</v>
      </c>
      <c r="G59" s="22">
        <v>0.05</v>
      </c>
      <c r="H59" s="22" t="s">
        <v>49</v>
      </c>
      <c r="I59">
        <f>_xlfn.XLOOKUP(Orders[[#This Row],[Product_ID]],Products[Product_ID], Products[Unit_Price])</f>
        <v>1.7</v>
      </c>
      <c r="J59">
        <f>Orders[[#This Row],[Quantity]]*Orders[[#This Row],[Unit_Price]]</f>
        <v>34</v>
      </c>
      <c r="K59">
        <f>_xlfn.XLOOKUP(Orders[[#This Row],[Product_ID]], Products[Product_ID], Products[Cost_Price])</f>
        <v>0.9</v>
      </c>
      <c r="L59">
        <f>Orders[[#This Row],[Cost_Price]]*Orders[[#This Row],[Quantity]]</f>
        <v>18</v>
      </c>
      <c r="M59">
        <f>Orders[[#This Row],[Unit_Price]]*Orders[[#This Row],[Discount]]*Orders[[#This Row],[Quantity]]</f>
        <v>1.7000000000000002</v>
      </c>
      <c r="N59" s="23">
        <f>Orders[[#This Row],[Gross_Sales]]-Orders[[#This Row],[Total_Cost]]-Orders[[#This Row],[Total_Discount]]</f>
        <v>14.3</v>
      </c>
      <c r="O59" s="23">
        <f>Orders[[#This Row],[Total_Cost]]+Orders[[#This Row],[Total_Discount]]</f>
        <v>19.7</v>
      </c>
      <c r="P59" t="str">
        <f>_xlfn.XLOOKUP(Orders[[#This Row],[Product_ID]], Products[Product_ID], Products[Product_Name])</f>
        <v>Lemon Lime</v>
      </c>
      <c r="Q59" t="str">
        <f>_xlfn.XLOOKUP(Orders[[#This Row],[Product_ID]], Products[Product_ID], Products[Category])</f>
        <v>Soft Drink</v>
      </c>
      <c r="R59" t="str">
        <f>_xlfn.XLOOKUP(Orders[[#This Row],[Customer_ID]], Customers[Customer_ID], Customers[County])</f>
        <v>Wexford</v>
      </c>
      <c r="S59" t="str">
        <f>_xlfn.XLOOKUP(Orders[[#This Row],[Customer_ID]], Customers[Customer_ID], Customers[Customer_Type])</f>
        <v>Wholesaler</v>
      </c>
      <c r="T59" t="str">
        <f>_xlfn.XLOOKUP(Orders[[#This Row],[Customer_ID]], Customers[Customer_ID], Customers[Preferred_Channel])</f>
        <v>Online</v>
      </c>
      <c r="U59" t="str">
        <f>_xlfn.XLOOKUP(Orders[[#This Row],[Product_ID]], Products[Product_ID], Products[Bottle_Size])</f>
        <v>500ml</v>
      </c>
    </row>
    <row r="60" spans="1:21" ht="15.75" customHeight="1">
      <c r="A60" s="2" t="s">
        <v>431</v>
      </c>
      <c r="B60" s="2">
        <f>DAY(Orders[[#This Row],[Order_Date]])</f>
        <v>23</v>
      </c>
      <c r="C60" s="20">
        <v>46196</v>
      </c>
      <c r="D60" s="2" t="s">
        <v>301</v>
      </c>
      <c r="E60" s="2" t="s">
        <v>199</v>
      </c>
      <c r="F60" s="2">
        <v>32</v>
      </c>
      <c r="G60" s="22">
        <v>0</v>
      </c>
      <c r="H60" s="22" t="s">
        <v>61</v>
      </c>
      <c r="I60">
        <f>_xlfn.XLOOKUP(Orders[[#This Row],[Product_ID]],Products[Product_ID], Products[Unit_Price])</f>
        <v>1.7</v>
      </c>
      <c r="J60">
        <f>Orders[[#This Row],[Quantity]]*Orders[[#This Row],[Unit_Price]]</f>
        <v>54.4</v>
      </c>
      <c r="K60">
        <f>_xlfn.XLOOKUP(Orders[[#This Row],[Product_ID]], Products[Product_ID], Products[Cost_Price])</f>
        <v>0.9</v>
      </c>
      <c r="L60">
        <f>Orders[[#This Row],[Cost_Price]]*Orders[[#This Row],[Quantity]]</f>
        <v>28.8</v>
      </c>
      <c r="M60">
        <f>Orders[[#This Row],[Unit_Price]]*Orders[[#This Row],[Discount]]*Orders[[#This Row],[Quantity]]</f>
        <v>0</v>
      </c>
      <c r="N60" s="23">
        <f>Orders[[#This Row],[Gross_Sales]]-Orders[[#This Row],[Total_Cost]]-Orders[[#This Row],[Total_Discount]]</f>
        <v>25.599999999999998</v>
      </c>
      <c r="O60" s="23">
        <f>Orders[[#This Row],[Total_Cost]]+Orders[[#This Row],[Total_Discount]]</f>
        <v>28.8</v>
      </c>
      <c r="P60" t="str">
        <f>_xlfn.XLOOKUP(Orders[[#This Row],[Product_ID]], Products[Product_ID], Products[Product_Name])</f>
        <v>Zero Cola</v>
      </c>
      <c r="Q60" t="str">
        <f>_xlfn.XLOOKUP(Orders[[#This Row],[Product_ID]], Products[Product_ID], Products[Category])</f>
        <v>Soft Drink</v>
      </c>
      <c r="R60" t="str">
        <f>_xlfn.XLOOKUP(Orders[[#This Row],[Customer_ID]], Customers[Customer_ID], Customers[County])</f>
        <v>Donegal</v>
      </c>
      <c r="S60" t="str">
        <f>_xlfn.XLOOKUP(Orders[[#This Row],[Customer_ID]], Customers[Customer_ID], Customers[Customer_Type])</f>
        <v>Retailer</v>
      </c>
      <c r="T60" t="str">
        <f>_xlfn.XLOOKUP(Orders[[#This Row],[Customer_ID]], Customers[Customer_ID], Customers[Preferred_Channel])</f>
        <v>Phone</v>
      </c>
      <c r="U60" t="str">
        <f>_xlfn.XLOOKUP(Orders[[#This Row],[Product_ID]], Products[Product_ID], Products[Bottle_Size])</f>
        <v>330ml</v>
      </c>
    </row>
    <row r="61" spans="1:21" ht="15.75" customHeight="1">
      <c r="A61" s="2" t="s">
        <v>432</v>
      </c>
      <c r="B61" s="2">
        <f>DAY(Orders[[#This Row],[Order_Date]])</f>
        <v>8</v>
      </c>
      <c r="C61" s="20">
        <v>46181</v>
      </c>
      <c r="D61" s="2" t="s">
        <v>206</v>
      </c>
      <c r="E61" s="2" t="s">
        <v>170</v>
      </c>
      <c r="F61" s="2">
        <v>6</v>
      </c>
      <c r="G61" s="22">
        <v>0</v>
      </c>
      <c r="H61" s="22" t="s">
        <v>61</v>
      </c>
      <c r="I61">
        <f>_xlfn.XLOOKUP(Orders[[#This Row],[Product_ID]],Products[Product_ID], Products[Unit_Price])</f>
        <v>1.9</v>
      </c>
      <c r="J61">
        <f>Orders[[#This Row],[Quantity]]*Orders[[#This Row],[Unit_Price]]</f>
        <v>11.399999999999999</v>
      </c>
      <c r="K61">
        <f>_xlfn.XLOOKUP(Orders[[#This Row],[Product_ID]], Products[Product_ID], Products[Cost_Price])</f>
        <v>0.95</v>
      </c>
      <c r="L61">
        <f>Orders[[#This Row],[Cost_Price]]*Orders[[#This Row],[Quantity]]</f>
        <v>5.6999999999999993</v>
      </c>
      <c r="M61">
        <f>Orders[[#This Row],[Unit_Price]]*Orders[[#This Row],[Discount]]*Orders[[#This Row],[Quantity]]</f>
        <v>0</v>
      </c>
      <c r="N61" s="23">
        <f>Orders[[#This Row],[Gross_Sales]]-Orders[[#This Row],[Total_Cost]]-Orders[[#This Row],[Total_Discount]]</f>
        <v>5.6999999999999993</v>
      </c>
      <c r="O61" s="23">
        <f>Orders[[#This Row],[Total_Cost]]+Orders[[#This Row],[Total_Discount]]</f>
        <v>5.6999999999999993</v>
      </c>
      <c r="P61" t="str">
        <f>_xlfn.XLOOKUP(Orders[[#This Row],[Product_ID]], Products[Product_ID], Products[Product_Name])</f>
        <v>Vitamin Water</v>
      </c>
      <c r="Q61" t="str">
        <f>_xlfn.XLOOKUP(Orders[[#This Row],[Product_ID]], Products[Product_ID], Products[Category])</f>
        <v>Water</v>
      </c>
      <c r="R61" t="str">
        <f>_xlfn.XLOOKUP(Orders[[#This Row],[Customer_ID]], Customers[Customer_ID], Customers[County])</f>
        <v>Clare</v>
      </c>
      <c r="S61" t="str">
        <f>_xlfn.XLOOKUP(Orders[[#This Row],[Customer_ID]], Customers[Customer_ID], Customers[Customer_Type])</f>
        <v>Wholesaler</v>
      </c>
      <c r="T61" t="str">
        <f>_xlfn.XLOOKUP(Orders[[#This Row],[Customer_ID]], Customers[Customer_ID], Customers[Preferred_Channel])</f>
        <v>Email</v>
      </c>
      <c r="U61" t="str">
        <f>_xlfn.XLOOKUP(Orders[[#This Row],[Product_ID]], Products[Product_ID], Products[Bottle_Size])</f>
        <v>500ml</v>
      </c>
    </row>
    <row r="62" spans="1:21" ht="15.75" customHeight="1">
      <c r="A62" s="2" t="s">
        <v>434</v>
      </c>
      <c r="B62" s="2">
        <f>DAY(Orders[[#This Row],[Order_Date]])</f>
        <v>30</v>
      </c>
      <c r="C62" s="20">
        <v>46203</v>
      </c>
      <c r="D62" s="2" t="s">
        <v>376</v>
      </c>
      <c r="E62" s="2" t="s">
        <v>84</v>
      </c>
      <c r="F62" s="2">
        <v>24</v>
      </c>
      <c r="G62" s="22">
        <v>0</v>
      </c>
      <c r="H62" s="22" t="s">
        <v>61</v>
      </c>
      <c r="I62">
        <f>_xlfn.XLOOKUP(Orders[[#This Row],[Product_ID]],Products[Product_ID], Products[Unit_Price])</f>
        <v>1.7</v>
      </c>
      <c r="J62">
        <f>Orders[[#This Row],[Quantity]]*Orders[[#This Row],[Unit_Price]]</f>
        <v>40.799999999999997</v>
      </c>
      <c r="K62">
        <f>_xlfn.XLOOKUP(Orders[[#This Row],[Product_ID]], Products[Product_ID], Products[Cost_Price])</f>
        <v>0.9</v>
      </c>
      <c r="L62">
        <f>Orders[[#This Row],[Cost_Price]]*Orders[[#This Row],[Quantity]]</f>
        <v>21.6</v>
      </c>
      <c r="M62">
        <f>Orders[[#This Row],[Unit_Price]]*Orders[[#This Row],[Discount]]*Orders[[#This Row],[Quantity]]</f>
        <v>0</v>
      </c>
      <c r="N62" s="23">
        <f>Orders[[#This Row],[Gross_Sales]]-Orders[[#This Row],[Total_Cost]]-Orders[[#This Row],[Total_Discount]]</f>
        <v>19.199999999999996</v>
      </c>
      <c r="O62" s="23">
        <f>Orders[[#This Row],[Total_Cost]]+Orders[[#This Row],[Total_Discount]]</f>
        <v>21.6</v>
      </c>
      <c r="P62" t="str">
        <f>_xlfn.XLOOKUP(Orders[[#This Row],[Product_ID]], Products[Product_ID], Products[Product_Name])</f>
        <v>Lemon Lime</v>
      </c>
      <c r="Q62" t="str">
        <f>_xlfn.XLOOKUP(Orders[[#This Row],[Product_ID]], Products[Product_ID], Products[Category])</f>
        <v>Soft Drink</v>
      </c>
      <c r="R62" t="str">
        <f>_xlfn.XLOOKUP(Orders[[#This Row],[Customer_ID]], Customers[Customer_ID], Customers[County])</f>
        <v>Waterford</v>
      </c>
      <c r="S62" t="str">
        <f>_xlfn.XLOOKUP(Orders[[#This Row],[Customer_ID]], Customers[Customer_ID], Customers[Customer_Type])</f>
        <v>Retailer</v>
      </c>
      <c r="T62" t="str">
        <f>_xlfn.XLOOKUP(Orders[[#This Row],[Customer_ID]], Customers[Customer_ID], Customers[Preferred_Channel])</f>
        <v>Online</v>
      </c>
      <c r="U62" t="str">
        <f>_xlfn.XLOOKUP(Orders[[#This Row],[Product_ID]], Products[Product_ID], Products[Bottle_Size])</f>
        <v>500ml</v>
      </c>
    </row>
    <row r="63" spans="1:21" ht="15.75" customHeight="1">
      <c r="A63" s="2" t="s">
        <v>435</v>
      </c>
      <c r="B63" s="2">
        <f>DAY(Orders[[#This Row],[Order_Date]])</f>
        <v>7</v>
      </c>
      <c r="C63" s="20">
        <v>46180</v>
      </c>
      <c r="D63" s="2" t="s">
        <v>342</v>
      </c>
      <c r="E63" s="2" t="s">
        <v>95</v>
      </c>
      <c r="F63" s="2">
        <v>40</v>
      </c>
      <c r="G63" s="22">
        <v>0</v>
      </c>
      <c r="H63" s="22" t="s">
        <v>61</v>
      </c>
      <c r="I63">
        <f>_xlfn.XLOOKUP(Orders[[#This Row],[Product_ID]],Products[Product_ID], Products[Unit_Price])</f>
        <v>2.5</v>
      </c>
      <c r="J63">
        <f>Orders[[#This Row],[Quantity]]*Orders[[#This Row],[Unit_Price]]</f>
        <v>100</v>
      </c>
      <c r="K63">
        <f>_xlfn.XLOOKUP(Orders[[#This Row],[Product_ID]], Products[Product_ID], Products[Cost_Price])</f>
        <v>1.4</v>
      </c>
      <c r="L63">
        <f>Orders[[#This Row],[Cost_Price]]*Orders[[#This Row],[Quantity]]</f>
        <v>56</v>
      </c>
      <c r="M63">
        <f>Orders[[#This Row],[Unit_Price]]*Orders[[#This Row],[Discount]]*Orders[[#This Row],[Quantity]]</f>
        <v>0</v>
      </c>
      <c r="N63" s="23">
        <f>Orders[[#This Row],[Gross_Sales]]-Orders[[#This Row],[Total_Cost]]-Orders[[#This Row],[Total_Discount]]</f>
        <v>44</v>
      </c>
      <c r="O63" s="23">
        <f>Orders[[#This Row],[Total_Cost]]+Orders[[#This Row],[Total_Discount]]</f>
        <v>56</v>
      </c>
      <c r="P63" t="str">
        <f>_xlfn.XLOOKUP(Orders[[#This Row],[Product_ID]], Products[Product_ID], Products[Product_Name])</f>
        <v>Energy Boost</v>
      </c>
      <c r="Q63" t="str">
        <f>_xlfn.XLOOKUP(Orders[[#This Row],[Product_ID]], Products[Product_ID], Products[Category])</f>
        <v>Energy Drink</v>
      </c>
      <c r="R63" t="str">
        <f>_xlfn.XLOOKUP(Orders[[#This Row],[Customer_ID]], Customers[Customer_ID], Customers[County])</f>
        <v>Wexford</v>
      </c>
      <c r="S63" t="str">
        <f>_xlfn.XLOOKUP(Orders[[#This Row],[Customer_ID]], Customers[Customer_ID], Customers[Customer_Type])</f>
        <v>Wholesaler</v>
      </c>
      <c r="T63" t="str">
        <f>_xlfn.XLOOKUP(Orders[[#This Row],[Customer_ID]], Customers[Customer_ID], Customers[Preferred_Channel])</f>
        <v>Email</v>
      </c>
      <c r="U63" t="str">
        <f>_xlfn.XLOOKUP(Orders[[#This Row],[Product_ID]], Products[Product_ID], Products[Bottle_Size])</f>
        <v>250ml</v>
      </c>
    </row>
    <row r="64" spans="1:21" ht="15.75" customHeight="1">
      <c r="A64" s="2" t="s">
        <v>436</v>
      </c>
      <c r="B64" s="2">
        <f>DAY(Orders[[#This Row],[Order_Date]])</f>
        <v>14</v>
      </c>
      <c r="C64" s="20">
        <v>46187</v>
      </c>
      <c r="D64" s="2" t="s">
        <v>185</v>
      </c>
      <c r="E64" s="2" t="s">
        <v>139</v>
      </c>
      <c r="F64" s="2">
        <v>5</v>
      </c>
      <c r="G64" s="22">
        <v>0</v>
      </c>
      <c r="H64" s="22" t="s">
        <v>49</v>
      </c>
      <c r="I64">
        <f>_xlfn.XLOOKUP(Orders[[#This Row],[Product_ID]],Products[Product_ID], Products[Unit_Price])</f>
        <v>2.2999999999999998</v>
      </c>
      <c r="J64">
        <f>Orders[[#This Row],[Quantity]]*Orders[[#This Row],[Unit_Price]]</f>
        <v>11.5</v>
      </c>
      <c r="K64">
        <f>_xlfn.XLOOKUP(Orders[[#This Row],[Product_ID]], Products[Product_ID], Products[Cost_Price])</f>
        <v>1.25</v>
      </c>
      <c r="L64">
        <f>Orders[[#This Row],[Cost_Price]]*Orders[[#This Row],[Quantity]]</f>
        <v>6.25</v>
      </c>
      <c r="M64">
        <f>Orders[[#This Row],[Unit_Price]]*Orders[[#This Row],[Discount]]*Orders[[#This Row],[Quantity]]</f>
        <v>0</v>
      </c>
      <c r="N64" s="23">
        <f>Orders[[#This Row],[Gross_Sales]]-Orders[[#This Row],[Total_Cost]]-Orders[[#This Row],[Total_Discount]]</f>
        <v>5.25</v>
      </c>
      <c r="O64" s="23">
        <f>Orders[[#This Row],[Total_Cost]]+Orders[[#This Row],[Total_Discount]]</f>
        <v>6.25</v>
      </c>
      <c r="P64" t="str">
        <f>_xlfn.XLOOKUP(Orders[[#This Row],[Product_ID]], Products[Product_ID], Products[Product_Name])</f>
        <v>Mango Juice</v>
      </c>
      <c r="Q64" t="str">
        <f>_xlfn.XLOOKUP(Orders[[#This Row],[Product_ID]], Products[Product_ID], Products[Category])</f>
        <v>Juice</v>
      </c>
      <c r="R64" t="str">
        <f>_xlfn.XLOOKUP(Orders[[#This Row],[Customer_ID]], Customers[Customer_ID], Customers[County])</f>
        <v>Limerick</v>
      </c>
      <c r="S64" t="str">
        <f>_xlfn.XLOOKUP(Orders[[#This Row],[Customer_ID]], Customers[Customer_ID], Customers[Customer_Type])</f>
        <v>Café</v>
      </c>
      <c r="T64" t="str">
        <f>_xlfn.XLOOKUP(Orders[[#This Row],[Customer_ID]], Customers[Customer_ID], Customers[Preferred_Channel])</f>
        <v>Phone</v>
      </c>
      <c r="U64" t="str">
        <f>_xlfn.XLOOKUP(Orders[[#This Row],[Product_ID]], Products[Product_ID], Products[Bottle_Size])</f>
        <v>1L</v>
      </c>
    </row>
    <row r="65" spans="1:21" ht="15.75" customHeight="1">
      <c r="A65" s="2" t="s">
        <v>437</v>
      </c>
      <c r="B65" s="2">
        <f>DAY(Orders[[#This Row],[Order_Date]])</f>
        <v>17</v>
      </c>
      <c r="C65" s="20">
        <v>46190</v>
      </c>
      <c r="D65" s="2" t="s">
        <v>306</v>
      </c>
      <c r="E65" s="2" t="s">
        <v>217</v>
      </c>
      <c r="F65" s="2">
        <v>7</v>
      </c>
      <c r="G65" s="22">
        <v>0</v>
      </c>
      <c r="H65" s="22" t="s">
        <v>61</v>
      </c>
      <c r="I65">
        <f>_xlfn.XLOOKUP(Orders[[#This Row],[Product_ID]],Products[Product_ID], Products[Unit_Price])</f>
        <v>1.4</v>
      </c>
      <c r="J65">
        <f>Orders[[#This Row],[Quantity]]*Orders[[#This Row],[Unit_Price]]</f>
        <v>9.7999999999999989</v>
      </c>
      <c r="K65">
        <f>_xlfn.XLOOKUP(Orders[[#This Row],[Product_ID]], Products[Product_ID], Products[Cost_Price])</f>
        <v>0.7</v>
      </c>
      <c r="L65">
        <f>Orders[[#This Row],[Cost_Price]]*Orders[[#This Row],[Quantity]]</f>
        <v>4.8999999999999995</v>
      </c>
      <c r="M65">
        <f>Orders[[#This Row],[Unit_Price]]*Orders[[#This Row],[Discount]]*Orders[[#This Row],[Quantity]]</f>
        <v>0</v>
      </c>
      <c r="N65" s="23">
        <f>Orders[[#This Row],[Gross_Sales]]-Orders[[#This Row],[Total_Cost]]-Orders[[#This Row],[Total_Discount]]</f>
        <v>4.8999999999999995</v>
      </c>
      <c r="O65" s="23">
        <f>Orders[[#This Row],[Total_Cost]]+Orders[[#This Row],[Total_Discount]]</f>
        <v>4.8999999999999995</v>
      </c>
      <c r="P65" t="str">
        <f>_xlfn.XLOOKUP(Orders[[#This Row],[Product_ID]], Products[Product_ID], Products[Product_Name])</f>
        <v>Spring Water</v>
      </c>
      <c r="Q65" t="str">
        <f>_xlfn.XLOOKUP(Orders[[#This Row],[Product_ID]], Products[Product_ID], Products[Category])</f>
        <v>Water</v>
      </c>
      <c r="R65" t="str">
        <f>_xlfn.XLOOKUP(Orders[[#This Row],[Customer_ID]], Customers[Customer_ID], Customers[County])</f>
        <v>Wexford</v>
      </c>
      <c r="S65" t="str">
        <f>_xlfn.XLOOKUP(Orders[[#This Row],[Customer_ID]], Customers[Customer_ID], Customers[Customer_Type])</f>
        <v>Hotel</v>
      </c>
      <c r="T65" t="str">
        <f>_xlfn.XLOOKUP(Orders[[#This Row],[Customer_ID]], Customers[Customer_ID], Customers[Preferred_Channel])</f>
        <v>Online</v>
      </c>
      <c r="U65" t="str">
        <f>_xlfn.XLOOKUP(Orders[[#This Row],[Product_ID]], Products[Product_ID], Products[Bottle_Size])</f>
        <v>500ml</v>
      </c>
    </row>
    <row r="66" spans="1:21" ht="15.75" customHeight="1">
      <c r="A66" s="2" t="s">
        <v>439</v>
      </c>
      <c r="B66" s="2">
        <f>DAY(Orders[[#This Row],[Order_Date]])</f>
        <v>28</v>
      </c>
      <c r="C66" s="20">
        <v>46201</v>
      </c>
      <c r="D66" s="2" t="s">
        <v>272</v>
      </c>
      <c r="E66" s="2" t="s">
        <v>17</v>
      </c>
      <c r="F66" s="2">
        <v>40</v>
      </c>
      <c r="G66" s="22">
        <v>0</v>
      </c>
      <c r="H66" s="22" t="s">
        <v>61</v>
      </c>
      <c r="I66">
        <f>_xlfn.XLOOKUP(Orders[[#This Row],[Product_ID]],Products[Product_ID], Products[Unit_Price])</f>
        <v>1.2</v>
      </c>
      <c r="J66">
        <f>Orders[[#This Row],[Quantity]]*Orders[[#This Row],[Unit_Price]]</f>
        <v>48</v>
      </c>
      <c r="K66">
        <f>_xlfn.XLOOKUP(Orders[[#This Row],[Product_ID]], Products[Product_ID], Products[Cost_Price])</f>
        <v>0.6</v>
      </c>
      <c r="L66">
        <f>Orders[[#This Row],[Cost_Price]]*Orders[[#This Row],[Quantity]]</f>
        <v>24</v>
      </c>
      <c r="M66">
        <f>Orders[[#This Row],[Unit_Price]]*Orders[[#This Row],[Discount]]*Orders[[#This Row],[Quantity]]</f>
        <v>0</v>
      </c>
      <c r="N66" s="23">
        <f>Orders[[#This Row],[Gross_Sales]]-Orders[[#This Row],[Total_Cost]]-Orders[[#This Row],[Total_Discount]]</f>
        <v>24</v>
      </c>
      <c r="O66" s="23">
        <f>Orders[[#This Row],[Total_Cost]]+Orders[[#This Row],[Total_Discount]]</f>
        <v>24</v>
      </c>
      <c r="P66" t="str">
        <f>_xlfn.XLOOKUP(Orders[[#This Row],[Product_ID]], Products[Product_ID], Products[Product_Name])</f>
        <v>Still Water</v>
      </c>
      <c r="Q66" t="str">
        <f>_xlfn.XLOOKUP(Orders[[#This Row],[Product_ID]], Products[Product_ID], Products[Category])</f>
        <v>Water</v>
      </c>
      <c r="R66" t="str">
        <f>_xlfn.XLOOKUP(Orders[[#This Row],[Customer_ID]], Customers[Customer_ID], Customers[County])</f>
        <v>Dublin</v>
      </c>
      <c r="S66" t="str">
        <f>_xlfn.XLOOKUP(Orders[[#This Row],[Customer_ID]], Customers[Customer_ID], Customers[Customer_Type])</f>
        <v>Café</v>
      </c>
      <c r="T66" t="str">
        <f>_xlfn.XLOOKUP(Orders[[#This Row],[Customer_ID]], Customers[Customer_ID], Customers[Preferred_Channel])</f>
        <v>Online</v>
      </c>
      <c r="U66" t="str">
        <f>_xlfn.XLOOKUP(Orders[[#This Row],[Product_ID]], Products[Product_ID], Products[Bottle_Size])</f>
        <v>500ml</v>
      </c>
    </row>
    <row r="67" spans="1:21" ht="15.75" customHeight="1">
      <c r="A67" s="2" t="s">
        <v>441</v>
      </c>
      <c r="B67" s="2">
        <f>DAY(Orders[[#This Row],[Order_Date]])</f>
        <v>14</v>
      </c>
      <c r="C67" s="20">
        <v>46187</v>
      </c>
      <c r="D67" s="2" t="s">
        <v>327</v>
      </c>
      <c r="E67" s="2" t="s">
        <v>170</v>
      </c>
      <c r="F67" s="2">
        <v>19</v>
      </c>
      <c r="G67" s="22">
        <v>0</v>
      </c>
      <c r="H67" s="22" t="s">
        <v>61</v>
      </c>
      <c r="I67">
        <f>_xlfn.XLOOKUP(Orders[[#This Row],[Product_ID]],Products[Product_ID], Products[Unit_Price])</f>
        <v>1.9</v>
      </c>
      <c r="J67">
        <f>Orders[[#This Row],[Quantity]]*Orders[[#This Row],[Unit_Price]]</f>
        <v>36.1</v>
      </c>
      <c r="K67">
        <f>_xlfn.XLOOKUP(Orders[[#This Row],[Product_ID]], Products[Product_ID], Products[Cost_Price])</f>
        <v>0.95</v>
      </c>
      <c r="L67">
        <f>Orders[[#This Row],[Cost_Price]]*Orders[[#This Row],[Quantity]]</f>
        <v>18.05</v>
      </c>
      <c r="M67">
        <f>Orders[[#This Row],[Unit_Price]]*Orders[[#This Row],[Discount]]*Orders[[#This Row],[Quantity]]</f>
        <v>0</v>
      </c>
      <c r="N67" s="23">
        <f>Orders[[#This Row],[Gross_Sales]]-Orders[[#This Row],[Total_Cost]]-Orders[[#This Row],[Total_Discount]]</f>
        <v>18.05</v>
      </c>
      <c r="O67" s="23">
        <f>Orders[[#This Row],[Total_Cost]]+Orders[[#This Row],[Total_Discount]]</f>
        <v>18.05</v>
      </c>
      <c r="P67" t="str">
        <f>_xlfn.XLOOKUP(Orders[[#This Row],[Product_ID]], Products[Product_ID], Products[Product_Name])</f>
        <v>Vitamin Water</v>
      </c>
      <c r="Q67" t="str">
        <f>_xlfn.XLOOKUP(Orders[[#This Row],[Product_ID]], Products[Product_ID], Products[Category])</f>
        <v>Water</v>
      </c>
      <c r="R67" t="str">
        <f>_xlfn.XLOOKUP(Orders[[#This Row],[Customer_ID]], Customers[Customer_ID], Customers[County])</f>
        <v>Cork</v>
      </c>
      <c r="S67" t="str">
        <f>_xlfn.XLOOKUP(Orders[[#This Row],[Customer_ID]], Customers[Customer_ID], Customers[Customer_Type])</f>
        <v>Retailer</v>
      </c>
      <c r="T67" t="str">
        <f>_xlfn.XLOOKUP(Orders[[#This Row],[Customer_ID]], Customers[Customer_ID], Customers[Preferred_Channel])</f>
        <v>Online</v>
      </c>
      <c r="U67" t="str">
        <f>_xlfn.XLOOKUP(Orders[[#This Row],[Product_ID]], Products[Product_ID], Products[Bottle_Size])</f>
        <v>500ml</v>
      </c>
    </row>
    <row r="68" spans="1:21" ht="15.75" customHeight="1">
      <c r="A68" s="2" t="s">
        <v>443</v>
      </c>
      <c r="B68" s="2">
        <f>DAY(Orders[[#This Row],[Order_Date]])</f>
        <v>23</v>
      </c>
      <c r="C68" s="20">
        <v>46196</v>
      </c>
      <c r="D68" s="2" t="s">
        <v>400</v>
      </c>
      <c r="E68" s="2" t="s">
        <v>84</v>
      </c>
      <c r="F68" s="2">
        <v>15</v>
      </c>
      <c r="G68" s="22">
        <v>0</v>
      </c>
      <c r="H68" s="22" t="s">
        <v>49</v>
      </c>
      <c r="I68">
        <f>_xlfn.XLOOKUP(Orders[[#This Row],[Product_ID]],Products[Product_ID], Products[Unit_Price])</f>
        <v>1.7</v>
      </c>
      <c r="J68">
        <f>Orders[[#This Row],[Quantity]]*Orders[[#This Row],[Unit_Price]]</f>
        <v>25.5</v>
      </c>
      <c r="K68">
        <f>_xlfn.XLOOKUP(Orders[[#This Row],[Product_ID]], Products[Product_ID], Products[Cost_Price])</f>
        <v>0.9</v>
      </c>
      <c r="L68">
        <f>Orders[[#This Row],[Cost_Price]]*Orders[[#This Row],[Quantity]]</f>
        <v>13.5</v>
      </c>
      <c r="M68">
        <f>Orders[[#This Row],[Unit_Price]]*Orders[[#This Row],[Discount]]*Orders[[#This Row],[Quantity]]</f>
        <v>0</v>
      </c>
      <c r="N68" s="23">
        <f>Orders[[#This Row],[Gross_Sales]]-Orders[[#This Row],[Total_Cost]]-Orders[[#This Row],[Total_Discount]]</f>
        <v>12</v>
      </c>
      <c r="O68" s="23">
        <f>Orders[[#This Row],[Total_Cost]]+Orders[[#This Row],[Total_Discount]]</f>
        <v>13.5</v>
      </c>
      <c r="P68" t="str">
        <f>_xlfn.XLOOKUP(Orders[[#This Row],[Product_ID]], Products[Product_ID], Products[Product_Name])</f>
        <v>Lemon Lime</v>
      </c>
      <c r="Q68" t="str">
        <f>_xlfn.XLOOKUP(Orders[[#This Row],[Product_ID]], Products[Product_ID], Products[Category])</f>
        <v>Soft Drink</v>
      </c>
      <c r="R68" t="str">
        <f>_xlfn.XLOOKUP(Orders[[#This Row],[Customer_ID]], Customers[Customer_ID], Customers[County])</f>
        <v>Clare</v>
      </c>
      <c r="S68" t="str">
        <f>_xlfn.XLOOKUP(Orders[[#This Row],[Customer_ID]], Customers[Customer_ID], Customers[Customer_Type])</f>
        <v>Wholesaler</v>
      </c>
      <c r="T68" t="str">
        <f>_xlfn.XLOOKUP(Orders[[#This Row],[Customer_ID]], Customers[Customer_ID], Customers[Preferred_Channel])</f>
        <v>Distributor</v>
      </c>
      <c r="U68" t="str">
        <f>_xlfn.XLOOKUP(Orders[[#This Row],[Product_ID]], Products[Product_ID], Products[Bottle_Size])</f>
        <v>500ml</v>
      </c>
    </row>
    <row r="69" spans="1:21" ht="15.75" customHeight="1">
      <c r="A69" s="2" t="s">
        <v>444</v>
      </c>
      <c r="B69" s="2">
        <f>DAY(Orders[[#This Row],[Order_Date]])</f>
        <v>20</v>
      </c>
      <c r="C69" s="20">
        <v>46193</v>
      </c>
      <c r="D69" s="2" t="s">
        <v>352</v>
      </c>
      <c r="E69" s="2" t="s">
        <v>170</v>
      </c>
      <c r="F69" s="2">
        <v>22</v>
      </c>
      <c r="G69" s="22">
        <v>0</v>
      </c>
      <c r="H69" s="22" t="s">
        <v>61</v>
      </c>
      <c r="I69">
        <f>_xlfn.XLOOKUP(Orders[[#This Row],[Product_ID]],Products[Product_ID], Products[Unit_Price])</f>
        <v>1.9</v>
      </c>
      <c r="J69">
        <f>Orders[[#This Row],[Quantity]]*Orders[[#This Row],[Unit_Price]]</f>
        <v>41.8</v>
      </c>
      <c r="K69">
        <f>_xlfn.XLOOKUP(Orders[[#This Row],[Product_ID]], Products[Product_ID], Products[Cost_Price])</f>
        <v>0.95</v>
      </c>
      <c r="L69">
        <f>Orders[[#This Row],[Cost_Price]]*Orders[[#This Row],[Quantity]]</f>
        <v>20.9</v>
      </c>
      <c r="M69">
        <f>Orders[[#This Row],[Unit_Price]]*Orders[[#This Row],[Discount]]*Orders[[#This Row],[Quantity]]</f>
        <v>0</v>
      </c>
      <c r="N69" s="23">
        <f>Orders[[#This Row],[Gross_Sales]]-Orders[[#This Row],[Total_Cost]]-Orders[[#This Row],[Total_Discount]]</f>
        <v>20.9</v>
      </c>
      <c r="O69" s="23">
        <f>Orders[[#This Row],[Total_Cost]]+Orders[[#This Row],[Total_Discount]]</f>
        <v>20.9</v>
      </c>
      <c r="P69" t="str">
        <f>_xlfn.XLOOKUP(Orders[[#This Row],[Product_ID]], Products[Product_ID], Products[Product_Name])</f>
        <v>Vitamin Water</v>
      </c>
      <c r="Q69" t="str">
        <f>_xlfn.XLOOKUP(Orders[[#This Row],[Product_ID]], Products[Product_ID], Products[Category])</f>
        <v>Water</v>
      </c>
      <c r="R69" t="str">
        <f>_xlfn.XLOOKUP(Orders[[#This Row],[Customer_ID]], Customers[Customer_ID], Customers[County])</f>
        <v>Offaly</v>
      </c>
      <c r="S69" t="str">
        <f>_xlfn.XLOOKUP(Orders[[#This Row],[Customer_ID]], Customers[Customer_ID], Customers[Customer_Type])</f>
        <v>Café</v>
      </c>
      <c r="T69" t="str">
        <f>_xlfn.XLOOKUP(Orders[[#This Row],[Customer_ID]], Customers[Customer_ID], Customers[Preferred_Channel])</f>
        <v>Distributor</v>
      </c>
      <c r="U69" t="str">
        <f>_xlfn.XLOOKUP(Orders[[#This Row],[Product_ID]], Products[Product_ID], Products[Bottle_Size])</f>
        <v>500ml</v>
      </c>
    </row>
    <row r="70" spans="1:21" ht="15.75" customHeight="1">
      <c r="A70" s="2" t="s">
        <v>445</v>
      </c>
      <c r="B70" s="2">
        <f>DAY(Orders[[#This Row],[Order_Date]])</f>
        <v>13</v>
      </c>
      <c r="C70" s="20">
        <v>46186</v>
      </c>
      <c r="D70" s="2" t="s">
        <v>171</v>
      </c>
      <c r="E70" s="2" t="s">
        <v>170</v>
      </c>
      <c r="F70" s="2">
        <v>6</v>
      </c>
      <c r="G70" s="22">
        <v>0.05</v>
      </c>
      <c r="H70" s="22" t="s">
        <v>61</v>
      </c>
      <c r="I70">
        <f>_xlfn.XLOOKUP(Orders[[#This Row],[Product_ID]],Products[Product_ID], Products[Unit_Price])</f>
        <v>1.9</v>
      </c>
      <c r="J70">
        <f>Orders[[#This Row],[Quantity]]*Orders[[#This Row],[Unit_Price]]</f>
        <v>11.399999999999999</v>
      </c>
      <c r="K70">
        <f>_xlfn.XLOOKUP(Orders[[#This Row],[Product_ID]], Products[Product_ID], Products[Cost_Price])</f>
        <v>0.95</v>
      </c>
      <c r="L70">
        <f>Orders[[#This Row],[Cost_Price]]*Orders[[#This Row],[Quantity]]</f>
        <v>5.6999999999999993</v>
      </c>
      <c r="M70">
        <f>Orders[[#This Row],[Unit_Price]]*Orders[[#This Row],[Discount]]*Orders[[#This Row],[Quantity]]</f>
        <v>0.57000000000000006</v>
      </c>
      <c r="N70" s="23">
        <f>Orders[[#This Row],[Gross_Sales]]-Orders[[#This Row],[Total_Cost]]-Orders[[#This Row],[Total_Discount]]</f>
        <v>5.129999999999999</v>
      </c>
      <c r="O70" s="23">
        <f>Orders[[#This Row],[Total_Cost]]+Orders[[#This Row],[Total_Discount]]</f>
        <v>6.27</v>
      </c>
      <c r="P70" t="str">
        <f>_xlfn.XLOOKUP(Orders[[#This Row],[Product_ID]], Products[Product_ID], Products[Product_Name])</f>
        <v>Vitamin Water</v>
      </c>
      <c r="Q70" t="str">
        <f>_xlfn.XLOOKUP(Orders[[#This Row],[Product_ID]], Products[Product_ID], Products[Category])</f>
        <v>Water</v>
      </c>
      <c r="R70" t="str">
        <f>_xlfn.XLOOKUP(Orders[[#This Row],[Customer_ID]], Customers[Customer_ID], Customers[County])</f>
        <v>Kerry</v>
      </c>
      <c r="S70" t="str">
        <f>_xlfn.XLOOKUP(Orders[[#This Row],[Customer_ID]], Customers[Customer_ID], Customers[Customer_Type])</f>
        <v>Hotel</v>
      </c>
      <c r="T70" t="str">
        <f>_xlfn.XLOOKUP(Orders[[#This Row],[Customer_ID]], Customers[Customer_ID], Customers[Preferred_Channel])</f>
        <v>Online</v>
      </c>
      <c r="U70" t="str">
        <f>_xlfn.XLOOKUP(Orders[[#This Row],[Product_ID]], Products[Product_ID], Products[Bottle_Size])</f>
        <v>500ml</v>
      </c>
    </row>
    <row r="71" spans="1:21" ht="15.75" customHeight="1">
      <c r="A71" s="2" t="s">
        <v>446</v>
      </c>
      <c r="B71" s="2">
        <f>DAY(Orders[[#This Row],[Order_Date]])</f>
        <v>25</v>
      </c>
      <c r="C71" s="20">
        <v>46198</v>
      </c>
      <c r="D71" s="2" t="s">
        <v>114</v>
      </c>
      <c r="E71" s="2" t="s">
        <v>69</v>
      </c>
      <c r="F71" s="2">
        <v>31</v>
      </c>
      <c r="G71" s="22">
        <v>0</v>
      </c>
      <c r="H71" s="22" t="s">
        <v>61</v>
      </c>
      <c r="I71">
        <f>_xlfn.XLOOKUP(Orders[[#This Row],[Product_ID]],Products[Product_ID], Products[Unit_Price])</f>
        <v>2</v>
      </c>
      <c r="J71">
        <f>Orders[[#This Row],[Quantity]]*Orders[[#This Row],[Unit_Price]]</f>
        <v>62</v>
      </c>
      <c r="K71">
        <f>_xlfn.XLOOKUP(Orders[[#This Row],[Product_ID]], Products[Product_ID], Products[Cost_Price])</f>
        <v>1.1000000000000001</v>
      </c>
      <c r="L71">
        <f>Orders[[#This Row],[Cost_Price]]*Orders[[#This Row],[Quantity]]</f>
        <v>34.1</v>
      </c>
      <c r="M71">
        <f>Orders[[#This Row],[Unit_Price]]*Orders[[#This Row],[Discount]]*Orders[[#This Row],[Quantity]]</f>
        <v>0</v>
      </c>
      <c r="N71" s="23">
        <f>Orders[[#This Row],[Gross_Sales]]-Orders[[#This Row],[Total_Cost]]-Orders[[#This Row],[Total_Discount]]</f>
        <v>27.9</v>
      </c>
      <c r="O71" s="23">
        <f>Orders[[#This Row],[Total_Cost]]+Orders[[#This Row],[Total_Discount]]</f>
        <v>34.1</v>
      </c>
      <c r="P71" t="str">
        <f>_xlfn.XLOOKUP(Orders[[#This Row],[Product_ID]], Products[Product_ID], Products[Product_Name])</f>
        <v>Apple Juice</v>
      </c>
      <c r="Q71" t="str">
        <f>_xlfn.XLOOKUP(Orders[[#This Row],[Product_ID]], Products[Product_ID], Products[Category])</f>
        <v>Juice</v>
      </c>
      <c r="R71" t="str">
        <f>_xlfn.XLOOKUP(Orders[[#This Row],[Customer_ID]], Customers[Customer_ID], Customers[County])</f>
        <v>Clare</v>
      </c>
      <c r="S71" t="str">
        <f>_xlfn.XLOOKUP(Orders[[#This Row],[Customer_ID]], Customers[Customer_ID], Customers[Customer_Type])</f>
        <v>Café</v>
      </c>
      <c r="T71" t="str">
        <f>_xlfn.XLOOKUP(Orders[[#This Row],[Customer_ID]], Customers[Customer_ID], Customers[Preferred_Channel])</f>
        <v>Phone</v>
      </c>
      <c r="U71" t="str">
        <f>_xlfn.XLOOKUP(Orders[[#This Row],[Product_ID]], Products[Product_ID], Products[Bottle_Size])</f>
        <v>1L</v>
      </c>
    </row>
    <row r="72" spans="1:21" ht="15.75" customHeight="1">
      <c r="A72" s="2" t="s">
        <v>447</v>
      </c>
      <c r="B72" s="2">
        <f>DAY(Orders[[#This Row],[Order_Date]])</f>
        <v>5</v>
      </c>
      <c r="C72" s="20">
        <v>46178</v>
      </c>
      <c r="D72" s="2" t="s">
        <v>231</v>
      </c>
      <c r="E72" s="2" t="s">
        <v>84</v>
      </c>
      <c r="F72" s="2">
        <v>38</v>
      </c>
      <c r="G72" s="22">
        <v>0.05</v>
      </c>
      <c r="H72" s="22" t="s">
        <v>61</v>
      </c>
      <c r="I72">
        <f>_xlfn.XLOOKUP(Orders[[#This Row],[Product_ID]],Products[Product_ID], Products[Unit_Price])</f>
        <v>1.7</v>
      </c>
      <c r="J72">
        <f>Orders[[#This Row],[Quantity]]*Orders[[#This Row],[Unit_Price]]</f>
        <v>64.599999999999994</v>
      </c>
      <c r="K72">
        <f>_xlfn.XLOOKUP(Orders[[#This Row],[Product_ID]], Products[Product_ID], Products[Cost_Price])</f>
        <v>0.9</v>
      </c>
      <c r="L72">
        <f>Orders[[#This Row],[Cost_Price]]*Orders[[#This Row],[Quantity]]</f>
        <v>34.200000000000003</v>
      </c>
      <c r="M72">
        <f>Orders[[#This Row],[Unit_Price]]*Orders[[#This Row],[Discount]]*Orders[[#This Row],[Quantity]]</f>
        <v>3.2300000000000004</v>
      </c>
      <c r="N72" s="23">
        <f>Orders[[#This Row],[Gross_Sales]]-Orders[[#This Row],[Total_Cost]]-Orders[[#This Row],[Total_Discount]]</f>
        <v>27.169999999999991</v>
      </c>
      <c r="O72" s="23">
        <f>Orders[[#This Row],[Total_Cost]]+Orders[[#This Row],[Total_Discount]]</f>
        <v>37.430000000000007</v>
      </c>
      <c r="P72" t="str">
        <f>_xlfn.XLOOKUP(Orders[[#This Row],[Product_ID]], Products[Product_ID], Products[Product_Name])</f>
        <v>Lemon Lime</v>
      </c>
      <c r="Q72" t="str">
        <f>_xlfn.XLOOKUP(Orders[[#This Row],[Product_ID]], Products[Product_ID], Products[Category])</f>
        <v>Soft Drink</v>
      </c>
      <c r="R72" t="str">
        <f>_xlfn.XLOOKUP(Orders[[#This Row],[Customer_ID]], Customers[Customer_ID], Customers[County])</f>
        <v>Louth</v>
      </c>
      <c r="S72" t="str">
        <f>_xlfn.XLOOKUP(Orders[[#This Row],[Customer_ID]], Customers[Customer_ID], Customers[Customer_Type])</f>
        <v>Hotel</v>
      </c>
      <c r="T72" t="str">
        <f>_xlfn.XLOOKUP(Orders[[#This Row],[Customer_ID]], Customers[Customer_ID], Customers[Preferred_Channel])</f>
        <v>Phone</v>
      </c>
      <c r="U72" t="str">
        <f>_xlfn.XLOOKUP(Orders[[#This Row],[Product_ID]], Products[Product_ID], Products[Bottle_Size])</f>
        <v>500ml</v>
      </c>
    </row>
    <row r="73" spans="1:21" ht="15.75" customHeight="1">
      <c r="A73" s="2" t="s">
        <v>448</v>
      </c>
      <c r="B73" s="2">
        <f>DAY(Orders[[#This Row],[Order_Date]])</f>
        <v>29</v>
      </c>
      <c r="C73" s="20">
        <v>46202</v>
      </c>
      <c r="D73" s="2" t="s">
        <v>290</v>
      </c>
      <c r="E73" s="2" t="s">
        <v>69</v>
      </c>
      <c r="F73" s="2">
        <v>49</v>
      </c>
      <c r="G73" s="22">
        <v>0</v>
      </c>
      <c r="H73" s="22" t="s">
        <v>61</v>
      </c>
      <c r="I73">
        <f>_xlfn.XLOOKUP(Orders[[#This Row],[Product_ID]],Products[Product_ID], Products[Unit_Price])</f>
        <v>2</v>
      </c>
      <c r="J73">
        <f>Orders[[#This Row],[Quantity]]*Orders[[#This Row],[Unit_Price]]</f>
        <v>98</v>
      </c>
      <c r="K73">
        <f>_xlfn.XLOOKUP(Orders[[#This Row],[Product_ID]], Products[Product_ID], Products[Cost_Price])</f>
        <v>1.1000000000000001</v>
      </c>
      <c r="L73">
        <f>Orders[[#This Row],[Cost_Price]]*Orders[[#This Row],[Quantity]]</f>
        <v>53.900000000000006</v>
      </c>
      <c r="M73">
        <f>Orders[[#This Row],[Unit_Price]]*Orders[[#This Row],[Discount]]*Orders[[#This Row],[Quantity]]</f>
        <v>0</v>
      </c>
      <c r="N73" s="23">
        <f>Orders[[#This Row],[Gross_Sales]]-Orders[[#This Row],[Total_Cost]]-Orders[[#This Row],[Total_Discount]]</f>
        <v>44.099999999999994</v>
      </c>
      <c r="O73" s="23">
        <f>Orders[[#This Row],[Total_Cost]]+Orders[[#This Row],[Total_Discount]]</f>
        <v>53.900000000000006</v>
      </c>
      <c r="P73" t="str">
        <f>_xlfn.XLOOKUP(Orders[[#This Row],[Product_ID]], Products[Product_ID], Products[Product_Name])</f>
        <v>Apple Juice</v>
      </c>
      <c r="Q73" t="str">
        <f>_xlfn.XLOOKUP(Orders[[#This Row],[Product_ID]], Products[Product_ID], Products[Category])</f>
        <v>Juice</v>
      </c>
      <c r="R73" t="str">
        <f>_xlfn.XLOOKUP(Orders[[#This Row],[Customer_ID]], Customers[Customer_ID], Customers[County])</f>
        <v>Waterford</v>
      </c>
      <c r="S73" t="str">
        <f>_xlfn.XLOOKUP(Orders[[#This Row],[Customer_ID]], Customers[Customer_ID], Customers[Customer_Type])</f>
        <v>Café</v>
      </c>
      <c r="T73" t="str">
        <f>_xlfn.XLOOKUP(Orders[[#This Row],[Customer_ID]], Customers[Customer_ID], Customers[Preferred_Channel])</f>
        <v>Phone</v>
      </c>
      <c r="U73" t="str">
        <f>_xlfn.XLOOKUP(Orders[[#This Row],[Product_ID]], Products[Product_ID], Products[Bottle_Size])</f>
        <v>1L</v>
      </c>
    </row>
    <row r="74" spans="1:21" ht="15.75" customHeight="1">
      <c r="A74" s="2" t="s">
        <v>450</v>
      </c>
      <c r="B74" s="2">
        <f>DAY(Orders[[#This Row],[Order_Date]])</f>
        <v>1</v>
      </c>
      <c r="C74" s="20">
        <v>46174</v>
      </c>
      <c r="D74" s="2" t="s">
        <v>279</v>
      </c>
      <c r="E74" s="2" t="s">
        <v>199</v>
      </c>
      <c r="F74" s="2">
        <v>40</v>
      </c>
      <c r="G74" s="22">
        <v>0.05</v>
      </c>
      <c r="H74" s="22" t="s">
        <v>61</v>
      </c>
      <c r="I74">
        <f>_xlfn.XLOOKUP(Orders[[#This Row],[Product_ID]],Products[Product_ID], Products[Unit_Price])</f>
        <v>1.7</v>
      </c>
      <c r="J74">
        <f>Orders[[#This Row],[Quantity]]*Orders[[#This Row],[Unit_Price]]</f>
        <v>68</v>
      </c>
      <c r="K74">
        <f>_xlfn.XLOOKUP(Orders[[#This Row],[Product_ID]], Products[Product_ID], Products[Cost_Price])</f>
        <v>0.9</v>
      </c>
      <c r="L74">
        <f>Orders[[#This Row],[Cost_Price]]*Orders[[#This Row],[Quantity]]</f>
        <v>36</v>
      </c>
      <c r="M74">
        <f>Orders[[#This Row],[Unit_Price]]*Orders[[#This Row],[Discount]]*Orders[[#This Row],[Quantity]]</f>
        <v>3.4000000000000004</v>
      </c>
      <c r="N74" s="23">
        <f>Orders[[#This Row],[Gross_Sales]]-Orders[[#This Row],[Total_Cost]]-Orders[[#This Row],[Total_Discount]]</f>
        <v>28.6</v>
      </c>
      <c r="O74" s="23">
        <f>Orders[[#This Row],[Total_Cost]]+Orders[[#This Row],[Total_Discount]]</f>
        <v>39.4</v>
      </c>
      <c r="P74" t="str">
        <f>_xlfn.XLOOKUP(Orders[[#This Row],[Product_ID]], Products[Product_ID], Products[Product_Name])</f>
        <v>Zero Cola</v>
      </c>
      <c r="Q74" t="str">
        <f>_xlfn.XLOOKUP(Orders[[#This Row],[Product_ID]], Products[Product_ID], Products[Category])</f>
        <v>Soft Drink</v>
      </c>
      <c r="R74" t="str">
        <f>_xlfn.XLOOKUP(Orders[[#This Row],[Customer_ID]], Customers[Customer_ID], Customers[County])</f>
        <v>Tipperary</v>
      </c>
      <c r="S74" t="str">
        <f>_xlfn.XLOOKUP(Orders[[#This Row],[Customer_ID]], Customers[Customer_ID], Customers[Customer_Type])</f>
        <v>Retailer</v>
      </c>
      <c r="T74" t="str">
        <f>_xlfn.XLOOKUP(Orders[[#This Row],[Customer_ID]], Customers[Customer_ID], Customers[Preferred_Channel])</f>
        <v>Phone</v>
      </c>
      <c r="U74" t="str">
        <f>_xlfn.XLOOKUP(Orders[[#This Row],[Product_ID]], Products[Product_ID], Products[Bottle_Size])</f>
        <v>330ml</v>
      </c>
    </row>
    <row r="75" spans="1:21" ht="15.75" customHeight="1">
      <c r="A75" s="2" t="s">
        <v>451</v>
      </c>
      <c r="B75" s="2">
        <f>DAY(Orders[[#This Row],[Order_Date]])</f>
        <v>8</v>
      </c>
      <c r="C75" s="20">
        <v>46181</v>
      </c>
      <c r="D75" s="2" t="s">
        <v>40</v>
      </c>
      <c r="E75" s="2" t="s">
        <v>95</v>
      </c>
      <c r="F75" s="2">
        <v>38</v>
      </c>
      <c r="G75" s="22">
        <v>0</v>
      </c>
      <c r="H75" s="22" t="s">
        <v>61</v>
      </c>
      <c r="I75">
        <f>_xlfn.XLOOKUP(Orders[[#This Row],[Product_ID]],Products[Product_ID], Products[Unit_Price])</f>
        <v>2.5</v>
      </c>
      <c r="J75">
        <f>Orders[[#This Row],[Quantity]]*Orders[[#This Row],[Unit_Price]]</f>
        <v>95</v>
      </c>
      <c r="K75">
        <f>_xlfn.XLOOKUP(Orders[[#This Row],[Product_ID]], Products[Product_ID], Products[Cost_Price])</f>
        <v>1.4</v>
      </c>
      <c r="L75">
        <f>Orders[[#This Row],[Cost_Price]]*Orders[[#This Row],[Quantity]]</f>
        <v>53.199999999999996</v>
      </c>
      <c r="M75">
        <f>Orders[[#This Row],[Unit_Price]]*Orders[[#This Row],[Discount]]*Orders[[#This Row],[Quantity]]</f>
        <v>0</v>
      </c>
      <c r="N75" s="23">
        <f>Orders[[#This Row],[Gross_Sales]]-Orders[[#This Row],[Total_Cost]]-Orders[[#This Row],[Total_Discount]]</f>
        <v>41.800000000000004</v>
      </c>
      <c r="O75" s="23">
        <f>Orders[[#This Row],[Total_Cost]]+Orders[[#This Row],[Total_Discount]]</f>
        <v>53.199999999999996</v>
      </c>
      <c r="P75" t="str">
        <f>_xlfn.XLOOKUP(Orders[[#This Row],[Product_ID]], Products[Product_ID], Products[Product_Name])</f>
        <v>Energy Boost</v>
      </c>
      <c r="Q75" t="str">
        <f>_xlfn.XLOOKUP(Orders[[#This Row],[Product_ID]], Products[Product_ID], Products[Category])</f>
        <v>Energy Drink</v>
      </c>
      <c r="R75" t="str">
        <f>_xlfn.XLOOKUP(Orders[[#This Row],[Customer_ID]], Customers[Customer_ID], Customers[County])</f>
        <v>Kildare</v>
      </c>
      <c r="S75" t="str">
        <f>_xlfn.XLOOKUP(Orders[[#This Row],[Customer_ID]], Customers[Customer_ID], Customers[Customer_Type])</f>
        <v>Retailer</v>
      </c>
      <c r="T75" t="str">
        <f>_xlfn.XLOOKUP(Orders[[#This Row],[Customer_ID]], Customers[Customer_ID], Customers[Preferred_Channel])</f>
        <v>Sales Rep</v>
      </c>
      <c r="U75" t="str">
        <f>_xlfn.XLOOKUP(Orders[[#This Row],[Product_ID]], Products[Product_ID], Products[Bottle_Size])</f>
        <v>250ml</v>
      </c>
    </row>
    <row r="76" spans="1:21" ht="15.75" customHeight="1">
      <c r="A76" s="2" t="s">
        <v>452</v>
      </c>
      <c r="B76" s="2">
        <f>DAY(Orders[[#This Row],[Order_Date]])</f>
        <v>11</v>
      </c>
      <c r="C76" s="20">
        <v>46184</v>
      </c>
      <c r="D76" s="2" t="s">
        <v>371</v>
      </c>
      <c r="E76" s="2" t="s">
        <v>108</v>
      </c>
      <c r="F76" s="2">
        <v>47</v>
      </c>
      <c r="G76" s="22">
        <v>0</v>
      </c>
      <c r="H76" s="22" t="s">
        <v>61</v>
      </c>
      <c r="I76">
        <f>_xlfn.XLOOKUP(Orders[[#This Row],[Product_ID]],Products[Product_ID], Products[Unit_Price])</f>
        <v>2.1</v>
      </c>
      <c r="J76">
        <f>Orders[[#This Row],[Quantity]]*Orders[[#This Row],[Unit_Price]]</f>
        <v>98.7</v>
      </c>
      <c r="K76">
        <f>_xlfn.XLOOKUP(Orders[[#This Row],[Product_ID]], Products[Product_ID], Products[Cost_Price])</f>
        <v>1.2</v>
      </c>
      <c r="L76">
        <f>Orders[[#This Row],[Cost_Price]]*Orders[[#This Row],[Quantity]]</f>
        <v>56.4</v>
      </c>
      <c r="M76">
        <f>Orders[[#This Row],[Unit_Price]]*Orders[[#This Row],[Discount]]*Orders[[#This Row],[Quantity]]</f>
        <v>0</v>
      </c>
      <c r="N76" s="23">
        <f>Orders[[#This Row],[Gross_Sales]]-Orders[[#This Row],[Total_Cost]]-Orders[[#This Row],[Total_Discount]]</f>
        <v>42.300000000000004</v>
      </c>
      <c r="O76" s="23">
        <f>Orders[[#This Row],[Total_Cost]]+Orders[[#This Row],[Total_Discount]]</f>
        <v>56.4</v>
      </c>
      <c r="P76" t="str">
        <f>_xlfn.XLOOKUP(Orders[[#This Row],[Product_ID]], Products[Product_ID], Products[Product_Name])</f>
        <v>Berry Splash</v>
      </c>
      <c r="Q76" t="str">
        <f>_xlfn.XLOOKUP(Orders[[#This Row],[Product_ID]], Products[Product_ID], Products[Category])</f>
        <v>Juice</v>
      </c>
      <c r="R76" t="str">
        <f>_xlfn.XLOOKUP(Orders[[#This Row],[Customer_ID]], Customers[Customer_ID], Customers[County])</f>
        <v>Waterford</v>
      </c>
      <c r="S76" t="str">
        <f>_xlfn.XLOOKUP(Orders[[#This Row],[Customer_ID]], Customers[Customer_ID], Customers[Customer_Type])</f>
        <v>Hotel</v>
      </c>
      <c r="T76" t="str">
        <f>_xlfn.XLOOKUP(Orders[[#This Row],[Customer_ID]], Customers[Customer_ID], Customers[Preferred_Channel])</f>
        <v>Email</v>
      </c>
      <c r="U76" t="str">
        <f>_xlfn.XLOOKUP(Orders[[#This Row],[Product_ID]], Products[Product_ID], Products[Bottle_Size])</f>
        <v>500ml</v>
      </c>
    </row>
    <row r="77" spans="1:21" ht="15.75" customHeight="1">
      <c r="A77" s="2" t="s">
        <v>454</v>
      </c>
      <c r="B77" s="2">
        <f>DAY(Orders[[#This Row],[Order_Date]])</f>
        <v>13</v>
      </c>
      <c r="C77" s="20">
        <v>46186</v>
      </c>
      <c r="D77" s="2" t="s">
        <v>190</v>
      </c>
      <c r="E77" s="2" t="s">
        <v>17</v>
      </c>
      <c r="F77" s="2">
        <v>32</v>
      </c>
      <c r="G77" s="22">
        <v>0.05</v>
      </c>
      <c r="H77" s="22" t="s">
        <v>179</v>
      </c>
      <c r="I77">
        <f>_xlfn.XLOOKUP(Orders[[#This Row],[Product_ID]],Products[Product_ID], Products[Unit_Price])</f>
        <v>1.2</v>
      </c>
      <c r="J77">
        <f>Orders[[#This Row],[Quantity]]*Orders[[#This Row],[Unit_Price]]</f>
        <v>38.4</v>
      </c>
      <c r="K77">
        <f>_xlfn.XLOOKUP(Orders[[#This Row],[Product_ID]], Products[Product_ID], Products[Cost_Price])</f>
        <v>0.6</v>
      </c>
      <c r="L77">
        <f>Orders[[#This Row],[Cost_Price]]*Orders[[#This Row],[Quantity]]</f>
        <v>19.2</v>
      </c>
      <c r="M77">
        <f>Orders[[#This Row],[Unit_Price]]*Orders[[#This Row],[Discount]]*Orders[[#This Row],[Quantity]]</f>
        <v>1.92</v>
      </c>
      <c r="N77" s="23">
        <f>Orders[[#This Row],[Gross_Sales]]-Orders[[#This Row],[Total_Cost]]-Orders[[#This Row],[Total_Discount]]</f>
        <v>17.28</v>
      </c>
      <c r="O77" s="23">
        <f>Orders[[#This Row],[Total_Cost]]+Orders[[#This Row],[Total_Discount]]</f>
        <v>21.119999999999997</v>
      </c>
      <c r="P77" t="str">
        <f>_xlfn.XLOOKUP(Orders[[#This Row],[Product_ID]], Products[Product_ID], Products[Product_Name])</f>
        <v>Still Water</v>
      </c>
      <c r="Q77" t="str">
        <f>_xlfn.XLOOKUP(Orders[[#This Row],[Product_ID]], Products[Product_ID], Products[Category])</f>
        <v>Water</v>
      </c>
      <c r="R77" t="str">
        <f>_xlfn.XLOOKUP(Orders[[#This Row],[Customer_ID]], Customers[Customer_ID], Customers[County])</f>
        <v>Galway</v>
      </c>
      <c r="S77" t="str">
        <f>_xlfn.XLOOKUP(Orders[[#This Row],[Customer_ID]], Customers[Customer_ID], Customers[Customer_Type])</f>
        <v>Wholesaler</v>
      </c>
      <c r="T77" t="str">
        <f>_xlfn.XLOOKUP(Orders[[#This Row],[Customer_ID]], Customers[Customer_ID], Customers[Preferred_Channel])</f>
        <v>Phone</v>
      </c>
      <c r="U77" t="str">
        <f>_xlfn.XLOOKUP(Orders[[#This Row],[Product_ID]], Products[Product_ID], Products[Bottle_Size])</f>
        <v>500ml</v>
      </c>
    </row>
    <row r="78" spans="1:21" ht="15.75" customHeight="1">
      <c r="A78" s="2" t="s">
        <v>455</v>
      </c>
      <c r="B78" s="2">
        <f>DAY(Orders[[#This Row],[Order_Date]])</f>
        <v>5</v>
      </c>
      <c r="C78" s="20">
        <v>46178</v>
      </c>
      <c r="D78" s="2" t="s">
        <v>257</v>
      </c>
      <c r="E78" s="2" t="s">
        <v>50</v>
      </c>
      <c r="F78" s="2">
        <v>30</v>
      </c>
      <c r="G78" s="22">
        <v>0.05</v>
      </c>
      <c r="H78" s="22" t="s">
        <v>61</v>
      </c>
      <c r="I78">
        <f>_xlfn.XLOOKUP(Orders[[#This Row],[Product_ID]],Products[Product_ID], Products[Unit_Price])</f>
        <v>1.6</v>
      </c>
      <c r="J78">
        <f>Orders[[#This Row],[Quantity]]*Orders[[#This Row],[Unit_Price]]</f>
        <v>48</v>
      </c>
      <c r="K78">
        <f>_xlfn.XLOOKUP(Orders[[#This Row],[Product_ID]], Products[Product_ID], Products[Cost_Price])</f>
        <v>0.85</v>
      </c>
      <c r="L78">
        <f>Orders[[#This Row],[Cost_Price]]*Orders[[#This Row],[Quantity]]</f>
        <v>25.5</v>
      </c>
      <c r="M78">
        <f>Orders[[#This Row],[Unit_Price]]*Orders[[#This Row],[Discount]]*Orders[[#This Row],[Quantity]]</f>
        <v>2.4000000000000004</v>
      </c>
      <c r="N78" s="23">
        <f>Orders[[#This Row],[Gross_Sales]]-Orders[[#This Row],[Total_Cost]]-Orders[[#This Row],[Total_Discount]]</f>
        <v>20.100000000000001</v>
      </c>
      <c r="O78" s="23">
        <f>Orders[[#This Row],[Total_Cost]]+Orders[[#This Row],[Total_Discount]]</f>
        <v>27.9</v>
      </c>
      <c r="P78" t="str">
        <f>_xlfn.XLOOKUP(Orders[[#This Row],[Product_ID]], Products[Product_ID], Products[Product_Name])</f>
        <v>Orange Soda</v>
      </c>
      <c r="Q78" t="str">
        <f>_xlfn.XLOOKUP(Orders[[#This Row],[Product_ID]], Products[Product_ID], Products[Category])</f>
        <v>Soft Drink</v>
      </c>
      <c r="R78" t="str">
        <f>_xlfn.XLOOKUP(Orders[[#This Row],[Customer_ID]], Customers[Customer_ID], Customers[County])</f>
        <v>Wexford</v>
      </c>
      <c r="S78" t="str">
        <f>_xlfn.XLOOKUP(Orders[[#This Row],[Customer_ID]], Customers[Customer_ID], Customers[Customer_Type])</f>
        <v>Café</v>
      </c>
      <c r="T78" t="str">
        <f>_xlfn.XLOOKUP(Orders[[#This Row],[Customer_ID]], Customers[Customer_ID], Customers[Preferred_Channel])</f>
        <v>Phone</v>
      </c>
      <c r="U78" t="str">
        <f>_xlfn.XLOOKUP(Orders[[#This Row],[Product_ID]], Products[Product_ID], Products[Bottle_Size])</f>
        <v>500ml</v>
      </c>
    </row>
    <row r="79" spans="1:21" ht="15.75" customHeight="1">
      <c r="A79" s="2" t="s">
        <v>456</v>
      </c>
      <c r="B79" s="2">
        <f>DAY(Orders[[#This Row],[Order_Date]])</f>
        <v>5</v>
      </c>
      <c r="C79" s="20">
        <v>46178</v>
      </c>
      <c r="D79" s="2" t="s">
        <v>309</v>
      </c>
      <c r="E79" s="2" t="s">
        <v>139</v>
      </c>
      <c r="F79" s="2">
        <v>50</v>
      </c>
      <c r="G79" s="22">
        <v>0</v>
      </c>
      <c r="H79" s="22" t="s">
        <v>61</v>
      </c>
      <c r="I79">
        <f>_xlfn.XLOOKUP(Orders[[#This Row],[Product_ID]],Products[Product_ID], Products[Unit_Price])</f>
        <v>2.2999999999999998</v>
      </c>
      <c r="J79">
        <f>Orders[[#This Row],[Quantity]]*Orders[[#This Row],[Unit_Price]]</f>
        <v>114.99999999999999</v>
      </c>
      <c r="K79">
        <f>_xlfn.XLOOKUP(Orders[[#This Row],[Product_ID]], Products[Product_ID], Products[Cost_Price])</f>
        <v>1.25</v>
      </c>
      <c r="L79">
        <f>Orders[[#This Row],[Cost_Price]]*Orders[[#This Row],[Quantity]]</f>
        <v>62.5</v>
      </c>
      <c r="M79">
        <f>Orders[[#This Row],[Unit_Price]]*Orders[[#This Row],[Discount]]*Orders[[#This Row],[Quantity]]</f>
        <v>0</v>
      </c>
      <c r="N79" s="23">
        <f>Orders[[#This Row],[Gross_Sales]]-Orders[[#This Row],[Total_Cost]]-Orders[[#This Row],[Total_Discount]]</f>
        <v>52.499999999999986</v>
      </c>
      <c r="O79" s="23">
        <f>Orders[[#This Row],[Total_Cost]]+Orders[[#This Row],[Total_Discount]]</f>
        <v>62.5</v>
      </c>
      <c r="P79" t="str">
        <f>_xlfn.XLOOKUP(Orders[[#This Row],[Product_ID]], Products[Product_ID], Products[Product_Name])</f>
        <v>Mango Juice</v>
      </c>
      <c r="Q79" t="str">
        <f>_xlfn.XLOOKUP(Orders[[#This Row],[Product_ID]], Products[Product_ID], Products[Category])</f>
        <v>Juice</v>
      </c>
      <c r="R79" t="str">
        <f>_xlfn.XLOOKUP(Orders[[#This Row],[Customer_ID]], Customers[Customer_ID], Customers[County])</f>
        <v>Clare</v>
      </c>
      <c r="S79" t="str">
        <f>_xlfn.XLOOKUP(Orders[[#This Row],[Customer_ID]], Customers[Customer_ID], Customers[Customer_Type])</f>
        <v>Restaurant</v>
      </c>
      <c r="T79" t="str">
        <f>_xlfn.XLOOKUP(Orders[[#This Row],[Customer_ID]], Customers[Customer_ID], Customers[Preferred_Channel])</f>
        <v>Phone</v>
      </c>
      <c r="U79" t="str">
        <f>_xlfn.XLOOKUP(Orders[[#This Row],[Product_ID]], Products[Product_ID], Products[Bottle_Size])</f>
        <v>1L</v>
      </c>
    </row>
    <row r="80" spans="1:21" ht="15.75" customHeight="1">
      <c r="A80" s="2" t="s">
        <v>458</v>
      </c>
      <c r="B80" s="2">
        <f>DAY(Orders[[#This Row],[Order_Date]])</f>
        <v>10</v>
      </c>
      <c r="C80" s="20">
        <v>46183</v>
      </c>
      <c r="D80" s="2" t="s">
        <v>309</v>
      </c>
      <c r="E80" s="2" t="s">
        <v>84</v>
      </c>
      <c r="F80" s="2">
        <v>46</v>
      </c>
      <c r="G80" s="22">
        <v>0.05</v>
      </c>
      <c r="H80" s="22" t="s">
        <v>61</v>
      </c>
      <c r="I80">
        <f>_xlfn.XLOOKUP(Orders[[#This Row],[Product_ID]],Products[Product_ID], Products[Unit_Price])</f>
        <v>1.7</v>
      </c>
      <c r="J80">
        <f>Orders[[#This Row],[Quantity]]*Orders[[#This Row],[Unit_Price]]</f>
        <v>78.2</v>
      </c>
      <c r="K80">
        <f>_xlfn.XLOOKUP(Orders[[#This Row],[Product_ID]], Products[Product_ID], Products[Cost_Price])</f>
        <v>0.9</v>
      </c>
      <c r="L80">
        <f>Orders[[#This Row],[Cost_Price]]*Orders[[#This Row],[Quantity]]</f>
        <v>41.4</v>
      </c>
      <c r="M80">
        <f>Orders[[#This Row],[Unit_Price]]*Orders[[#This Row],[Discount]]*Orders[[#This Row],[Quantity]]</f>
        <v>3.91</v>
      </c>
      <c r="N80" s="23">
        <f>Orders[[#This Row],[Gross_Sales]]-Orders[[#This Row],[Total_Cost]]-Orders[[#This Row],[Total_Discount]]</f>
        <v>32.89</v>
      </c>
      <c r="O80" s="23">
        <f>Orders[[#This Row],[Total_Cost]]+Orders[[#This Row],[Total_Discount]]</f>
        <v>45.31</v>
      </c>
      <c r="P80" t="str">
        <f>_xlfn.XLOOKUP(Orders[[#This Row],[Product_ID]], Products[Product_ID], Products[Product_Name])</f>
        <v>Lemon Lime</v>
      </c>
      <c r="Q80" t="str">
        <f>_xlfn.XLOOKUP(Orders[[#This Row],[Product_ID]], Products[Product_ID], Products[Category])</f>
        <v>Soft Drink</v>
      </c>
      <c r="R80" t="str">
        <f>_xlfn.XLOOKUP(Orders[[#This Row],[Customer_ID]], Customers[Customer_ID], Customers[County])</f>
        <v>Clare</v>
      </c>
      <c r="S80" t="str">
        <f>_xlfn.XLOOKUP(Orders[[#This Row],[Customer_ID]], Customers[Customer_ID], Customers[Customer_Type])</f>
        <v>Restaurant</v>
      </c>
      <c r="T80" t="str">
        <f>_xlfn.XLOOKUP(Orders[[#This Row],[Customer_ID]], Customers[Customer_ID], Customers[Preferred_Channel])</f>
        <v>Phone</v>
      </c>
      <c r="U80" t="str">
        <f>_xlfn.XLOOKUP(Orders[[#This Row],[Product_ID]], Products[Product_ID], Products[Bottle_Size])</f>
        <v>500ml</v>
      </c>
    </row>
    <row r="81" spans="1:21" ht="15.75" customHeight="1">
      <c r="A81" s="2" t="s">
        <v>459</v>
      </c>
      <c r="B81" s="2">
        <f>DAY(Orders[[#This Row],[Order_Date]])</f>
        <v>9</v>
      </c>
      <c r="C81" s="20">
        <v>46182</v>
      </c>
      <c r="D81" s="2" t="s">
        <v>211</v>
      </c>
      <c r="E81" s="2" t="s">
        <v>95</v>
      </c>
      <c r="F81" s="2">
        <v>40</v>
      </c>
      <c r="G81" s="22">
        <v>0</v>
      </c>
      <c r="H81" s="22" t="s">
        <v>49</v>
      </c>
      <c r="I81">
        <f>_xlfn.XLOOKUP(Orders[[#This Row],[Product_ID]],Products[Product_ID], Products[Unit_Price])</f>
        <v>2.5</v>
      </c>
      <c r="J81">
        <f>Orders[[#This Row],[Quantity]]*Orders[[#This Row],[Unit_Price]]</f>
        <v>100</v>
      </c>
      <c r="K81">
        <f>_xlfn.XLOOKUP(Orders[[#This Row],[Product_ID]], Products[Product_ID], Products[Cost_Price])</f>
        <v>1.4</v>
      </c>
      <c r="L81">
        <f>Orders[[#This Row],[Cost_Price]]*Orders[[#This Row],[Quantity]]</f>
        <v>56</v>
      </c>
      <c r="M81">
        <f>Orders[[#This Row],[Unit_Price]]*Orders[[#This Row],[Discount]]*Orders[[#This Row],[Quantity]]</f>
        <v>0</v>
      </c>
      <c r="N81" s="23">
        <f>Orders[[#This Row],[Gross_Sales]]-Orders[[#This Row],[Total_Cost]]-Orders[[#This Row],[Total_Discount]]</f>
        <v>44</v>
      </c>
      <c r="O81" s="23">
        <f>Orders[[#This Row],[Total_Cost]]+Orders[[#This Row],[Total_Discount]]</f>
        <v>56</v>
      </c>
      <c r="P81" t="str">
        <f>_xlfn.XLOOKUP(Orders[[#This Row],[Product_ID]], Products[Product_ID], Products[Product_Name])</f>
        <v>Energy Boost</v>
      </c>
      <c r="Q81" t="str">
        <f>_xlfn.XLOOKUP(Orders[[#This Row],[Product_ID]], Products[Product_ID], Products[Category])</f>
        <v>Energy Drink</v>
      </c>
      <c r="R81" t="str">
        <f>_xlfn.XLOOKUP(Orders[[#This Row],[Customer_ID]], Customers[Customer_ID], Customers[County])</f>
        <v>Dublin</v>
      </c>
      <c r="S81" t="str">
        <f>_xlfn.XLOOKUP(Orders[[#This Row],[Customer_ID]], Customers[Customer_ID], Customers[Customer_Type])</f>
        <v>Retailer</v>
      </c>
      <c r="T81" t="str">
        <f>_xlfn.XLOOKUP(Orders[[#This Row],[Customer_ID]], Customers[Customer_ID], Customers[Preferred_Channel])</f>
        <v>Phone</v>
      </c>
      <c r="U81" t="str">
        <f>_xlfn.XLOOKUP(Orders[[#This Row],[Product_ID]], Products[Product_ID], Products[Bottle_Size])</f>
        <v>250ml</v>
      </c>
    </row>
    <row r="82" spans="1:21" ht="15.75" customHeight="1">
      <c r="A82" s="2" t="s">
        <v>461</v>
      </c>
      <c r="B82" s="2">
        <f>DAY(Orders[[#This Row],[Order_Date]])</f>
        <v>23</v>
      </c>
      <c r="C82" s="20">
        <v>46196</v>
      </c>
      <c r="D82" s="2" t="s">
        <v>290</v>
      </c>
      <c r="E82" s="2" t="s">
        <v>217</v>
      </c>
      <c r="F82" s="2">
        <v>8</v>
      </c>
      <c r="G82" s="22">
        <v>0.05</v>
      </c>
      <c r="H82" s="22" t="s">
        <v>61</v>
      </c>
      <c r="I82">
        <f>_xlfn.XLOOKUP(Orders[[#This Row],[Product_ID]],Products[Product_ID], Products[Unit_Price])</f>
        <v>1.4</v>
      </c>
      <c r="J82">
        <f>Orders[[#This Row],[Quantity]]*Orders[[#This Row],[Unit_Price]]</f>
        <v>11.2</v>
      </c>
      <c r="K82">
        <f>_xlfn.XLOOKUP(Orders[[#This Row],[Product_ID]], Products[Product_ID], Products[Cost_Price])</f>
        <v>0.7</v>
      </c>
      <c r="L82">
        <f>Orders[[#This Row],[Cost_Price]]*Orders[[#This Row],[Quantity]]</f>
        <v>5.6</v>
      </c>
      <c r="M82">
        <f>Orders[[#This Row],[Unit_Price]]*Orders[[#This Row],[Discount]]*Orders[[#This Row],[Quantity]]</f>
        <v>0.55999999999999994</v>
      </c>
      <c r="N82" s="23">
        <f>Orders[[#This Row],[Gross_Sales]]-Orders[[#This Row],[Total_Cost]]-Orders[[#This Row],[Total_Discount]]</f>
        <v>5.04</v>
      </c>
      <c r="O82" s="23">
        <f>Orders[[#This Row],[Total_Cost]]+Orders[[#This Row],[Total_Discount]]</f>
        <v>6.1599999999999993</v>
      </c>
      <c r="P82" t="str">
        <f>_xlfn.XLOOKUP(Orders[[#This Row],[Product_ID]], Products[Product_ID], Products[Product_Name])</f>
        <v>Spring Water</v>
      </c>
      <c r="Q82" t="str">
        <f>_xlfn.XLOOKUP(Orders[[#This Row],[Product_ID]], Products[Product_ID], Products[Category])</f>
        <v>Water</v>
      </c>
      <c r="R82" t="str">
        <f>_xlfn.XLOOKUP(Orders[[#This Row],[Customer_ID]], Customers[Customer_ID], Customers[County])</f>
        <v>Waterford</v>
      </c>
      <c r="S82" t="str">
        <f>_xlfn.XLOOKUP(Orders[[#This Row],[Customer_ID]], Customers[Customer_ID], Customers[Customer_Type])</f>
        <v>Café</v>
      </c>
      <c r="T82" t="str">
        <f>_xlfn.XLOOKUP(Orders[[#This Row],[Customer_ID]], Customers[Customer_ID], Customers[Preferred_Channel])</f>
        <v>Phone</v>
      </c>
      <c r="U82" t="str">
        <f>_xlfn.XLOOKUP(Orders[[#This Row],[Product_ID]], Products[Product_ID], Products[Bottle_Size])</f>
        <v>500ml</v>
      </c>
    </row>
    <row r="83" spans="1:21" ht="15.75" customHeight="1">
      <c r="A83" s="2" t="s">
        <v>462</v>
      </c>
      <c r="B83" s="2">
        <f>DAY(Orders[[#This Row],[Order_Date]])</f>
        <v>5</v>
      </c>
      <c r="C83" s="20">
        <v>46178</v>
      </c>
      <c r="D83" s="2" t="s">
        <v>93</v>
      </c>
      <c r="E83" s="2" t="s">
        <v>217</v>
      </c>
      <c r="F83" s="2">
        <v>13</v>
      </c>
      <c r="G83" s="22">
        <v>0</v>
      </c>
      <c r="H83" s="22" t="s">
        <v>61</v>
      </c>
      <c r="I83">
        <f>_xlfn.XLOOKUP(Orders[[#This Row],[Product_ID]],Products[Product_ID], Products[Unit_Price])</f>
        <v>1.4</v>
      </c>
      <c r="J83">
        <f>Orders[[#This Row],[Quantity]]*Orders[[#This Row],[Unit_Price]]</f>
        <v>18.2</v>
      </c>
      <c r="K83">
        <f>_xlfn.XLOOKUP(Orders[[#This Row],[Product_ID]], Products[Product_ID], Products[Cost_Price])</f>
        <v>0.7</v>
      </c>
      <c r="L83">
        <f>Orders[[#This Row],[Cost_Price]]*Orders[[#This Row],[Quantity]]</f>
        <v>9.1</v>
      </c>
      <c r="M83">
        <f>Orders[[#This Row],[Unit_Price]]*Orders[[#This Row],[Discount]]*Orders[[#This Row],[Quantity]]</f>
        <v>0</v>
      </c>
      <c r="N83" s="23">
        <f>Orders[[#This Row],[Gross_Sales]]-Orders[[#This Row],[Total_Cost]]-Orders[[#This Row],[Total_Discount]]</f>
        <v>9.1</v>
      </c>
      <c r="O83" s="23">
        <f>Orders[[#This Row],[Total_Cost]]+Orders[[#This Row],[Total_Discount]]</f>
        <v>9.1</v>
      </c>
      <c r="P83" t="str">
        <f>_xlfn.XLOOKUP(Orders[[#This Row],[Product_ID]], Products[Product_ID], Products[Product_Name])</f>
        <v>Spring Water</v>
      </c>
      <c r="Q83" t="str">
        <f>_xlfn.XLOOKUP(Orders[[#This Row],[Product_ID]], Products[Product_ID], Products[Category])</f>
        <v>Water</v>
      </c>
      <c r="R83" t="str">
        <f>_xlfn.XLOOKUP(Orders[[#This Row],[Customer_ID]], Customers[Customer_ID], Customers[County])</f>
        <v>Meath</v>
      </c>
      <c r="S83" t="str">
        <f>_xlfn.XLOOKUP(Orders[[#This Row],[Customer_ID]], Customers[Customer_ID], Customers[Customer_Type])</f>
        <v>Restaurant</v>
      </c>
      <c r="T83" t="str">
        <f>_xlfn.XLOOKUP(Orders[[#This Row],[Customer_ID]], Customers[Customer_ID], Customers[Preferred_Channel])</f>
        <v>Online</v>
      </c>
      <c r="U83" t="str">
        <f>_xlfn.XLOOKUP(Orders[[#This Row],[Product_ID]], Products[Product_ID], Products[Bottle_Size])</f>
        <v>500ml</v>
      </c>
    </row>
    <row r="84" spans="1:21" ht="15.75" customHeight="1">
      <c r="A84" s="2" t="s">
        <v>464</v>
      </c>
      <c r="B84" s="2">
        <f>DAY(Orders[[#This Row],[Order_Date]])</f>
        <v>28</v>
      </c>
      <c r="C84" s="20">
        <v>46201</v>
      </c>
      <c r="D84" s="2" t="s">
        <v>283</v>
      </c>
      <c r="E84" s="2" t="s">
        <v>217</v>
      </c>
      <c r="F84" s="2">
        <v>29</v>
      </c>
      <c r="G84" s="22">
        <v>0</v>
      </c>
      <c r="H84" s="22" t="s">
        <v>61</v>
      </c>
      <c r="I84">
        <f>_xlfn.XLOOKUP(Orders[[#This Row],[Product_ID]],Products[Product_ID], Products[Unit_Price])</f>
        <v>1.4</v>
      </c>
      <c r="J84">
        <f>Orders[[#This Row],[Quantity]]*Orders[[#This Row],[Unit_Price]]</f>
        <v>40.599999999999994</v>
      </c>
      <c r="K84">
        <f>_xlfn.XLOOKUP(Orders[[#This Row],[Product_ID]], Products[Product_ID], Products[Cost_Price])</f>
        <v>0.7</v>
      </c>
      <c r="L84">
        <f>Orders[[#This Row],[Cost_Price]]*Orders[[#This Row],[Quantity]]</f>
        <v>20.299999999999997</v>
      </c>
      <c r="M84">
        <f>Orders[[#This Row],[Unit_Price]]*Orders[[#This Row],[Discount]]*Orders[[#This Row],[Quantity]]</f>
        <v>0</v>
      </c>
      <c r="N84" s="23">
        <f>Orders[[#This Row],[Gross_Sales]]-Orders[[#This Row],[Total_Cost]]-Orders[[#This Row],[Total_Discount]]</f>
        <v>20.299999999999997</v>
      </c>
      <c r="O84" s="23">
        <f>Orders[[#This Row],[Total_Cost]]+Orders[[#This Row],[Total_Discount]]</f>
        <v>20.299999999999997</v>
      </c>
      <c r="P84" t="str">
        <f>_xlfn.XLOOKUP(Orders[[#This Row],[Product_ID]], Products[Product_ID], Products[Product_Name])</f>
        <v>Spring Water</v>
      </c>
      <c r="Q84" t="str">
        <f>_xlfn.XLOOKUP(Orders[[#This Row],[Product_ID]], Products[Product_ID], Products[Category])</f>
        <v>Water</v>
      </c>
      <c r="R84" t="str">
        <f>_xlfn.XLOOKUP(Orders[[#This Row],[Customer_ID]], Customers[Customer_ID], Customers[County])</f>
        <v>Louth</v>
      </c>
      <c r="S84" t="str">
        <f>_xlfn.XLOOKUP(Orders[[#This Row],[Customer_ID]], Customers[Customer_ID], Customers[Customer_Type])</f>
        <v>Wholesaler</v>
      </c>
      <c r="T84" t="str">
        <f>_xlfn.XLOOKUP(Orders[[#This Row],[Customer_ID]], Customers[Customer_ID], Customers[Preferred_Channel])</f>
        <v>Phone</v>
      </c>
      <c r="U84" t="str">
        <f>_xlfn.XLOOKUP(Orders[[#This Row],[Product_ID]], Products[Product_ID], Products[Bottle_Size])</f>
        <v>500ml</v>
      </c>
    </row>
    <row r="85" spans="1:21" ht="15.75" customHeight="1">
      <c r="A85" s="2" t="s">
        <v>465</v>
      </c>
      <c r="B85" s="2">
        <f>DAY(Orders[[#This Row],[Order_Date]])</f>
        <v>19</v>
      </c>
      <c r="C85" s="20">
        <v>46192</v>
      </c>
      <c r="D85" s="2" t="s">
        <v>246</v>
      </c>
      <c r="E85" s="2" t="s">
        <v>50</v>
      </c>
      <c r="F85" s="2">
        <v>23</v>
      </c>
      <c r="G85" s="22">
        <v>0.1</v>
      </c>
      <c r="H85" s="22" t="s">
        <v>61</v>
      </c>
      <c r="I85">
        <f>_xlfn.XLOOKUP(Orders[[#This Row],[Product_ID]],Products[Product_ID], Products[Unit_Price])</f>
        <v>1.6</v>
      </c>
      <c r="J85">
        <f>Orders[[#This Row],[Quantity]]*Orders[[#This Row],[Unit_Price]]</f>
        <v>36.800000000000004</v>
      </c>
      <c r="K85">
        <f>_xlfn.XLOOKUP(Orders[[#This Row],[Product_ID]], Products[Product_ID], Products[Cost_Price])</f>
        <v>0.85</v>
      </c>
      <c r="L85">
        <f>Orders[[#This Row],[Cost_Price]]*Orders[[#This Row],[Quantity]]</f>
        <v>19.55</v>
      </c>
      <c r="M85">
        <f>Orders[[#This Row],[Unit_Price]]*Orders[[#This Row],[Discount]]*Orders[[#This Row],[Quantity]]</f>
        <v>3.6800000000000006</v>
      </c>
      <c r="N85" s="23">
        <f>Orders[[#This Row],[Gross_Sales]]-Orders[[#This Row],[Total_Cost]]-Orders[[#This Row],[Total_Discount]]</f>
        <v>13.570000000000004</v>
      </c>
      <c r="O85" s="23">
        <f>Orders[[#This Row],[Total_Cost]]+Orders[[#This Row],[Total_Discount]]</f>
        <v>23.23</v>
      </c>
      <c r="P85" t="str">
        <f>_xlfn.XLOOKUP(Orders[[#This Row],[Product_ID]], Products[Product_ID], Products[Product_Name])</f>
        <v>Orange Soda</v>
      </c>
      <c r="Q85" t="str">
        <f>_xlfn.XLOOKUP(Orders[[#This Row],[Product_ID]], Products[Product_ID], Products[Category])</f>
        <v>Soft Drink</v>
      </c>
      <c r="R85" t="str">
        <f>_xlfn.XLOOKUP(Orders[[#This Row],[Customer_ID]], Customers[Customer_ID], Customers[County])</f>
        <v>Wexford</v>
      </c>
      <c r="S85" t="str">
        <f>_xlfn.XLOOKUP(Orders[[#This Row],[Customer_ID]], Customers[Customer_ID], Customers[Customer_Type])</f>
        <v>Retailer</v>
      </c>
      <c r="T85" t="str">
        <f>_xlfn.XLOOKUP(Orders[[#This Row],[Customer_ID]], Customers[Customer_ID], Customers[Preferred_Channel])</f>
        <v>Phone</v>
      </c>
      <c r="U85" t="str">
        <f>_xlfn.XLOOKUP(Orders[[#This Row],[Product_ID]], Products[Product_ID], Products[Bottle_Size])</f>
        <v>500ml</v>
      </c>
    </row>
    <row r="86" spans="1:21" ht="15.75" customHeight="1">
      <c r="A86" s="2" t="s">
        <v>466</v>
      </c>
      <c r="B86" s="2">
        <f>DAY(Orders[[#This Row],[Order_Date]])</f>
        <v>28</v>
      </c>
      <c r="C86" s="20">
        <v>46201</v>
      </c>
      <c r="D86" s="2" t="s">
        <v>120</v>
      </c>
      <c r="E86" s="2" t="s">
        <v>199</v>
      </c>
      <c r="F86" s="2">
        <v>47</v>
      </c>
      <c r="G86" s="22">
        <v>0.05</v>
      </c>
      <c r="H86" s="22" t="s">
        <v>61</v>
      </c>
      <c r="I86">
        <f>_xlfn.XLOOKUP(Orders[[#This Row],[Product_ID]],Products[Product_ID], Products[Unit_Price])</f>
        <v>1.7</v>
      </c>
      <c r="J86">
        <f>Orders[[#This Row],[Quantity]]*Orders[[#This Row],[Unit_Price]]</f>
        <v>79.899999999999991</v>
      </c>
      <c r="K86">
        <f>_xlfn.XLOOKUP(Orders[[#This Row],[Product_ID]], Products[Product_ID], Products[Cost_Price])</f>
        <v>0.9</v>
      </c>
      <c r="L86">
        <f>Orders[[#This Row],[Cost_Price]]*Orders[[#This Row],[Quantity]]</f>
        <v>42.300000000000004</v>
      </c>
      <c r="M86">
        <f>Orders[[#This Row],[Unit_Price]]*Orders[[#This Row],[Discount]]*Orders[[#This Row],[Quantity]]</f>
        <v>3.9950000000000001</v>
      </c>
      <c r="N86" s="23">
        <f>Orders[[#This Row],[Gross_Sales]]-Orders[[#This Row],[Total_Cost]]-Orders[[#This Row],[Total_Discount]]</f>
        <v>33.60499999999999</v>
      </c>
      <c r="O86" s="23">
        <f>Orders[[#This Row],[Total_Cost]]+Orders[[#This Row],[Total_Discount]]</f>
        <v>46.295000000000002</v>
      </c>
      <c r="P86" t="str">
        <f>_xlfn.XLOOKUP(Orders[[#This Row],[Product_ID]], Products[Product_ID], Products[Product_Name])</f>
        <v>Zero Cola</v>
      </c>
      <c r="Q86" t="str">
        <f>_xlfn.XLOOKUP(Orders[[#This Row],[Product_ID]], Products[Product_ID], Products[Category])</f>
        <v>Soft Drink</v>
      </c>
      <c r="R86" t="str">
        <f>_xlfn.XLOOKUP(Orders[[#This Row],[Customer_ID]], Customers[Customer_ID], Customers[County])</f>
        <v>Donegal</v>
      </c>
      <c r="S86" t="str">
        <f>_xlfn.XLOOKUP(Orders[[#This Row],[Customer_ID]], Customers[Customer_ID], Customers[Customer_Type])</f>
        <v>Wholesaler</v>
      </c>
      <c r="T86" t="str">
        <f>_xlfn.XLOOKUP(Orders[[#This Row],[Customer_ID]], Customers[Customer_ID], Customers[Preferred_Channel])</f>
        <v>Sales Rep</v>
      </c>
      <c r="U86" t="str">
        <f>_xlfn.XLOOKUP(Orders[[#This Row],[Product_ID]], Products[Product_ID], Products[Bottle_Size])</f>
        <v>330ml</v>
      </c>
    </row>
    <row r="87" spans="1:21" ht="15.75" customHeight="1">
      <c r="A87" s="2" t="s">
        <v>467</v>
      </c>
      <c r="B87" s="2">
        <f>DAY(Orders[[#This Row],[Order_Date]])</f>
        <v>11</v>
      </c>
      <c r="C87" s="20">
        <v>46184</v>
      </c>
      <c r="D87" s="2" t="s">
        <v>261</v>
      </c>
      <c r="E87" s="2" t="s">
        <v>95</v>
      </c>
      <c r="F87" s="2">
        <v>5</v>
      </c>
      <c r="G87" s="22">
        <v>0.05</v>
      </c>
      <c r="H87" s="22" t="s">
        <v>49</v>
      </c>
      <c r="I87">
        <f>_xlfn.XLOOKUP(Orders[[#This Row],[Product_ID]],Products[Product_ID], Products[Unit_Price])</f>
        <v>2.5</v>
      </c>
      <c r="J87">
        <f>Orders[[#This Row],[Quantity]]*Orders[[#This Row],[Unit_Price]]</f>
        <v>12.5</v>
      </c>
      <c r="K87">
        <f>_xlfn.XLOOKUP(Orders[[#This Row],[Product_ID]], Products[Product_ID], Products[Cost_Price])</f>
        <v>1.4</v>
      </c>
      <c r="L87">
        <f>Orders[[#This Row],[Cost_Price]]*Orders[[#This Row],[Quantity]]</f>
        <v>7</v>
      </c>
      <c r="M87">
        <f>Orders[[#This Row],[Unit_Price]]*Orders[[#This Row],[Discount]]*Orders[[#This Row],[Quantity]]</f>
        <v>0.625</v>
      </c>
      <c r="N87" s="23">
        <f>Orders[[#This Row],[Gross_Sales]]-Orders[[#This Row],[Total_Cost]]-Orders[[#This Row],[Total_Discount]]</f>
        <v>4.875</v>
      </c>
      <c r="O87" s="23">
        <f>Orders[[#This Row],[Total_Cost]]+Orders[[#This Row],[Total_Discount]]</f>
        <v>7.625</v>
      </c>
      <c r="P87" t="str">
        <f>_xlfn.XLOOKUP(Orders[[#This Row],[Product_ID]], Products[Product_ID], Products[Product_Name])</f>
        <v>Energy Boost</v>
      </c>
      <c r="Q87" t="str">
        <f>_xlfn.XLOOKUP(Orders[[#This Row],[Product_ID]], Products[Product_ID], Products[Category])</f>
        <v>Energy Drink</v>
      </c>
      <c r="R87" t="str">
        <f>_xlfn.XLOOKUP(Orders[[#This Row],[Customer_ID]], Customers[Customer_ID], Customers[County])</f>
        <v>Sligo</v>
      </c>
      <c r="S87" t="str">
        <f>_xlfn.XLOOKUP(Orders[[#This Row],[Customer_ID]], Customers[Customer_ID], Customers[Customer_Type])</f>
        <v>Hotel</v>
      </c>
      <c r="T87" t="str">
        <f>_xlfn.XLOOKUP(Orders[[#This Row],[Customer_ID]], Customers[Customer_ID], Customers[Preferred_Channel])</f>
        <v>Distributor</v>
      </c>
      <c r="U87" t="str">
        <f>_xlfn.XLOOKUP(Orders[[#This Row],[Product_ID]], Products[Product_ID], Products[Bottle_Size])</f>
        <v>250ml</v>
      </c>
    </row>
    <row r="88" spans="1:21" ht="15.75" customHeight="1">
      <c r="A88" s="2" t="s">
        <v>469</v>
      </c>
      <c r="B88" s="2">
        <f>DAY(Orders[[#This Row],[Order_Date]])</f>
        <v>12</v>
      </c>
      <c r="C88" s="20">
        <v>46185</v>
      </c>
      <c r="D88" s="2" t="s">
        <v>75</v>
      </c>
      <c r="E88" s="2" t="s">
        <v>180</v>
      </c>
      <c r="F88" s="2">
        <v>48</v>
      </c>
      <c r="G88" s="22">
        <v>0</v>
      </c>
      <c r="H88" s="22" t="s">
        <v>61</v>
      </c>
      <c r="I88">
        <f>_xlfn.XLOOKUP(Orders[[#This Row],[Product_ID]],Products[Product_ID], Products[Unit_Price])</f>
        <v>2.4</v>
      </c>
      <c r="J88">
        <f>Orders[[#This Row],[Quantity]]*Orders[[#This Row],[Unit_Price]]</f>
        <v>115.19999999999999</v>
      </c>
      <c r="K88">
        <f>_xlfn.XLOOKUP(Orders[[#This Row],[Product_ID]], Products[Product_ID], Products[Cost_Price])</f>
        <v>1.35</v>
      </c>
      <c r="L88">
        <f>Orders[[#This Row],[Cost_Price]]*Orders[[#This Row],[Quantity]]</f>
        <v>64.800000000000011</v>
      </c>
      <c r="M88">
        <f>Orders[[#This Row],[Unit_Price]]*Orders[[#This Row],[Discount]]*Orders[[#This Row],[Quantity]]</f>
        <v>0</v>
      </c>
      <c r="N88" s="23">
        <f>Orders[[#This Row],[Gross_Sales]]-Orders[[#This Row],[Total_Cost]]-Orders[[#This Row],[Total_Discount]]</f>
        <v>50.399999999999977</v>
      </c>
      <c r="O88" s="23">
        <f>Orders[[#This Row],[Total_Cost]]+Orders[[#This Row],[Total_Discount]]</f>
        <v>64.800000000000011</v>
      </c>
      <c r="P88" t="str">
        <f>_xlfn.XLOOKUP(Orders[[#This Row],[Product_ID]], Products[Product_ID], Products[Product_Name])</f>
        <v>Pineapple Juice</v>
      </c>
      <c r="Q88" t="str">
        <f>_xlfn.XLOOKUP(Orders[[#This Row],[Product_ID]], Products[Product_ID], Products[Category])</f>
        <v>Juice</v>
      </c>
      <c r="R88" t="str">
        <f>_xlfn.XLOOKUP(Orders[[#This Row],[Customer_ID]], Customers[Customer_ID], Customers[County])</f>
        <v>Offaly</v>
      </c>
      <c r="S88" t="str">
        <f>_xlfn.XLOOKUP(Orders[[#This Row],[Customer_ID]], Customers[Customer_ID], Customers[Customer_Type])</f>
        <v>Hotel</v>
      </c>
      <c r="T88" t="str">
        <f>_xlfn.XLOOKUP(Orders[[#This Row],[Customer_ID]], Customers[Customer_ID], Customers[Preferred_Channel])</f>
        <v>Phone</v>
      </c>
      <c r="U88" t="str">
        <f>_xlfn.XLOOKUP(Orders[[#This Row],[Product_ID]], Products[Product_ID], Products[Bottle_Size])</f>
        <v>1L</v>
      </c>
    </row>
    <row r="89" spans="1:21" ht="15.75" customHeight="1">
      <c r="A89" s="2" t="s">
        <v>470</v>
      </c>
      <c r="B89" s="2">
        <f>DAY(Orders[[#This Row],[Order_Date]])</f>
        <v>29</v>
      </c>
      <c r="C89" s="20">
        <v>46202</v>
      </c>
      <c r="D89" s="2" t="s">
        <v>177</v>
      </c>
      <c r="E89" s="2" t="s">
        <v>108</v>
      </c>
      <c r="F89" s="2">
        <v>28</v>
      </c>
      <c r="G89" s="22">
        <v>0</v>
      </c>
      <c r="H89" s="22" t="s">
        <v>61</v>
      </c>
      <c r="I89">
        <f>_xlfn.XLOOKUP(Orders[[#This Row],[Product_ID]],Products[Product_ID], Products[Unit_Price])</f>
        <v>2.1</v>
      </c>
      <c r="J89">
        <f>Orders[[#This Row],[Quantity]]*Orders[[#This Row],[Unit_Price]]</f>
        <v>58.800000000000004</v>
      </c>
      <c r="K89">
        <f>_xlfn.XLOOKUP(Orders[[#This Row],[Product_ID]], Products[Product_ID], Products[Cost_Price])</f>
        <v>1.2</v>
      </c>
      <c r="L89">
        <f>Orders[[#This Row],[Cost_Price]]*Orders[[#This Row],[Quantity]]</f>
        <v>33.6</v>
      </c>
      <c r="M89">
        <f>Orders[[#This Row],[Unit_Price]]*Orders[[#This Row],[Discount]]*Orders[[#This Row],[Quantity]]</f>
        <v>0</v>
      </c>
      <c r="N89" s="23">
        <f>Orders[[#This Row],[Gross_Sales]]-Orders[[#This Row],[Total_Cost]]-Orders[[#This Row],[Total_Discount]]</f>
        <v>25.200000000000003</v>
      </c>
      <c r="O89" s="23">
        <f>Orders[[#This Row],[Total_Cost]]+Orders[[#This Row],[Total_Discount]]</f>
        <v>33.6</v>
      </c>
      <c r="P89" t="str">
        <f>_xlfn.XLOOKUP(Orders[[#This Row],[Product_ID]], Products[Product_ID], Products[Product_Name])</f>
        <v>Berry Splash</v>
      </c>
      <c r="Q89" t="str">
        <f>_xlfn.XLOOKUP(Orders[[#This Row],[Product_ID]], Products[Product_ID], Products[Category])</f>
        <v>Juice</v>
      </c>
      <c r="R89" t="str">
        <f>_xlfn.XLOOKUP(Orders[[#This Row],[Customer_ID]], Customers[Customer_ID], Customers[County])</f>
        <v>Kildare</v>
      </c>
      <c r="S89" t="str">
        <f>_xlfn.XLOOKUP(Orders[[#This Row],[Customer_ID]], Customers[Customer_ID], Customers[Customer_Type])</f>
        <v>Supermarket</v>
      </c>
      <c r="T89" t="str">
        <f>_xlfn.XLOOKUP(Orders[[#This Row],[Customer_ID]], Customers[Customer_ID], Customers[Preferred_Channel])</f>
        <v>Email</v>
      </c>
      <c r="U89" t="str">
        <f>_xlfn.XLOOKUP(Orders[[#This Row],[Product_ID]], Products[Product_ID], Products[Bottle_Size])</f>
        <v>500ml</v>
      </c>
    </row>
    <row r="90" spans="1:21" ht="15.75" customHeight="1">
      <c r="A90" s="2" t="s">
        <v>472</v>
      </c>
      <c r="B90" s="2">
        <f>DAY(Orders[[#This Row],[Order_Date]])</f>
        <v>30</v>
      </c>
      <c r="C90" s="20">
        <v>46203</v>
      </c>
      <c r="D90" s="2" t="s">
        <v>283</v>
      </c>
      <c r="E90" s="2" t="s">
        <v>134</v>
      </c>
      <c r="F90" s="2">
        <v>13</v>
      </c>
      <c r="G90" s="22">
        <v>0</v>
      </c>
      <c r="H90" s="22" t="s">
        <v>61</v>
      </c>
      <c r="I90">
        <f>_xlfn.XLOOKUP(Orders[[#This Row],[Product_ID]],Products[Product_ID], Products[Unit_Price])</f>
        <v>1.8</v>
      </c>
      <c r="J90">
        <f>Orders[[#This Row],[Quantity]]*Orders[[#This Row],[Unit_Price]]</f>
        <v>23.400000000000002</v>
      </c>
      <c r="K90">
        <f>_xlfn.XLOOKUP(Orders[[#This Row],[Product_ID]], Products[Product_ID], Products[Cost_Price])</f>
        <v>0.95</v>
      </c>
      <c r="L90">
        <f>Orders[[#This Row],[Cost_Price]]*Orders[[#This Row],[Quantity]]</f>
        <v>12.35</v>
      </c>
      <c r="M90">
        <f>Orders[[#This Row],[Unit_Price]]*Orders[[#This Row],[Discount]]*Orders[[#This Row],[Quantity]]</f>
        <v>0</v>
      </c>
      <c r="N90" s="23">
        <f>Orders[[#This Row],[Gross_Sales]]-Orders[[#This Row],[Total_Cost]]-Orders[[#This Row],[Total_Discount]]</f>
        <v>11.050000000000002</v>
      </c>
      <c r="O90" s="23">
        <f>Orders[[#This Row],[Total_Cost]]+Orders[[#This Row],[Total_Discount]]</f>
        <v>12.35</v>
      </c>
      <c r="P90" t="str">
        <f>_xlfn.XLOOKUP(Orders[[#This Row],[Product_ID]], Products[Product_ID], Products[Product_Name])</f>
        <v>Sparkling Citrus</v>
      </c>
      <c r="Q90" t="str">
        <f>_xlfn.XLOOKUP(Orders[[#This Row],[Product_ID]], Products[Product_ID], Products[Category])</f>
        <v>Water</v>
      </c>
      <c r="R90" t="str">
        <f>_xlfn.XLOOKUP(Orders[[#This Row],[Customer_ID]], Customers[Customer_ID], Customers[County])</f>
        <v>Louth</v>
      </c>
      <c r="S90" t="str">
        <f>_xlfn.XLOOKUP(Orders[[#This Row],[Customer_ID]], Customers[Customer_ID], Customers[Customer_Type])</f>
        <v>Wholesaler</v>
      </c>
      <c r="T90" t="str">
        <f>_xlfn.XLOOKUP(Orders[[#This Row],[Customer_ID]], Customers[Customer_ID], Customers[Preferred_Channel])</f>
        <v>Phone</v>
      </c>
      <c r="U90" t="str">
        <f>_xlfn.XLOOKUP(Orders[[#This Row],[Product_ID]], Products[Product_ID], Products[Bottle_Size])</f>
        <v>330ml</v>
      </c>
    </row>
    <row r="91" spans="1:21" ht="15.75" customHeight="1">
      <c r="A91" s="2" t="s">
        <v>473</v>
      </c>
      <c r="B91" s="2">
        <f>DAY(Orders[[#This Row],[Order_Date]])</f>
        <v>6</v>
      </c>
      <c r="C91" s="20">
        <v>46179</v>
      </c>
      <c r="D91" s="2" t="s">
        <v>135</v>
      </c>
      <c r="E91" s="2" t="s">
        <v>84</v>
      </c>
      <c r="F91" s="2">
        <v>22</v>
      </c>
      <c r="G91" s="22">
        <v>0</v>
      </c>
      <c r="H91" s="22" t="s">
        <v>61</v>
      </c>
      <c r="I91">
        <f>_xlfn.XLOOKUP(Orders[[#This Row],[Product_ID]],Products[Product_ID], Products[Unit_Price])</f>
        <v>1.7</v>
      </c>
      <c r="J91">
        <f>Orders[[#This Row],[Quantity]]*Orders[[#This Row],[Unit_Price]]</f>
        <v>37.4</v>
      </c>
      <c r="K91">
        <f>_xlfn.XLOOKUP(Orders[[#This Row],[Product_ID]], Products[Product_ID], Products[Cost_Price])</f>
        <v>0.9</v>
      </c>
      <c r="L91">
        <f>Orders[[#This Row],[Cost_Price]]*Orders[[#This Row],[Quantity]]</f>
        <v>19.8</v>
      </c>
      <c r="M91">
        <f>Orders[[#This Row],[Unit_Price]]*Orders[[#This Row],[Discount]]*Orders[[#This Row],[Quantity]]</f>
        <v>0</v>
      </c>
      <c r="N91" s="23">
        <f>Orders[[#This Row],[Gross_Sales]]-Orders[[#This Row],[Total_Cost]]-Orders[[#This Row],[Total_Discount]]</f>
        <v>17.599999999999998</v>
      </c>
      <c r="O91" s="23">
        <f>Orders[[#This Row],[Total_Cost]]+Orders[[#This Row],[Total_Discount]]</f>
        <v>19.8</v>
      </c>
      <c r="P91" t="str">
        <f>_xlfn.XLOOKUP(Orders[[#This Row],[Product_ID]], Products[Product_ID], Products[Product_Name])</f>
        <v>Lemon Lime</v>
      </c>
      <c r="Q91" t="str">
        <f>_xlfn.XLOOKUP(Orders[[#This Row],[Product_ID]], Products[Product_ID], Products[Category])</f>
        <v>Soft Drink</v>
      </c>
      <c r="R91" t="str">
        <f>_xlfn.XLOOKUP(Orders[[#This Row],[Customer_ID]], Customers[Customer_ID], Customers[County])</f>
        <v>Galway</v>
      </c>
      <c r="S91" t="str">
        <f>_xlfn.XLOOKUP(Orders[[#This Row],[Customer_ID]], Customers[Customer_ID], Customers[Customer_Type])</f>
        <v>Hotel</v>
      </c>
      <c r="T91" t="str">
        <f>_xlfn.XLOOKUP(Orders[[#This Row],[Customer_ID]], Customers[Customer_ID], Customers[Preferred_Channel])</f>
        <v>Sales Rep</v>
      </c>
      <c r="U91" t="str">
        <f>_xlfn.XLOOKUP(Orders[[#This Row],[Product_ID]], Products[Product_ID], Products[Bottle_Size])</f>
        <v>500ml</v>
      </c>
    </row>
    <row r="92" spans="1:21" ht="15.75" customHeight="1">
      <c r="A92" s="2" t="s">
        <v>474</v>
      </c>
      <c r="B92" s="2">
        <f>DAY(Orders[[#This Row],[Order_Date]])</f>
        <v>14</v>
      </c>
      <c r="C92" s="20">
        <v>46187</v>
      </c>
      <c r="D92" s="2" t="s">
        <v>144</v>
      </c>
      <c r="E92" s="2" t="s">
        <v>41</v>
      </c>
      <c r="F92" s="2">
        <v>50</v>
      </c>
      <c r="G92" s="22">
        <v>0</v>
      </c>
      <c r="H92" s="22" t="s">
        <v>61</v>
      </c>
      <c r="I92">
        <f>_xlfn.XLOOKUP(Orders[[#This Row],[Product_ID]],Products[Product_ID], Products[Unit_Price])</f>
        <v>2.2000000000000002</v>
      </c>
      <c r="J92">
        <f>Orders[[#This Row],[Quantity]]*Orders[[#This Row],[Unit_Price]]</f>
        <v>110.00000000000001</v>
      </c>
      <c r="K92">
        <f>_xlfn.XLOOKUP(Orders[[#This Row],[Product_ID]], Products[Product_ID], Products[Cost_Price])</f>
        <v>1.2</v>
      </c>
      <c r="L92">
        <f>Orders[[#This Row],[Cost_Price]]*Orders[[#This Row],[Quantity]]</f>
        <v>60</v>
      </c>
      <c r="M92">
        <f>Orders[[#This Row],[Unit_Price]]*Orders[[#This Row],[Discount]]*Orders[[#This Row],[Quantity]]</f>
        <v>0</v>
      </c>
      <c r="N92" s="23">
        <f>Orders[[#This Row],[Gross_Sales]]-Orders[[#This Row],[Total_Cost]]-Orders[[#This Row],[Total_Discount]]</f>
        <v>50.000000000000014</v>
      </c>
      <c r="O92" s="23">
        <f>Orders[[#This Row],[Total_Cost]]+Orders[[#This Row],[Total_Discount]]</f>
        <v>60</v>
      </c>
      <c r="P92" t="str">
        <f>_xlfn.XLOOKUP(Orders[[#This Row],[Product_ID]], Products[Product_ID], Products[Product_Name])</f>
        <v>Peach Tea</v>
      </c>
      <c r="Q92" t="str">
        <f>_xlfn.XLOOKUP(Orders[[#This Row],[Product_ID]], Products[Product_ID], Products[Category])</f>
        <v>Tea</v>
      </c>
      <c r="R92" t="str">
        <f>_xlfn.XLOOKUP(Orders[[#This Row],[Customer_ID]], Customers[Customer_ID], Customers[County])</f>
        <v>Wexford</v>
      </c>
      <c r="S92" t="str">
        <f>_xlfn.XLOOKUP(Orders[[#This Row],[Customer_ID]], Customers[Customer_ID], Customers[Customer_Type])</f>
        <v>Wholesaler</v>
      </c>
      <c r="T92" t="str">
        <f>_xlfn.XLOOKUP(Orders[[#This Row],[Customer_ID]], Customers[Customer_ID], Customers[Preferred_Channel])</f>
        <v>Online</v>
      </c>
      <c r="U92" t="str">
        <f>_xlfn.XLOOKUP(Orders[[#This Row],[Product_ID]], Products[Product_ID], Products[Bottle_Size])</f>
        <v>500ml</v>
      </c>
    </row>
    <row r="93" spans="1:21" ht="15.75" customHeight="1">
      <c r="A93" s="2" t="s">
        <v>475</v>
      </c>
      <c r="B93" s="2">
        <f>DAY(Orders[[#This Row],[Order_Date]])</f>
        <v>12</v>
      </c>
      <c r="C93" s="20">
        <v>46185</v>
      </c>
      <c r="D93" s="2" t="s">
        <v>192</v>
      </c>
      <c r="E93" s="2" t="s">
        <v>57</v>
      </c>
      <c r="F93" s="2">
        <v>21</v>
      </c>
      <c r="G93" s="22">
        <v>0.05</v>
      </c>
      <c r="H93" s="22" t="s">
        <v>61</v>
      </c>
      <c r="I93">
        <f>_xlfn.XLOOKUP(Orders[[#This Row],[Product_ID]],Products[Product_ID], Products[Unit_Price])</f>
        <v>2</v>
      </c>
      <c r="J93">
        <f>Orders[[#This Row],[Quantity]]*Orders[[#This Row],[Unit_Price]]</f>
        <v>42</v>
      </c>
      <c r="K93">
        <f>_xlfn.XLOOKUP(Orders[[#This Row],[Product_ID]], Products[Product_ID], Products[Cost_Price])</f>
        <v>1</v>
      </c>
      <c r="L93">
        <f>Orders[[#This Row],[Cost_Price]]*Orders[[#This Row],[Quantity]]</f>
        <v>21</v>
      </c>
      <c r="M93">
        <f>Orders[[#This Row],[Unit_Price]]*Orders[[#This Row],[Discount]]*Orders[[#This Row],[Quantity]]</f>
        <v>2.1</v>
      </c>
      <c r="N93" s="23">
        <f>Orders[[#This Row],[Gross_Sales]]-Orders[[#This Row],[Total_Cost]]-Orders[[#This Row],[Total_Discount]]</f>
        <v>18.899999999999999</v>
      </c>
      <c r="O93" s="23">
        <f>Orders[[#This Row],[Total_Cost]]+Orders[[#This Row],[Total_Discount]]</f>
        <v>23.1</v>
      </c>
      <c r="P93" t="str">
        <f>_xlfn.XLOOKUP(Orders[[#This Row],[Product_ID]], Products[Product_ID], Products[Product_Name])</f>
        <v xml:space="preserve">Mineral Water
</v>
      </c>
      <c r="Q93" t="str">
        <f>_xlfn.XLOOKUP(Orders[[#This Row],[Product_ID]], Products[Product_ID], Products[Category])</f>
        <v>Water</v>
      </c>
      <c r="R93" t="str">
        <f>_xlfn.XLOOKUP(Orders[[#This Row],[Customer_ID]], Customers[Customer_ID], Customers[County])</f>
        <v>Offaly</v>
      </c>
      <c r="S93" t="str">
        <f>_xlfn.XLOOKUP(Orders[[#This Row],[Customer_ID]], Customers[Customer_ID], Customers[Customer_Type])</f>
        <v>Wholesaler</v>
      </c>
      <c r="T93" t="str">
        <f>_xlfn.XLOOKUP(Orders[[#This Row],[Customer_ID]], Customers[Customer_ID], Customers[Preferred_Channel])</f>
        <v>Online</v>
      </c>
      <c r="U93" t="str">
        <f>_xlfn.XLOOKUP(Orders[[#This Row],[Product_ID]], Products[Product_ID], Products[Bottle_Size])</f>
        <v>1.5L</v>
      </c>
    </row>
    <row r="94" spans="1:21" ht="15.75" customHeight="1">
      <c r="A94" s="2" t="s">
        <v>477</v>
      </c>
      <c r="B94" s="2">
        <f>DAY(Orders[[#This Row],[Order_Date]])</f>
        <v>20</v>
      </c>
      <c r="C94" s="20">
        <v>46193</v>
      </c>
      <c r="D94" s="2" t="s">
        <v>158</v>
      </c>
      <c r="E94" s="2" t="s">
        <v>134</v>
      </c>
      <c r="F94" s="2">
        <v>15</v>
      </c>
      <c r="G94" s="22">
        <v>0</v>
      </c>
      <c r="H94" s="22" t="s">
        <v>61</v>
      </c>
      <c r="I94">
        <f>_xlfn.XLOOKUP(Orders[[#This Row],[Product_ID]],Products[Product_ID], Products[Unit_Price])</f>
        <v>1.8</v>
      </c>
      <c r="J94">
        <f>Orders[[#This Row],[Quantity]]*Orders[[#This Row],[Unit_Price]]</f>
        <v>27</v>
      </c>
      <c r="K94">
        <f>_xlfn.XLOOKUP(Orders[[#This Row],[Product_ID]], Products[Product_ID], Products[Cost_Price])</f>
        <v>0.95</v>
      </c>
      <c r="L94">
        <f>Orders[[#This Row],[Cost_Price]]*Orders[[#This Row],[Quantity]]</f>
        <v>14.25</v>
      </c>
      <c r="M94">
        <f>Orders[[#This Row],[Unit_Price]]*Orders[[#This Row],[Discount]]*Orders[[#This Row],[Quantity]]</f>
        <v>0</v>
      </c>
      <c r="N94" s="23">
        <f>Orders[[#This Row],[Gross_Sales]]-Orders[[#This Row],[Total_Cost]]-Orders[[#This Row],[Total_Discount]]</f>
        <v>12.75</v>
      </c>
      <c r="O94" s="23">
        <f>Orders[[#This Row],[Total_Cost]]+Orders[[#This Row],[Total_Discount]]</f>
        <v>14.25</v>
      </c>
      <c r="P94" t="str">
        <f>_xlfn.XLOOKUP(Orders[[#This Row],[Product_ID]], Products[Product_ID], Products[Product_Name])</f>
        <v>Sparkling Citrus</v>
      </c>
      <c r="Q94" t="str">
        <f>_xlfn.XLOOKUP(Orders[[#This Row],[Product_ID]], Products[Product_ID], Products[Category])</f>
        <v>Water</v>
      </c>
      <c r="R94" t="str">
        <f>_xlfn.XLOOKUP(Orders[[#This Row],[Customer_ID]], Customers[Customer_ID], Customers[County])</f>
        <v>Donegal</v>
      </c>
      <c r="S94" t="str">
        <f>_xlfn.XLOOKUP(Orders[[#This Row],[Customer_ID]], Customers[Customer_ID], Customers[Customer_Type])</f>
        <v>Hotel</v>
      </c>
      <c r="T94" t="str">
        <f>_xlfn.XLOOKUP(Orders[[#This Row],[Customer_ID]], Customers[Customer_ID], Customers[Preferred_Channel])</f>
        <v>Email</v>
      </c>
      <c r="U94" t="str">
        <f>_xlfn.XLOOKUP(Orders[[#This Row],[Product_ID]], Products[Product_ID], Products[Bottle_Size])</f>
        <v>330ml</v>
      </c>
    </row>
    <row r="95" spans="1:21" ht="15.75" customHeight="1">
      <c r="A95" s="2" t="s">
        <v>478</v>
      </c>
      <c r="B95" s="2">
        <f>DAY(Orders[[#This Row],[Order_Date]])</f>
        <v>11</v>
      </c>
      <c r="C95" s="20">
        <v>46184</v>
      </c>
      <c r="D95" s="2" t="s">
        <v>261</v>
      </c>
      <c r="E95" s="2" t="s">
        <v>95</v>
      </c>
      <c r="F95" s="2">
        <v>18</v>
      </c>
      <c r="G95" s="22">
        <v>0.1</v>
      </c>
      <c r="H95" s="22" t="s">
        <v>61</v>
      </c>
      <c r="I95">
        <f>_xlfn.XLOOKUP(Orders[[#This Row],[Product_ID]],Products[Product_ID], Products[Unit_Price])</f>
        <v>2.5</v>
      </c>
      <c r="J95">
        <f>Orders[[#This Row],[Quantity]]*Orders[[#This Row],[Unit_Price]]</f>
        <v>45</v>
      </c>
      <c r="K95">
        <f>_xlfn.XLOOKUP(Orders[[#This Row],[Product_ID]], Products[Product_ID], Products[Cost_Price])</f>
        <v>1.4</v>
      </c>
      <c r="L95">
        <f>Orders[[#This Row],[Cost_Price]]*Orders[[#This Row],[Quantity]]</f>
        <v>25.2</v>
      </c>
      <c r="M95">
        <f>Orders[[#This Row],[Unit_Price]]*Orders[[#This Row],[Discount]]*Orders[[#This Row],[Quantity]]</f>
        <v>4.5</v>
      </c>
      <c r="N95" s="23">
        <f>Orders[[#This Row],[Gross_Sales]]-Orders[[#This Row],[Total_Cost]]-Orders[[#This Row],[Total_Discount]]</f>
        <v>15.3</v>
      </c>
      <c r="O95" s="23">
        <f>Orders[[#This Row],[Total_Cost]]+Orders[[#This Row],[Total_Discount]]</f>
        <v>29.7</v>
      </c>
      <c r="P95" t="str">
        <f>_xlfn.XLOOKUP(Orders[[#This Row],[Product_ID]], Products[Product_ID], Products[Product_Name])</f>
        <v>Energy Boost</v>
      </c>
      <c r="Q95" t="str">
        <f>_xlfn.XLOOKUP(Orders[[#This Row],[Product_ID]], Products[Product_ID], Products[Category])</f>
        <v>Energy Drink</v>
      </c>
      <c r="R95" t="str">
        <f>_xlfn.XLOOKUP(Orders[[#This Row],[Customer_ID]], Customers[Customer_ID], Customers[County])</f>
        <v>Sligo</v>
      </c>
      <c r="S95" t="str">
        <f>_xlfn.XLOOKUP(Orders[[#This Row],[Customer_ID]], Customers[Customer_ID], Customers[Customer_Type])</f>
        <v>Hotel</v>
      </c>
      <c r="T95" t="str">
        <f>_xlfn.XLOOKUP(Orders[[#This Row],[Customer_ID]], Customers[Customer_ID], Customers[Preferred_Channel])</f>
        <v>Distributor</v>
      </c>
      <c r="U95" t="str">
        <f>_xlfn.XLOOKUP(Orders[[#This Row],[Product_ID]], Products[Product_ID], Products[Bottle_Size])</f>
        <v>250ml</v>
      </c>
    </row>
    <row r="96" spans="1:21" ht="15.75" customHeight="1">
      <c r="A96" s="2" t="s">
        <v>479</v>
      </c>
      <c r="B96" s="2">
        <f>DAY(Orders[[#This Row],[Order_Date]])</f>
        <v>19</v>
      </c>
      <c r="C96" s="20">
        <v>46192</v>
      </c>
      <c r="D96" s="2" t="s">
        <v>270</v>
      </c>
      <c r="E96" s="2" t="s">
        <v>17</v>
      </c>
      <c r="F96" s="2">
        <v>34</v>
      </c>
      <c r="G96" s="22">
        <v>0</v>
      </c>
      <c r="H96" s="22" t="s">
        <v>49</v>
      </c>
      <c r="I96">
        <f>_xlfn.XLOOKUP(Orders[[#This Row],[Product_ID]],Products[Product_ID], Products[Unit_Price])</f>
        <v>1.2</v>
      </c>
      <c r="J96">
        <f>Orders[[#This Row],[Quantity]]*Orders[[#This Row],[Unit_Price]]</f>
        <v>40.799999999999997</v>
      </c>
      <c r="K96">
        <f>_xlfn.XLOOKUP(Orders[[#This Row],[Product_ID]], Products[Product_ID], Products[Cost_Price])</f>
        <v>0.6</v>
      </c>
      <c r="L96">
        <f>Orders[[#This Row],[Cost_Price]]*Orders[[#This Row],[Quantity]]</f>
        <v>20.399999999999999</v>
      </c>
      <c r="M96">
        <f>Orders[[#This Row],[Unit_Price]]*Orders[[#This Row],[Discount]]*Orders[[#This Row],[Quantity]]</f>
        <v>0</v>
      </c>
      <c r="N96" s="23">
        <f>Orders[[#This Row],[Gross_Sales]]-Orders[[#This Row],[Total_Cost]]-Orders[[#This Row],[Total_Discount]]</f>
        <v>20.399999999999999</v>
      </c>
      <c r="O96" s="23">
        <f>Orders[[#This Row],[Total_Cost]]+Orders[[#This Row],[Total_Discount]]</f>
        <v>20.399999999999999</v>
      </c>
      <c r="P96" t="str">
        <f>_xlfn.XLOOKUP(Orders[[#This Row],[Product_ID]], Products[Product_ID], Products[Product_Name])</f>
        <v>Still Water</v>
      </c>
      <c r="Q96" t="str">
        <f>_xlfn.XLOOKUP(Orders[[#This Row],[Product_ID]], Products[Product_ID], Products[Category])</f>
        <v>Water</v>
      </c>
      <c r="R96" t="str">
        <f>_xlfn.XLOOKUP(Orders[[#This Row],[Customer_ID]], Customers[Customer_ID], Customers[County])</f>
        <v>Mayo</v>
      </c>
      <c r="S96" t="str">
        <f>_xlfn.XLOOKUP(Orders[[#This Row],[Customer_ID]], Customers[Customer_ID], Customers[Customer_Type])</f>
        <v>Wholesaler</v>
      </c>
      <c r="T96" t="str">
        <f>_xlfn.XLOOKUP(Orders[[#This Row],[Customer_ID]], Customers[Customer_ID], Customers[Preferred_Channel])</f>
        <v>Online</v>
      </c>
      <c r="U96" t="str">
        <f>_xlfn.XLOOKUP(Orders[[#This Row],[Product_ID]], Products[Product_ID], Products[Bottle_Size])</f>
        <v>500ml</v>
      </c>
    </row>
    <row r="97" spans="1:21" ht="15.75" customHeight="1">
      <c r="A97" s="2" t="s">
        <v>481</v>
      </c>
      <c r="B97" s="2">
        <f>DAY(Orders[[#This Row],[Order_Date]])</f>
        <v>15</v>
      </c>
      <c r="C97" s="20">
        <v>46188</v>
      </c>
      <c r="D97" s="2" t="s">
        <v>113</v>
      </c>
      <c r="E97" s="2" t="s">
        <v>170</v>
      </c>
      <c r="F97" s="2">
        <v>38</v>
      </c>
      <c r="G97" s="22">
        <v>0</v>
      </c>
      <c r="H97" s="22" t="s">
        <v>61</v>
      </c>
      <c r="I97">
        <f>_xlfn.XLOOKUP(Orders[[#This Row],[Product_ID]],Products[Product_ID], Products[Unit_Price])</f>
        <v>1.9</v>
      </c>
      <c r="J97">
        <f>Orders[[#This Row],[Quantity]]*Orders[[#This Row],[Unit_Price]]</f>
        <v>72.2</v>
      </c>
      <c r="K97">
        <f>_xlfn.XLOOKUP(Orders[[#This Row],[Product_ID]], Products[Product_ID], Products[Cost_Price])</f>
        <v>0.95</v>
      </c>
      <c r="L97">
        <f>Orders[[#This Row],[Cost_Price]]*Orders[[#This Row],[Quantity]]</f>
        <v>36.1</v>
      </c>
      <c r="M97">
        <f>Orders[[#This Row],[Unit_Price]]*Orders[[#This Row],[Discount]]*Orders[[#This Row],[Quantity]]</f>
        <v>0</v>
      </c>
      <c r="N97" s="23">
        <f>Orders[[#This Row],[Gross_Sales]]-Orders[[#This Row],[Total_Cost]]-Orders[[#This Row],[Total_Discount]]</f>
        <v>36.1</v>
      </c>
      <c r="O97" s="23">
        <f>Orders[[#This Row],[Total_Cost]]+Orders[[#This Row],[Total_Discount]]</f>
        <v>36.1</v>
      </c>
      <c r="P97" t="str">
        <f>_xlfn.XLOOKUP(Orders[[#This Row],[Product_ID]], Products[Product_ID], Products[Product_Name])</f>
        <v>Vitamin Water</v>
      </c>
      <c r="Q97" t="str">
        <f>_xlfn.XLOOKUP(Orders[[#This Row],[Product_ID]], Products[Product_ID], Products[Category])</f>
        <v>Water</v>
      </c>
      <c r="R97" t="str">
        <f>_xlfn.XLOOKUP(Orders[[#This Row],[Customer_ID]], Customers[Customer_ID], Customers[County])</f>
        <v>Kerry</v>
      </c>
      <c r="S97" t="str">
        <f>_xlfn.XLOOKUP(Orders[[#This Row],[Customer_ID]], Customers[Customer_ID], Customers[Customer_Type])</f>
        <v>Retailer</v>
      </c>
      <c r="T97" t="str">
        <f>_xlfn.XLOOKUP(Orders[[#This Row],[Customer_ID]], Customers[Customer_ID], Customers[Preferred_Channel])</f>
        <v>Online</v>
      </c>
      <c r="U97" t="str">
        <f>_xlfn.XLOOKUP(Orders[[#This Row],[Product_ID]], Products[Product_ID], Products[Bottle_Size])</f>
        <v>500ml</v>
      </c>
    </row>
    <row r="98" spans="1:21" ht="15.75" customHeight="1">
      <c r="A98" s="2" t="s">
        <v>483</v>
      </c>
      <c r="B98" s="2">
        <f>DAY(Orders[[#This Row],[Order_Date]])</f>
        <v>21</v>
      </c>
      <c r="C98" s="20">
        <v>46194</v>
      </c>
      <c r="D98" s="2" t="s">
        <v>93</v>
      </c>
      <c r="E98" s="2" t="s">
        <v>151</v>
      </c>
      <c r="F98" s="2">
        <v>36</v>
      </c>
      <c r="G98" s="22">
        <v>0</v>
      </c>
      <c r="H98" s="22" t="s">
        <v>61</v>
      </c>
      <c r="I98">
        <f>_xlfn.XLOOKUP(Orders[[#This Row],[Product_ID]],Products[Product_ID], Products[Unit_Price])</f>
        <v>1.5</v>
      </c>
      <c r="J98">
        <f>Orders[[#This Row],[Quantity]]*Orders[[#This Row],[Unit_Price]]</f>
        <v>54</v>
      </c>
      <c r="K98">
        <f>_xlfn.XLOOKUP(Orders[[#This Row],[Product_ID]], Products[Product_ID], Products[Cost_Price])</f>
        <v>0.8</v>
      </c>
      <c r="L98">
        <f>Orders[[#This Row],[Cost_Price]]*Orders[[#This Row],[Quantity]]</f>
        <v>28.8</v>
      </c>
      <c r="M98">
        <f>Orders[[#This Row],[Unit_Price]]*Orders[[#This Row],[Discount]]*Orders[[#This Row],[Quantity]]</f>
        <v>0</v>
      </c>
      <c r="N98" s="23">
        <f>Orders[[#This Row],[Gross_Sales]]-Orders[[#This Row],[Total_Cost]]-Orders[[#This Row],[Total_Discount]]</f>
        <v>25.2</v>
      </c>
      <c r="O98" s="23">
        <f>Orders[[#This Row],[Total_Cost]]+Orders[[#This Row],[Total_Discount]]</f>
        <v>28.8</v>
      </c>
      <c r="P98" t="str">
        <f>_xlfn.XLOOKUP(Orders[[#This Row],[Product_ID]], Products[Product_ID], Products[Product_Name])</f>
        <v>Kids Juice</v>
      </c>
      <c r="Q98" t="str">
        <f>_xlfn.XLOOKUP(Orders[[#This Row],[Product_ID]], Products[Product_ID], Products[Category])</f>
        <v>Juice</v>
      </c>
      <c r="R98" t="str">
        <f>_xlfn.XLOOKUP(Orders[[#This Row],[Customer_ID]], Customers[Customer_ID], Customers[County])</f>
        <v>Meath</v>
      </c>
      <c r="S98" t="str">
        <f>_xlfn.XLOOKUP(Orders[[#This Row],[Customer_ID]], Customers[Customer_ID], Customers[Customer_Type])</f>
        <v>Restaurant</v>
      </c>
      <c r="T98" t="str">
        <f>_xlfn.XLOOKUP(Orders[[#This Row],[Customer_ID]], Customers[Customer_ID], Customers[Preferred_Channel])</f>
        <v>Online</v>
      </c>
      <c r="U98" t="str">
        <f>_xlfn.XLOOKUP(Orders[[#This Row],[Product_ID]], Products[Product_ID], Products[Bottle_Size])</f>
        <v>250ml</v>
      </c>
    </row>
    <row r="99" spans="1:21" ht="15.75" customHeight="1">
      <c r="A99" s="2" t="s">
        <v>485</v>
      </c>
      <c r="B99" s="2">
        <f>DAY(Orders[[#This Row],[Order_Date]])</f>
        <v>7</v>
      </c>
      <c r="C99" s="20">
        <v>46180</v>
      </c>
      <c r="D99" s="2" t="s">
        <v>344</v>
      </c>
      <c r="E99" s="2" t="s">
        <v>84</v>
      </c>
      <c r="F99" s="2">
        <v>30</v>
      </c>
      <c r="G99" s="22">
        <v>0</v>
      </c>
      <c r="H99" s="22" t="s">
        <v>61</v>
      </c>
      <c r="I99">
        <f>_xlfn.XLOOKUP(Orders[[#This Row],[Product_ID]],Products[Product_ID], Products[Unit_Price])</f>
        <v>1.7</v>
      </c>
      <c r="J99">
        <f>Orders[[#This Row],[Quantity]]*Orders[[#This Row],[Unit_Price]]</f>
        <v>51</v>
      </c>
      <c r="K99">
        <f>_xlfn.XLOOKUP(Orders[[#This Row],[Product_ID]], Products[Product_ID], Products[Cost_Price])</f>
        <v>0.9</v>
      </c>
      <c r="L99">
        <f>Orders[[#This Row],[Cost_Price]]*Orders[[#This Row],[Quantity]]</f>
        <v>27</v>
      </c>
      <c r="M99">
        <f>Orders[[#This Row],[Unit_Price]]*Orders[[#This Row],[Discount]]*Orders[[#This Row],[Quantity]]</f>
        <v>0</v>
      </c>
      <c r="N99" s="23">
        <f>Orders[[#This Row],[Gross_Sales]]-Orders[[#This Row],[Total_Cost]]-Orders[[#This Row],[Total_Discount]]</f>
        <v>24</v>
      </c>
      <c r="O99" s="23">
        <f>Orders[[#This Row],[Total_Cost]]+Orders[[#This Row],[Total_Discount]]</f>
        <v>27</v>
      </c>
      <c r="P99" t="str">
        <f>_xlfn.XLOOKUP(Orders[[#This Row],[Product_ID]], Products[Product_ID], Products[Product_Name])</f>
        <v>Lemon Lime</v>
      </c>
      <c r="Q99" t="str">
        <f>_xlfn.XLOOKUP(Orders[[#This Row],[Product_ID]], Products[Product_ID], Products[Category])</f>
        <v>Soft Drink</v>
      </c>
      <c r="R99" t="str">
        <f>_xlfn.XLOOKUP(Orders[[#This Row],[Customer_ID]], Customers[Customer_ID], Customers[County])</f>
        <v>Sligo</v>
      </c>
      <c r="S99" t="str">
        <f>_xlfn.XLOOKUP(Orders[[#This Row],[Customer_ID]], Customers[Customer_ID], Customers[Customer_Type])</f>
        <v>Hotel</v>
      </c>
      <c r="T99" t="str">
        <f>_xlfn.XLOOKUP(Orders[[#This Row],[Customer_ID]], Customers[Customer_ID], Customers[Preferred_Channel])</f>
        <v>Distributor</v>
      </c>
      <c r="U99" t="str">
        <f>_xlfn.XLOOKUP(Orders[[#This Row],[Product_ID]], Products[Product_ID], Products[Bottle_Size])</f>
        <v>500ml</v>
      </c>
    </row>
    <row r="100" spans="1:21" ht="15.75" customHeight="1">
      <c r="A100" s="2" t="s">
        <v>487</v>
      </c>
      <c r="B100" s="2">
        <f>DAY(Orders[[#This Row],[Order_Date]])</f>
        <v>25</v>
      </c>
      <c r="C100" s="20">
        <v>46198</v>
      </c>
      <c r="D100" s="2" t="s">
        <v>165</v>
      </c>
      <c r="E100" s="2" t="s">
        <v>50</v>
      </c>
      <c r="F100" s="2">
        <v>9</v>
      </c>
      <c r="G100" s="22">
        <v>0</v>
      </c>
      <c r="H100" s="22" t="s">
        <v>61</v>
      </c>
      <c r="I100">
        <f>_xlfn.XLOOKUP(Orders[[#This Row],[Product_ID]],Products[Product_ID], Products[Unit_Price])</f>
        <v>1.6</v>
      </c>
      <c r="J100">
        <f>Orders[[#This Row],[Quantity]]*Orders[[#This Row],[Unit_Price]]</f>
        <v>14.4</v>
      </c>
      <c r="K100">
        <f>_xlfn.XLOOKUP(Orders[[#This Row],[Product_ID]], Products[Product_ID], Products[Cost_Price])</f>
        <v>0.85</v>
      </c>
      <c r="L100">
        <f>Orders[[#This Row],[Cost_Price]]*Orders[[#This Row],[Quantity]]</f>
        <v>7.6499999999999995</v>
      </c>
      <c r="M100">
        <f>Orders[[#This Row],[Unit_Price]]*Orders[[#This Row],[Discount]]*Orders[[#This Row],[Quantity]]</f>
        <v>0</v>
      </c>
      <c r="N100" s="23">
        <f>Orders[[#This Row],[Gross_Sales]]-Orders[[#This Row],[Total_Cost]]-Orders[[#This Row],[Total_Discount]]</f>
        <v>6.7500000000000009</v>
      </c>
      <c r="O100" s="23">
        <f>Orders[[#This Row],[Total_Cost]]+Orders[[#This Row],[Total_Discount]]</f>
        <v>7.6499999999999995</v>
      </c>
      <c r="P100" t="str">
        <f>_xlfn.XLOOKUP(Orders[[#This Row],[Product_ID]], Products[Product_ID], Products[Product_Name])</f>
        <v>Orange Soda</v>
      </c>
      <c r="Q100" t="str">
        <f>_xlfn.XLOOKUP(Orders[[#This Row],[Product_ID]], Products[Product_ID], Products[Category])</f>
        <v>Soft Drink</v>
      </c>
      <c r="R100" t="str">
        <f>_xlfn.XLOOKUP(Orders[[#This Row],[Customer_ID]], Customers[Customer_ID], Customers[County])</f>
        <v>Clare</v>
      </c>
      <c r="S100" t="str">
        <f>_xlfn.XLOOKUP(Orders[[#This Row],[Customer_ID]], Customers[Customer_ID], Customers[Customer_Type])</f>
        <v>Restaurant</v>
      </c>
      <c r="T100" t="str">
        <f>_xlfn.XLOOKUP(Orders[[#This Row],[Customer_ID]], Customers[Customer_ID], Customers[Preferred_Channel])</f>
        <v>Sales Rep</v>
      </c>
      <c r="U100" t="str">
        <f>_xlfn.XLOOKUP(Orders[[#This Row],[Product_ID]], Products[Product_ID], Products[Bottle_Size])</f>
        <v>500ml</v>
      </c>
    </row>
    <row r="101" spans="1:21" ht="15.75" customHeight="1">
      <c r="A101" s="2" t="s">
        <v>488</v>
      </c>
      <c r="B101" s="2">
        <f>DAY(Orders[[#This Row],[Order_Date]])</f>
        <v>20</v>
      </c>
      <c r="C101" s="20">
        <v>46193</v>
      </c>
      <c r="D101" s="2" t="s">
        <v>246</v>
      </c>
      <c r="E101" s="2" t="s">
        <v>41</v>
      </c>
      <c r="F101" s="2">
        <v>13</v>
      </c>
      <c r="G101" s="22">
        <v>0.05</v>
      </c>
      <c r="H101" s="22" t="s">
        <v>61</v>
      </c>
      <c r="I101">
        <f>_xlfn.XLOOKUP(Orders[[#This Row],[Product_ID]],Products[Product_ID], Products[Unit_Price])</f>
        <v>2.2000000000000002</v>
      </c>
      <c r="J101">
        <f>Orders[[#This Row],[Quantity]]*Orders[[#This Row],[Unit_Price]]</f>
        <v>28.6</v>
      </c>
      <c r="K101">
        <f>_xlfn.XLOOKUP(Orders[[#This Row],[Product_ID]], Products[Product_ID], Products[Cost_Price])</f>
        <v>1.2</v>
      </c>
      <c r="L101">
        <f>Orders[[#This Row],[Cost_Price]]*Orders[[#This Row],[Quantity]]</f>
        <v>15.6</v>
      </c>
      <c r="M101">
        <f>Orders[[#This Row],[Unit_Price]]*Orders[[#This Row],[Discount]]*Orders[[#This Row],[Quantity]]</f>
        <v>1.4300000000000002</v>
      </c>
      <c r="N101" s="23">
        <f>Orders[[#This Row],[Gross_Sales]]-Orders[[#This Row],[Total_Cost]]-Orders[[#This Row],[Total_Discount]]</f>
        <v>11.570000000000002</v>
      </c>
      <c r="O101" s="23">
        <f>Orders[[#This Row],[Total_Cost]]+Orders[[#This Row],[Total_Discount]]</f>
        <v>17.03</v>
      </c>
      <c r="P101" t="str">
        <f>_xlfn.XLOOKUP(Orders[[#This Row],[Product_ID]], Products[Product_ID], Products[Product_Name])</f>
        <v>Peach Tea</v>
      </c>
      <c r="Q101" t="str">
        <f>_xlfn.XLOOKUP(Orders[[#This Row],[Product_ID]], Products[Product_ID], Products[Category])</f>
        <v>Tea</v>
      </c>
      <c r="R101" t="str">
        <f>_xlfn.XLOOKUP(Orders[[#This Row],[Customer_ID]], Customers[Customer_ID], Customers[County])</f>
        <v>Wexford</v>
      </c>
      <c r="S101" t="str">
        <f>_xlfn.XLOOKUP(Orders[[#This Row],[Customer_ID]], Customers[Customer_ID], Customers[Customer_Type])</f>
        <v>Retailer</v>
      </c>
      <c r="T101" t="str">
        <f>_xlfn.XLOOKUP(Orders[[#This Row],[Customer_ID]], Customers[Customer_ID], Customers[Preferred_Channel])</f>
        <v>Phone</v>
      </c>
      <c r="U101" t="str">
        <f>_xlfn.XLOOKUP(Orders[[#This Row],[Product_ID]], Products[Product_ID], Products[Bottle_Size])</f>
        <v>500ml</v>
      </c>
    </row>
    <row r="102" spans="1:21" ht="15.75" customHeight="1">
      <c r="A102" s="2" t="s">
        <v>491</v>
      </c>
      <c r="B102" s="2">
        <f>DAY(Orders[[#This Row],[Order_Date]])</f>
        <v>6</v>
      </c>
      <c r="C102" s="20">
        <v>46179</v>
      </c>
      <c r="D102" s="2" t="s">
        <v>190</v>
      </c>
      <c r="E102" s="2" t="s">
        <v>117</v>
      </c>
      <c r="F102" s="2">
        <v>35</v>
      </c>
      <c r="G102" s="22">
        <v>0.05</v>
      </c>
      <c r="H102" s="22" t="s">
        <v>61</v>
      </c>
      <c r="I102">
        <f>_xlfn.XLOOKUP(Orders[[#This Row],[Product_ID]],Products[Product_ID], Products[Unit_Price])</f>
        <v>1.9</v>
      </c>
      <c r="J102">
        <f>Orders[[#This Row],[Quantity]]*Orders[[#This Row],[Unit_Price]]</f>
        <v>66.5</v>
      </c>
      <c r="K102">
        <f>_xlfn.XLOOKUP(Orders[[#This Row],[Product_ID]], Products[Product_ID], Products[Cost_Price])</f>
        <v>1</v>
      </c>
      <c r="L102">
        <f>Orders[[#This Row],[Cost_Price]]*Orders[[#This Row],[Quantity]]</f>
        <v>35</v>
      </c>
      <c r="M102">
        <f>Orders[[#This Row],[Unit_Price]]*Orders[[#This Row],[Discount]]*Orders[[#This Row],[Quantity]]</f>
        <v>3.3250000000000002</v>
      </c>
      <c r="N102" s="23">
        <f>Orders[[#This Row],[Gross_Sales]]-Orders[[#This Row],[Total_Cost]]-Orders[[#This Row],[Total_Discount]]</f>
        <v>28.175000000000001</v>
      </c>
      <c r="O102" s="23">
        <f>Orders[[#This Row],[Total_Cost]]+Orders[[#This Row],[Total_Discount]]</f>
        <v>38.325000000000003</v>
      </c>
      <c r="P102" t="str">
        <f>_xlfn.XLOOKUP(Orders[[#This Row],[Product_ID]], Products[Product_ID], Products[Product_Name])</f>
        <v>Tonic Water</v>
      </c>
      <c r="Q102" t="str">
        <f>_xlfn.XLOOKUP(Orders[[#This Row],[Product_ID]], Products[Product_ID], Products[Category])</f>
        <v>Water</v>
      </c>
      <c r="R102" t="str">
        <f>_xlfn.XLOOKUP(Orders[[#This Row],[Customer_ID]], Customers[Customer_ID], Customers[County])</f>
        <v>Galway</v>
      </c>
      <c r="S102" t="str">
        <f>_xlfn.XLOOKUP(Orders[[#This Row],[Customer_ID]], Customers[Customer_ID], Customers[Customer_Type])</f>
        <v>Wholesaler</v>
      </c>
      <c r="T102" t="str">
        <f>_xlfn.XLOOKUP(Orders[[#This Row],[Customer_ID]], Customers[Customer_ID], Customers[Preferred_Channel])</f>
        <v>Phone</v>
      </c>
      <c r="U102" t="str">
        <f>_xlfn.XLOOKUP(Orders[[#This Row],[Product_ID]], Products[Product_ID], Products[Bottle_Size])</f>
        <v>1L</v>
      </c>
    </row>
    <row r="103" spans="1:21" ht="15.75" customHeight="1">
      <c r="A103" s="2" t="s">
        <v>493</v>
      </c>
      <c r="B103" s="2">
        <f>DAY(Orders[[#This Row],[Order_Date]])</f>
        <v>16</v>
      </c>
      <c r="C103" s="20">
        <v>46189</v>
      </c>
      <c r="D103" s="2" t="s">
        <v>56</v>
      </c>
      <c r="E103" s="2" t="s">
        <v>41</v>
      </c>
      <c r="F103" s="2">
        <v>32</v>
      </c>
      <c r="G103" s="22">
        <v>0</v>
      </c>
      <c r="H103" s="22" t="s">
        <v>61</v>
      </c>
      <c r="I103">
        <f>_xlfn.XLOOKUP(Orders[[#This Row],[Product_ID]],Products[Product_ID], Products[Unit_Price])</f>
        <v>2.2000000000000002</v>
      </c>
      <c r="J103">
        <f>Orders[[#This Row],[Quantity]]*Orders[[#This Row],[Unit_Price]]</f>
        <v>70.400000000000006</v>
      </c>
      <c r="K103">
        <f>_xlfn.XLOOKUP(Orders[[#This Row],[Product_ID]], Products[Product_ID], Products[Cost_Price])</f>
        <v>1.2</v>
      </c>
      <c r="L103">
        <f>Orders[[#This Row],[Cost_Price]]*Orders[[#This Row],[Quantity]]</f>
        <v>38.4</v>
      </c>
      <c r="M103">
        <f>Orders[[#This Row],[Unit_Price]]*Orders[[#This Row],[Discount]]*Orders[[#This Row],[Quantity]]</f>
        <v>0</v>
      </c>
      <c r="N103" s="23">
        <f>Orders[[#This Row],[Gross_Sales]]-Orders[[#This Row],[Total_Cost]]-Orders[[#This Row],[Total_Discount]]</f>
        <v>32.000000000000007</v>
      </c>
      <c r="O103" s="23">
        <f>Orders[[#This Row],[Total_Cost]]+Orders[[#This Row],[Total_Discount]]</f>
        <v>38.4</v>
      </c>
      <c r="P103" t="str">
        <f>_xlfn.XLOOKUP(Orders[[#This Row],[Product_ID]], Products[Product_ID], Products[Product_Name])</f>
        <v>Peach Tea</v>
      </c>
      <c r="Q103" t="str">
        <f>_xlfn.XLOOKUP(Orders[[#This Row],[Product_ID]], Products[Product_ID], Products[Category])</f>
        <v>Tea</v>
      </c>
      <c r="R103" t="str">
        <f>_xlfn.XLOOKUP(Orders[[#This Row],[Customer_ID]], Customers[Customer_ID], Customers[County])</f>
        <v>Offaly</v>
      </c>
      <c r="S103" t="str">
        <f>_xlfn.XLOOKUP(Orders[[#This Row],[Customer_ID]], Customers[Customer_ID], Customers[Customer_Type])</f>
        <v>Café</v>
      </c>
      <c r="T103" t="str">
        <f>_xlfn.XLOOKUP(Orders[[#This Row],[Customer_ID]], Customers[Customer_ID], Customers[Preferred_Channel])</f>
        <v>Sales Rep</v>
      </c>
      <c r="U103" t="str">
        <f>_xlfn.XLOOKUP(Orders[[#This Row],[Product_ID]], Products[Product_ID], Products[Bottle_Size])</f>
        <v>500ml</v>
      </c>
    </row>
    <row r="104" spans="1:21" ht="15.75" customHeight="1">
      <c r="A104" s="2" t="s">
        <v>494</v>
      </c>
      <c r="B104" s="2">
        <f>DAY(Orders[[#This Row],[Order_Date]])</f>
        <v>24</v>
      </c>
      <c r="C104" s="20">
        <v>46197</v>
      </c>
      <c r="D104" s="2" t="s">
        <v>241</v>
      </c>
      <c r="E104" s="2" t="s">
        <v>170</v>
      </c>
      <c r="F104" s="2">
        <v>39</v>
      </c>
      <c r="G104" s="22">
        <v>0</v>
      </c>
      <c r="H104" s="22" t="s">
        <v>61</v>
      </c>
      <c r="I104">
        <f>_xlfn.XLOOKUP(Orders[[#This Row],[Product_ID]],Products[Product_ID], Products[Unit_Price])</f>
        <v>1.9</v>
      </c>
      <c r="J104">
        <f>Orders[[#This Row],[Quantity]]*Orders[[#This Row],[Unit_Price]]</f>
        <v>74.099999999999994</v>
      </c>
      <c r="K104">
        <f>_xlfn.XLOOKUP(Orders[[#This Row],[Product_ID]], Products[Product_ID], Products[Cost_Price])</f>
        <v>0.95</v>
      </c>
      <c r="L104">
        <f>Orders[[#This Row],[Cost_Price]]*Orders[[#This Row],[Quantity]]</f>
        <v>37.049999999999997</v>
      </c>
      <c r="M104">
        <f>Orders[[#This Row],[Unit_Price]]*Orders[[#This Row],[Discount]]*Orders[[#This Row],[Quantity]]</f>
        <v>0</v>
      </c>
      <c r="N104" s="23">
        <f>Orders[[#This Row],[Gross_Sales]]-Orders[[#This Row],[Total_Cost]]-Orders[[#This Row],[Total_Discount]]</f>
        <v>37.049999999999997</v>
      </c>
      <c r="O104" s="23">
        <f>Orders[[#This Row],[Total_Cost]]+Orders[[#This Row],[Total_Discount]]</f>
        <v>37.049999999999997</v>
      </c>
      <c r="P104" t="str">
        <f>_xlfn.XLOOKUP(Orders[[#This Row],[Product_ID]], Products[Product_ID], Products[Product_Name])</f>
        <v>Vitamin Water</v>
      </c>
      <c r="Q104" t="str">
        <f>_xlfn.XLOOKUP(Orders[[#This Row],[Product_ID]], Products[Product_ID], Products[Category])</f>
        <v>Water</v>
      </c>
      <c r="R104" t="str">
        <f>_xlfn.XLOOKUP(Orders[[#This Row],[Customer_ID]], Customers[Customer_ID], Customers[County])</f>
        <v>Kildare</v>
      </c>
      <c r="S104" t="str">
        <f>_xlfn.XLOOKUP(Orders[[#This Row],[Customer_ID]], Customers[Customer_ID], Customers[Customer_Type])</f>
        <v>Retailer</v>
      </c>
      <c r="T104" t="str">
        <f>_xlfn.XLOOKUP(Orders[[#This Row],[Customer_ID]], Customers[Customer_ID], Customers[Preferred_Channel])</f>
        <v>Online</v>
      </c>
      <c r="U104" t="str">
        <f>_xlfn.XLOOKUP(Orders[[#This Row],[Product_ID]], Products[Product_ID], Products[Bottle_Size])</f>
        <v>500ml</v>
      </c>
    </row>
    <row r="105" spans="1:21" ht="15.75" customHeight="1">
      <c r="A105" s="2" t="s">
        <v>495</v>
      </c>
      <c r="B105" s="2">
        <f>DAY(Orders[[#This Row],[Order_Date]])</f>
        <v>15</v>
      </c>
      <c r="C105" s="20">
        <v>46188</v>
      </c>
      <c r="D105" s="2" t="s">
        <v>211</v>
      </c>
      <c r="E105" s="2" t="s">
        <v>108</v>
      </c>
      <c r="F105" s="2">
        <v>15</v>
      </c>
      <c r="G105" s="22">
        <v>0.05</v>
      </c>
      <c r="H105" s="22" t="s">
        <v>61</v>
      </c>
      <c r="I105">
        <f>_xlfn.XLOOKUP(Orders[[#This Row],[Product_ID]],Products[Product_ID], Products[Unit_Price])</f>
        <v>2.1</v>
      </c>
      <c r="J105">
        <f>Orders[[#This Row],[Quantity]]*Orders[[#This Row],[Unit_Price]]</f>
        <v>31.5</v>
      </c>
      <c r="K105">
        <f>_xlfn.XLOOKUP(Orders[[#This Row],[Product_ID]], Products[Product_ID], Products[Cost_Price])</f>
        <v>1.2</v>
      </c>
      <c r="L105">
        <f>Orders[[#This Row],[Cost_Price]]*Orders[[#This Row],[Quantity]]</f>
        <v>18</v>
      </c>
      <c r="M105">
        <f>Orders[[#This Row],[Unit_Price]]*Orders[[#This Row],[Discount]]*Orders[[#This Row],[Quantity]]</f>
        <v>1.5750000000000002</v>
      </c>
      <c r="N105" s="23">
        <f>Orders[[#This Row],[Gross_Sales]]-Orders[[#This Row],[Total_Cost]]-Orders[[#This Row],[Total_Discount]]</f>
        <v>11.925000000000001</v>
      </c>
      <c r="O105" s="23">
        <f>Orders[[#This Row],[Total_Cost]]+Orders[[#This Row],[Total_Discount]]</f>
        <v>19.574999999999999</v>
      </c>
      <c r="P105" t="str">
        <f>_xlfn.XLOOKUP(Orders[[#This Row],[Product_ID]], Products[Product_ID], Products[Product_Name])</f>
        <v>Berry Splash</v>
      </c>
      <c r="Q105" t="str">
        <f>_xlfn.XLOOKUP(Orders[[#This Row],[Product_ID]], Products[Product_ID], Products[Category])</f>
        <v>Juice</v>
      </c>
      <c r="R105" t="str">
        <f>_xlfn.XLOOKUP(Orders[[#This Row],[Customer_ID]], Customers[Customer_ID], Customers[County])</f>
        <v>Dublin</v>
      </c>
      <c r="S105" t="str">
        <f>_xlfn.XLOOKUP(Orders[[#This Row],[Customer_ID]], Customers[Customer_ID], Customers[Customer_Type])</f>
        <v>Retailer</v>
      </c>
      <c r="T105" t="str">
        <f>_xlfn.XLOOKUP(Orders[[#This Row],[Customer_ID]], Customers[Customer_ID], Customers[Preferred_Channel])</f>
        <v>Phone</v>
      </c>
      <c r="U105" t="str">
        <f>_xlfn.XLOOKUP(Orders[[#This Row],[Product_ID]], Products[Product_ID], Products[Bottle_Size])</f>
        <v>500ml</v>
      </c>
    </row>
    <row r="106" spans="1:21" ht="15.75" customHeight="1">
      <c r="A106" s="2" t="s">
        <v>496</v>
      </c>
      <c r="B106" s="2">
        <f>DAY(Orders[[#This Row],[Order_Date]])</f>
        <v>20</v>
      </c>
      <c r="C106" s="20">
        <v>46193</v>
      </c>
      <c r="D106" s="2" t="s">
        <v>214</v>
      </c>
      <c r="E106" s="2" t="s">
        <v>139</v>
      </c>
      <c r="F106" s="2">
        <v>19</v>
      </c>
      <c r="G106" s="22">
        <v>0</v>
      </c>
      <c r="H106" s="22" t="s">
        <v>61</v>
      </c>
      <c r="I106">
        <f>_xlfn.XLOOKUP(Orders[[#This Row],[Product_ID]],Products[Product_ID], Products[Unit_Price])</f>
        <v>2.2999999999999998</v>
      </c>
      <c r="J106">
        <f>Orders[[#This Row],[Quantity]]*Orders[[#This Row],[Unit_Price]]</f>
        <v>43.699999999999996</v>
      </c>
      <c r="K106">
        <f>_xlfn.XLOOKUP(Orders[[#This Row],[Product_ID]], Products[Product_ID], Products[Cost_Price])</f>
        <v>1.25</v>
      </c>
      <c r="L106">
        <f>Orders[[#This Row],[Cost_Price]]*Orders[[#This Row],[Quantity]]</f>
        <v>23.75</v>
      </c>
      <c r="M106">
        <f>Orders[[#This Row],[Unit_Price]]*Orders[[#This Row],[Discount]]*Orders[[#This Row],[Quantity]]</f>
        <v>0</v>
      </c>
      <c r="N106" s="23">
        <f>Orders[[#This Row],[Gross_Sales]]-Orders[[#This Row],[Total_Cost]]-Orders[[#This Row],[Total_Discount]]</f>
        <v>19.949999999999996</v>
      </c>
      <c r="O106" s="23">
        <f>Orders[[#This Row],[Total_Cost]]+Orders[[#This Row],[Total_Discount]]</f>
        <v>23.75</v>
      </c>
      <c r="P106" t="str">
        <f>_xlfn.XLOOKUP(Orders[[#This Row],[Product_ID]], Products[Product_ID], Products[Product_Name])</f>
        <v>Mango Juice</v>
      </c>
      <c r="Q106" t="str">
        <f>_xlfn.XLOOKUP(Orders[[#This Row],[Product_ID]], Products[Product_ID], Products[Category])</f>
        <v>Juice</v>
      </c>
      <c r="R106" t="str">
        <f>_xlfn.XLOOKUP(Orders[[#This Row],[Customer_ID]], Customers[Customer_ID], Customers[County])</f>
        <v>Waterford</v>
      </c>
      <c r="S106" t="str">
        <f>_xlfn.XLOOKUP(Orders[[#This Row],[Customer_ID]], Customers[Customer_ID], Customers[Customer_Type])</f>
        <v>Hotel</v>
      </c>
      <c r="T106" t="str">
        <f>_xlfn.XLOOKUP(Orders[[#This Row],[Customer_ID]], Customers[Customer_ID], Customers[Preferred_Channel])</f>
        <v>Distributor</v>
      </c>
      <c r="U106" t="str">
        <f>_xlfn.XLOOKUP(Orders[[#This Row],[Product_ID]], Products[Product_ID], Products[Bottle_Size])</f>
        <v>1L</v>
      </c>
    </row>
    <row r="107" spans="1:21" ht="15.75" customHeight="1">
      <c r="A107" s="2" t="s">
        <v>497</v>
      </c>
      <c r="B107" s="2">
        <f>DAY(Orders[[#This Row],[Order_Date]])</f>
        <v>27</v>
      </c>
      <c r="C107" s="20">
        <v>46200</v>
      </c>
      <c r="D107" s="2" t="s">
        <v>257</v>
      </c>
      <c r="E107" s="2" t="s">
        <v>151</v>
      </c>
      <c r="F107" s="2">
        <v>38</v>
      </c>
      <c r="G107" s="22">
        <v>0.1</v>
      </c>
      <c r="H107" s="22" t="s">
        <v>61</v>
      </c>
      <c r="I107">
        <f>_xlfn.XLOOKUP(Orders[[#This Row],[Product_ID]],Products[Product_ID], Products[Unit_Price])</f>
        <v>1.5</v>
      </c>
      <c r="J107">
        <f>Orders[[#This Row],[Quantity]]*Orders[[#This Row],[Unit_Price]]</f>
        <v>57</v>
      </c>
      <c r="K107">
        <f>_xlfn.XLOOKUP(Orders[[#This Row],[Product_ID]], Products[Product_ID], Products[Cost_Price])</f>
        <v>0.8</v>
      </c>
      <c r="L107">
        <f>Orders[[#This Row],[Cost_Price]]*Orders[[#This Row],[Quantity]]</f>
        <v>30.400000000000002</v>
      </c>
      <c r="M107">
        <f>Orders[[#This Row],[Unit_Price]]*Orders[[#This Row],[Discount]]*Orders[[#This Row],[Quantity]]</f>
        <v>5.7000000000000011</v>
      </c>
      <c r="N107" s="23">
        <f>Orders[[#This Row],[Gross_Sales]]-Orders[[#This Row],[Total_Cost]]-Orders[[#This Row],[Total_Discount]]</f>
        <v>20.9</v>
      </c>
      <c r="O107" s="23">
        <f>Orders[[#This Row],[Total_Cost]]+Orders[[#This Row],[Total_Discount]]</f>
        <v>36.1</v>
      </c>
      <c r="P107" t="str">
        <f>_xlfn.XLOOKUP(Orders[[#This Row],[Product_ID]], Products[Product_ID], Products[Product_Name])</f>
        <v>Kids Juice</v>
      </c>
      <c r="Q107" t="str">
        <f>_xlfn.XLOOKUP(Orders[[#This Row],[Product_ID]], Products[Product_ID], Products[Category])</f>
        <v>Juice</v>
      </c>
      <c r="R107" t="str">
        <f>_xlfn.XLOOKUP(Orders[[#This Row],[Customer_ID]], Customers[Customer_ID], Customers[County])</f>
        <v>Wexford</v>
      </c>
      <c r="S107" t="str">
        <f>_xlfn.XLOOKUP(Orders[[#This Row],[Customer_ID]], Customers[Customer_ID], Customers[Customer_Type])</f>
        <v>Café</v>
      </c>
      <c r="T107" t="str">
        <f>_xlfn.XLOOKUP(Orders[[#This Row],[Customer_ID]], Customers[Customer_ID], Customers[Preferred_Channel])</f>
        <v>Phone</v>
      </c>
      <c r="U107" t="str">
        <f>_xlfn.XLOOKUP(Orders[[#This Row],[Product_ID]], Products[Product_ID], Products[Bottle_Size])</f>
        <v>250ml</v>
      </c>
    </row>
    <row r="108" spans="1:21" ht="15.75" customHeight="1">
      <c r="A108" s="2" t="s">
        <v>498</v>
      </c>
      <c r="B108" s="2">
        <f>DAY(Orders[[#This Row],[Order_Date]])</f>
        <v>23</v>
      </c>
      <c r="C108" s="20">
        <v>46196</v>
      </c>
      <c r="D108" s="2" t="s">
        <v>143</v>
      </c>
      <c r="E108" s="2" t="s">
        <v>151</v>
      </c>
      <c r="F108" s="2">
        <v>19</v>
      </c>
      <c r="G108" s="22">
        <v>0</v>
      </c>
      <c r="H108" s="22" t="s">
        <v>61</v>
      </c>
      <c r="I108">
        <f>_xlfn.XLOOKUP(Orders[[#This Row],[Product_ID]],Products[Product_ID], Products[Unit_Price])</f>
        <v>1.5</v>
      </c>
      <c r="J108">
        <f>Orders[[#This Row],[Quantity]]*Orders[[#This Row],[Unit_Price]]</f>
        <v>28.5</v>
      </c>
      <c r="K108">
        <f>_xlfn.XLOOKUP(Orders[[#This Row],[Product_ID]], Products[Product_ID], Products[Cost_Price])</f>
        <v>0.8</v>
      </c>
      <c r="L108">
        <f>Orders[[#This Row],[Cost_Price]]*Orders[[#This Row],[Quantity]]</f>
        <v>15.200000000000001</v>
      </c>
      <c r="M108">
        <f>Orders[[#This Row],[Unit_Price]]*Orders[[#This Row],[Discount]]*Orders[[#This Row],[Quantity]]</f>
        <v>0</v>
      </c>
      <c r="N108" s="23">
        <f>Orders[[#This Row],[Gross_Sales]]-Orders[[#This Row],[Total_Cost]]-Orders[[#This Row],[Total_Discount]]</f>
        <v>13.299999999999999</v>
      </c>
      <c r="O108" s="23">
        <f>Orders[[#This Row],[Total_Cost]]+Orders[[#This Row],[Total_Discount]]</f>
        <v>15.200000000000001</v>
      </c>
      <c r="P108" t="str">
        <f>_xlfn.XLOOKUP(Orders[[#This Row],[Product_ID]], Products[Product_ID], Products[Product_Name])</f>
        <v>Kids Juice</v>
      </c>
      <c r="Q108" t="str">
        <f>_xlfn.XLOOKUP(Orders[[#This Row],[Product_ID]], Products[Product_ID], Products[Category])</f>
        <v>Juice</v>
      </c>
      <c r="R108" t="str">
        <f>_xlfn.XLOOKUP(Orders[[#This Row],[Customer_ID]], Customers[Customer_ID], Customers[County])</f>
        <v>Wexford</v>
      </c>
      <c r="S108" t="str">
        <f>_xlfn.XLOOKUP(Orders[[#This Row],[Customer_ID]], Customers[Customer_ID], Customers[Customer_Type])</f>
        <v>Restaurant</v>
      </c>
      <c r="T108" t="str">
        <f>_xlfn.XLOOKUP(Orders[[#This Row],[Customer_ID]], Customers[Customer_ID], Customers[Preferred_Channel])</f>
        <v>Distributor</v>
      </c>
      <c r="U108" t="str">
        <f>_xlfn.XLOOKUP(Orders[[#This Row],[Product_ID]], Products[Product_ID], Products[Bottle_Size])</f>
        <v>250ml</v>
      </c>
    </row>
    <row r="109" spans="1:21" ht="15.75" customHeight="1">
      <c r="A109" s="2" t="s">
        <v>499</v>
      </c>
      <c r="B109" s="2">
        <f>DAY(Orders[[#This Row],[Order_Date]])</f>
        <v>7</v>
      </c>
      <c r="C109" s="20">
        <v>46180</v>
      </c>
      <c r="D109" s="2" t="s">
        <v>221</v>
      </c>
      <c r="E109" s="2" t="s">
        <v>57</v>
      </c>
      <c r="F109" s="2">
        <v>13</v>
      </c>
      <c r="G109" s="22">
        <v>0</v>
      </c>
      <c r="H109" s="22" t="s">
        <v>61</v>
      </c>
      <c r="I109">
        <f>_xlfn.XLOOKUP(Orders[[#This Row],[Product_ID]],Products[Product_ID], Products[Unit_Price])</f>
        <v>2</v>
      </c>
      <c r="J109">
        <f>Orders[[#This Row],[Quantity]]*Orders[[#This Row],[Unit_Price]]</f>
        <v>26</v>
      </c>
      <c r="K109">
        <f>_xlfn.XLOOKUP(Orders[[#This Row],[Product_ID]], Products[Product_ID], Products[Cost_Price])</f>
        <v>1</v>
      </c>
      <c r="L109">
        <f>Orders[[#This Row],[Cost_Price]]*Orders[[#This Row],[Quantity]]</f>
        <v>13</v>
      </c>
      <c r="M109">
        <f>Orders[[#This Row],[Unit_Price]]*Orders[[#This Row],[Discount]]*Orders[[#This Row],[Quantity]]</f>
        <v>0</v>
      </c>
      <c r="N109" s="23">
        <f>Orders[[#This Row],[Gross_Sales]]-Orders[[#This Row],[Total_Cost]]-Orders[[#This Row],[Total_Discount]]</f>
        <v>13</v>
      </c>
      <c r="O109" s="23">
        <f>Orders[[#This Row],[Total_Cost]]+Orders[[#This Row],[Total_Discount]]</f>
        <v>13</v>
      </c>
      <c r="P109" t="str">
        <f>_xlfn.XLOOKUP(Orders[[#This Row],[Product_ID]], Products[Product_ID], Products[Product_Name])</f>
        <v xml:space="preserve">Mineral Water
</v>
      </c>
      <c r="Q109" t="str">
        <f>_xlfn.XLOOKUP(Orders[[#This Row],[Product_ID]], Products[Product_ID], Products[Category])</f>
        <v>Water</v>
      </c>
      <c r="R109" t="str">
        <f>_xlfn.XLOOKUP(Orders[[#This Row],[Customer_ID]], Customers[Customer_ID], Customers[County])</f>
        <v>Galway</v>
      </c>
      <c r="S109" t="str">
        <f>_xlfn.XLOOKUP(Orders[[#This Row],[Customer_ID]], Customers[Customer_ID], Customers[Customer_Type])</f>
        <v>Restaurant</v>
      </c>
      <c r="T109" t="str">
        <f>_xlfn.XLOOKUP(Orders[[#This Row],[Customer_ID]], Customers[Customer_ID], Customers[Preferred_Channel])</f>
        <v>Online</v>
      </c>
      <c r="U109" t="str">
        <f>_xlfn.XLOOKUP(Orders[[#This Row],[Product_ID]], Products[Product_ID], Products[Bottle_Size])</f>
        <v>1.5L</v>
      </c>
    </row>
    <row r="110" spans="1:21" ht="15.75" customHeight="1">
      <c r="A110" s="2" t="s">
        <v>500</v>
      </c>
      <c r="B110" s="2">
        <f>DAY(Orders[[#This Row],[Order_Date]])</f>
        <v>1</v>
      </c>
      <c r="C110" s="20">
        <v>46174</v>
      </c>
      <c r="D110" s="2" t="s">
        <v>312</v>
      </c>
      <c r="E110" s="2" t="s">
        <v>38</v>
      </c>
      <c r="F110" s="2">
        <v>43</v>
      </c>
      <c r="G110" s="22">
        <v>0</v>
      </c>
      <c r="H110" s="22" t="s">
        <v>61</v>
      </c>
      <c r="I110">
        <f>_xlfn.XLOOKUP(Orders[[#This Row],[Product_ID]],Products[Product_ID], Products[Unit_Price])</f>
        <v>1.5</v>
      </c>
      <c r="J110">
        <f>Orders[[#This Row],[Quantity]]*Orders[[#This Row],[Unit_Price]]</f>
        <v>64.5</v>
      </c>
      <c r="K110">
        <f>_xlfn.XLOOKUP(Orders[[#This Row],[Product_ID]], Products[Product_ID], Products[Cost_Price])</f>
        <v>0.8</v>
      </c>
      <c r="L110">
        <f>Orders[[#This Row],[Cost_Price]]*Orders[[#This Row],[Quantity]]</f>
        <v>34.4</v>
      </c>
      <c r="M110">
        <f>Orders[[#This Row],[Unit_Price]]*Orders[[#This Row],[Discount]]*Orders[[#This Row],[Quantity]]</f>
        <v>0</v>
      </c>
      <c r="N110" s="23">
        <f>Orders[[#This Row],[Gross_Sales]]-Orders[[#This Row],[Total_Cost]]-Orders[[#This Row],[Total_Discount]]</f>
        <v>30.1</v>
      </c>
      <c r="O110" s="23">
        <f>Orders[[#This Row],[Total_Cost]]+Orders[[#This Row],[Total_Discount]]</f>
        <v>34.4</v>
      </c>
      <c r="P110" t="str">
        <f>_xlfn.XLOOKUP(Orders[[#This Row],[Product_ID]], Products[Product_ID], Products[Product_Name])</f>
        <v>Cola</v>
      </c>
      <c r="Q110" t="str">
        <f>_xlfn.XLOOKUP(Orders[[#This Row],[Product_ID]], Products[Product_ID], Products[Category])</f>
        <v>Soft Drink</v>
      </c>
      <c r="R110" t="str">
        <f>_xlfn.XLOOKUP(Orders[[#This Row],[Customer_ID]], Customers[Customer_ID], Customers[County])</f>
        <v>Offaly</v>
      </c>
      <c r="S110" t="str">
        <f>_xlfn.XLOOKUP(Orders[[#This Row],[Customer_ID]], Customers[Customer_ID], Customers[Customer_Type])</f>
        <v>Restaurant</v>
      </c>
      <c r="T110" t="str">
        <f>_xlfn.XLOOKUP(Orders[[#This Row],[Customer_ID]], Customers[Customer_ID], Customers[Preferred_Channel])</f>
        <v>Sales Rep</v>
      </c>
      <c r="U110" t="str">
        <f>_xlfn.XLOOKUP(Orders[[#This Row],[Product_ID]], Products[Product_ID], Products[Bottle_Size])</f>
        <v>330ml</v>
      </c>
    </row>
    <row r="111" spans="1:21" ht="15.75" customHeight="1">
      <c r="A111" s="2" t="s">
        <v>501</v>
      </c>
      <c r="B111" s="2">
        <f>DAY(Orders[[#This Row],[Order_Date]])</f>
        <v>13</v>
      </c>
      <c r="C111" s="20">
        <v>46186</v>
      </c>
      <c r="D111" s="2" t="s">
        <v>312</v>
      </c>
      <c r="E111" s="2" t="s">
        <v>180</v>
      </c>
      <c r="F111" s="2">
        <v>28</v>
      </c>
      <c r="G111" s="22">
        <v>0.05</v>
      </c>
      <c r="H111" s="22" t="s">
        <v>49</v>
      </c>
      <c r="I111">
        <f>_xlfn.XLOOKUP(Orders[[#This Row],[Product_ID]],Products[Product_ID], Products[Unit_Price])</f>
        <v>2.4</v>
      </c>
      <c r="J111">
        <f>Orders[[#This Row],[Quantity]]*Orders[[#This Row],[Unit_Price]]</f>
        <v>67.2</v>
      </c>
      <c r="K111">
        <f>_xlfn.XLOOKUP(Orders[[#This Row],[Product_ID]], Products[Product_ID], Products[Cost_Price])</f>
        <v>1.35</v>
      </c>
      <c r="L111">
        <f>Orders[[#This Row],[Cost_Price]]*Orders[[#This Row],[Quantity]]</f>
        <v>37.800000000000004</v>
      </c>
      <c r="M111">
        <f>Orders[[#This Row],[Unit_Price]]*Orders[[#This Row],[Discount]]*Orders[[#This Row],[Quantity]]</f>
        <v>3.36</v>
      </c>
      <c r="N111" s="23">
        <f>Orders[[#This Row],[Gross_Sales]]-Orders[[#This Row],[Total_Cost]]-Orders[[#This Row],[Total_Discount]]</f>
        <v>26.04</v>
      </c>
      <c r="O111" s="23">
        <f>Orders[[#This Row],[Total_Cost]]+Orders[[#This Row],[Total_Discount]]</f>
        <v>41.160000000000004</v>
      </c>
      <c r="P111" t="str">
        <f>_xlfn.XLOOKUP(Orders[[#This Row],[Product_ID]], Products[Product_ID], Products[Product_Name])</f>
        <v>Pineapple Juice</v>
      </c>
      <c r="Q111" t="str">
        <f>_xlfn.XLOOKUP(Orders[[#This Row],[Product_ID]], Products[Product_ID], Products[Category])</f>
        <v>Juice</v>
      </c>
      <c r="R111" t="str">
        <f>_xlfn.XLOOKUP(Orders[[#This Row],[Customer_ID]], Customers[Customer_ID], Customers[County])</f>
        <v>Offaly</v>
      </c>
      <c r="S111" t="str">
        <f>_xlfn.XLOOKUP(Orders[[#This Row],[Customer_ID]], Customers[Customer_ID], Customers[Customer_Type])</f>
        <v>Restaurant</v>
      </c>
      <c r="T111" t="str">
        <f>_xlfn.XLOOKUP(Orders[[#This Row],[Customer_ID]], Customers[Customer_ID], Customers[Preferred_Channel])</f>
        <v>Sales Rep</v>
      </c>
      <c r="U111" t="str">
        <f>_xlfn.XLOOKUP(Orders[[#This Row],[Product_ID]], Products[Product_ID], Products[Bottle_Size])</f>
        <v>1L</v>
      </c>
    </row>
    <row r="112" spans="1:21" ht="15.75" customHeight="1">
      <c r="A112" s="2" t="s">
        <v>503</v>
      </c>
      <c r="B112" s="2">
        <f>DAY(Orders[[#This Row],[Order_Date]])</f>
        <v>9</v>
      </c>
      <c r="C112" s="20">
        <v>46182</v>
      </c>
      <c r="D112" s="2" t="s">
        <v>148</v>
      </c>
      <c r="E112" s="2" t="s">
        <v>217</v>
      </c>
      <c r="F112" s="2">
        <v>28</v>
      </c>
      <c r="G112" s="22">
        <v>0.05</v>
      </c>
      <c r="H112" s="22" t="s">
        <v>61</v>
      </c>
      <c r="I112">
        <f>_xlfn.XLOOKUP(Orders[[#This Row],[Product_ID]],Products[Product_ID], Products[Unit_Price])</f>
        <v>1.4</v>
      </c>
      <c r="J112">
        <f>Orders[[#This Row],[Quantity]]*Orders[[#This Row],[Unit_Price]]</f>
        <v>39.199999999999996</v>
      </c>
      <c r="K112">
        <f>_xlfn.XLOOKUP(Orders[[#This Row],[Product_ID]], Products[Product_ID], Products[Cost_Price])</f>
        <v>0.7</v>
      </c>
      <c r="L112">
        <f>Orders[[#This Row],[Cost_Price]]*Orders[[#This Row],[Quantity]]</f>
        <v>19.599999999999998</v>
      </c>
      <c r="M112">
        <f>Orders[[#This Row],[Unit_Price]]*Orders[[#This Row],[Discount]]*Orders[[#This Row],[Quantity]]</f>
        <v>1.9599999999999997</v>
      </c>
      <c r="N112" s="23">
        <f>Orders[[#This Row],[Gross_Sales]]-Orders[[#This Row],[Total_Cost]]-Orders[[#This Row],[Total_Discount]]</f>
        <v>17.639999999999997</v>
      </c>
      <c r="O112" s="23">
        <f>Orders[[#This Row],[Total_Cost]]+Orders[[#This Row],[Total_Discount]]</f>
        <v>21.56</v>
      </c>
      <c r="P112" t="str">
        <f>_xlfn.XLOOKUP(Orders[[#This Row],[Product_ID]], Products[Product_ID], Products[Product_Name])</f>
        <v>Spring Water</v>
      </c>
      <c r="Q112" t="str">
        <f>_xlfn.XLOOKUP(Orders[[#This Row],[Product_ID]], Products[Product_ID], Products[Category])</f>
        <v>Water</v>
      </c>
      <c r="R112" t="str">
        <f>_xlfn.XLOOKUP(Orders[[#This Row],[Customer_ID]], Customers[Customer_ID], Customers[County])</f>
        <v>Tipperary</v>
      </c>
      <c r="S112" t="str">
        <f>_xlfn.XLOOKUP(Orders[[#This Row],[Customer_ID]], Customers[Customer_ID], Customers[Customer_Type])</f>
        <v>Wholesaler</v>
      </c>
      <c r="T112" t="str">
        <f>_xlfn.XLOOKUP(Orders[[#This Row],[Customer_ID]], Customers[Customer_ID], Customers[Preferred_Channel])</f>
        <v>Email</v>
      </c>
      <c r="U112" t="str">
        <f>_xlfn.XLOOKUP(Orders[[#This Row],[Product_ID]], Products[Product_ID], Products[Bottle_Size])</f>
        <v>500ml</v>
      </c>
    </row>
    <row r="113" spans="1:21" ht="15.75" customHeight="1">
      <c r="A113" s="2" t="s">
        <v>504</v>
      </c>
      <c r="B113" s="2">
        <f>DAY(Orders[[#This Row],[Order_Date]])</f>
        <v>4</v>
      </c>
      <c r="C113" s="20">
        <v>46177</v>
      </c>
      <c r="D113" s="2" t="s">
        <v>407</v>
      </c>
      <c r="E113" s="2" t="s">
        <v>139</v>
      </c>
      <c r="F113" s="2">
        <v>14</v>
      </c>
      <c r="G113" s="22">
        <v>0</v>
      </c>
      <c r="H113" s="22" t="s">
        <v>61</v>
      </c>
      <c r="I113">
        <f>_xlfn.XLOOKUP(Orders[[#This Row],[Product_ID]],Products[Product_ID], Products[Unit_Price])</f>
        <v>2.2999999999999998</v>
      </c>
      <c r="J113">
        <f>Orders[[#This Row],[Quantity]]*Orders[[#This Row],[Unit_Price]]</f>
        <v>32.199999999999996</v>
      </c>
      <c r="K113">
        <f>_xlfn.XLOOKUP(Orders[[#This Row],[Product_ID]], Products[Product_ID], Products[Cost_Price])</f>
        <v>1.25</v>
      </c>
      <c r="L113">
        <f>Orders[[#This Row],[Cost_Price]]*Orders[[#This Row],[Quantity]]</f>
        <v>17.5</v>
      </c>
      <c r="M113">
        <f>Orders[[#This Row],[Unit_Price]]*Orders[[#This Row],[Discount]]*Orders[[#This Row],[Quantity]]</f>
        <v>0</v>
      </c>
      <c r="N113" s="23">
        <f>Orders[[#This Row],[Gross_Sales]]-Orders[[#This Row],[Total_Cost]]-Orders[[#This Row],[Total_Discount]]</f>
        <v>14.699999999999996</v>
      </c>
      <c r="O113" s="23">
        <f>Orders[[#This Row],[Total_Cost]]+Orders[[#This Row],[Total_Discount]]</f>
        <v>17.5</v>
      </c>
      <c r="P113" t="str">
        <f>_xlfn.XLOOKUP(Orders[[#This Row],[Product_ID]], Products[Product_ID], Products[Product_Name])</f>
        <v>Mango Juice</v>
      </c>
      <c r="Q113" t="str">
        <f>_xlfn.XLOOKUP(Orders[[#This Row],[Product_ID]], Products[Product_ID], Products[Category])</f>
        <v>Juice</v>
      </c>
      <c r="R113" t="str">
        <f>_xlfn.XLOOKUP(Orders[[#This Row],[Customer_ID]], Customers[Customer_ID], Customers[County])</f>
        <v>Cork</v>
      </c>
      <c r="S113" t="str">
        <f>_xlfn.XLOOKUP(Orders[[#This Row],[Customer_ID]], Customers[Customer_ID], Customers[Customer_Type])</f>
        <v>Hotel</v>
      </c>
      <c r="T113" t="str">
        <f>_xlfn.XLOOKUP(Orders[[#This Row],[Customer_ID]], Customers[Customer_ID], Customers[Preferred_Channel])</f>
        <v>Email</v>
      </c>
      <c r="U113" t="str">
        <f>_xlfn.XLOOKUP(Orders[[#This Row],[Product_ID]], Products[Product_ID], Products[Bottle_Size])</f>
        <v>1L</v>
      </c>
    </row>
    <row r="114" spans="1:21" ht="15.75" customHeight="1">
      <c r="A114" s="2" t="s">
        <v>506</v>
      </c>
      <c r="B114" s="2">
        <f>DAY(Orders[[#This Row],[Order_Date]])</f>
        <v>1</v>
      </c>
      <c r="C114" s="20">
        <v>46174</v>
      </c>
      <c r="D114" s="2" t="s">
        <v>144</v>
      </c>
      <c r="E114" s="2" t="s">
        <v>95</v>
      </c>
      <c r="F114" s="2">
        <v>26</v>
      </c>
      <c r="G114" s="22">
        <v>0</v>
      </c>
      <c r="H114" s="22" t="s">
        <v>61</v>
      </c>
      <c r="I114">
        <f>_xlfn.XLOOKUP(Orders[[#This Row],[Product_ID]],Products[Product_ID], Products[Unit_Price])</f>
        <v>2.5</v>
      </c>
      <c r="J114">
        <f>Orders[[#This Row],[Quantity]]*Orders[[#This Row],[Unit_Price]]</f>
        <v>65</v>
      </c>
      <c r="K114">
        <f>_xlfn.XLOOKUP(Orders[[#This Row],[Product_ID]], Products[Product_ID], Products[Cost_Price])</f>
        <v>1.4</v>
      </c>
      <c r="L114">
        <f>Orders[[#This Row],[Cost_Price]]*Orders[[#This Row],[Quantity]]</f>
        <v>36.4</v>
      </c>
      <c r="M114">
        <f>Orders[[#This Row],[Unit_Price]]*Orders[[#This Row],[Discount]]*Orders[[#This Row],[Quantity]]</f>
        <v>0</v>
      </c>
      <c r="N114" s="23">
        <f>Orders[[#This Row],[Gross_Sales]]-Orders[[#This Row],[Total_Cost]]-Orders[[#This Row],[Total_Discount]]</f>
        <v>28.6</v>
      </c>
      <c r="O114" s="23">
        <f>Orders[[#This Row],[Total_Cost]]+Orders[[#This Row],[Total_Discount]]</f>
        <v>36.4</v>
      </c>
      <c r="P114" t="str">
        <f>_xlfn.XLOOKUP(Orders[[#This Row],[Product_ID]], Products[Product_ID], Products[Product_Name])</f>
        <v>Energy Boost</v>
      </c>
      <c r="Q114" t="str">
        <f>_xlfn.XLOOKUP(Orders[[#This Row],[Product_ID]], Products[Product_ID], Products[Category])</f>
        <v>Energy Drink</v>
      </c>
      <c r="R114" t="str">
        <f>_xlfn.XLOOKUP(Orders[[#This Row],[Customer_ID]], Customers[Customer_ID], Customers[County])</f>
        <v>Wexford</v>
      </c>
      <c r="S114" t="str">
        <f>_xlfn.XLOOKUP(Orders[[#This Row],[Customer_ID]], Customers[Customer_ID], Customers[Customer_Type])</f>
        <v>Wholesaler</v>
      </c>
      <c r="T114" t="str">
        <f>_xlfn.XLOOKUP(Orders[[#This Row],[Customer_ID]], Customers[Customer_ID], Customers[Preferred_Channel])</f>
        <v>Online</v>
      </c>
      <c r="U114" t="str">
        <f>_xlfn.XLOOKUP(Orders[[#This Row],[Product_ID]], Products[Product_ID], Products[Bottle_Size])</f>
        <v>250ml</v>
      </c>
    </row>
    <row r="115" spans="1:21" ht="15.75" customHeight="1">
      <c r="A115" s="2" t="s">
        <v>507</v>
      </c>
      <c r="B115" s="2">
        <f>DAY(Orders[[#This Row],[Order_Date]])</f>
        <v>16</v>
      </c>
      <c r="C115" s="20">
        <v>46189</v>
      </c>
      <c r="D115" s="2" t="s">
        <v>349</v>
      </c>
      <c r="E115" s="2" t="s">
        <v>28</v>
      </c>
      <c r="F115" s="2">
        <v>5</v>
      </c>
      <c r="G115" s="22">
        <v>0</v>
      </c>
      <c r="H115" s="22" t="s">
        <v>61</v>
      </c>
      <c r="I115">
        <f>_xlfn.XLOOKUP(Orders[[#This Row],[Product_ID]],Products[Product_ID], Products[Unit_Price])</f>
        <v>1.8</v>
      </c>
      <c r="J115">
        <f>Orders[[#This Row],[Quantity]]*Orders[[#This Row],[Unit_Price]]</f>
        <v>9</v>
      </c>
      <c r="K115">
        <f>_xlfn.XLOOKUP(Orders[[#This Row],[Product_ID]], Products[Product_ID], Products[Cost_Price])</f>
        <v>0.9</v>
      </c>
      <c r="L115">
        <f>Orders[[#This Row],[Cost_Price]]*Orders[[#This Row],[Quantity]]</f>
        <v>4.5</v>
      </c>
      <c r="M115">
        <f>Orders[[#This Row],[Unit_Price]]*Orders[[#This Row],[Discount]]*Orders[[#This Row],[Quantity]]</f>
        <v>0</v>
      </c>
      <c r="N115" s="23">
        <f>Orders[[#This Row],[Gross_Sales]]-Orders[[#This Row],[Total_Cost]]-Orders[[#This Row],[Total_Discount]]</f>
        <v>4.5</v>
      </c>
      <c r="O115" s="23">
        <f>Orders[[#This Row],[Total_Cost]]+Orders[[#This Row],[Total_Discount]]</f>
        <v>4.5</v>
      </c>
      <c r="P115" t="str">
        <f>_xlfn.XLOOKUP(Orders[[#This Row],[Product_ID]], Products[Product_ID], Products[Product_Name])</f>
        <v>Sparkling Water</v>
      </c>
      <c r="Q115" t="str">
        <f>_xlfn.XLOOKUP(Orders[[#This Row],[Product_ID]], Products[Product_ID], Products[Category])</f>
        <v>Water</v>
      </c>
      <c r="R115" t="str">
        <f>_xlfn.XLOOKUP(Orders[[#This Row],[Customer_ID]], Customers[Customer_ID], Customers[County])</f>
        <v>Sligo</v>
      </c>
      <c r="S115" t="str">
        <f>_xlfn.XLOOKUP(Orders[[#This Row],[Customer_ID]], Customers[Customer_ID], Customers[Customer_Type])</f>
        <v>Wholesaler</v>
      </c>
      <c r="T115" t="str">
        <f>_xlfn.XLOOKUP(Orders[[#This Row],[Customer_ID]], Customers[Customer_ID], Customers[Preferred_Channel])</f>
        <v>Distributor</v>
      </c>
      <c r="U115" t="str">
        <f>_xlfn.XLOOKUP(Orders[[#This Row],[Product_ID]], Products[Product_ID], Products[Bottle_Size])</f>
        <v>1L</v>
      </c>
    </row>
    <row r="116" spans="1:21" ht="15.75" customHeight="1">
      <c r="A116" s="2" t="s">
        <v>508</v>
      </c>
      <c r="B116" s="2">
        <f>DAY(Orders[[#This Row],[Order_Date]])</f>
        <v>26</v>
      </c>
      <c r="C116" s="20">
        <v>46199</v>
      </c>
      <c r="D116" s="2" t="s">
        <v>270</v>
      </c>
      <c r="E116" s="2" t="s">
        <v>172</v>
      </c>
      <c r="F116" s="2">
        <v>39</v>
      </c>
      <c r="G116" s="22">
        <v>0.05</v>
      </c>
      <c r="H116" s="22" t="s">
        <v>61</v>
      </c>
      <c r="I116">
        <f>_xlfn.XLOOKUP(Orders[[#This Row],[Product_ID]],Products[Product_ID], Products[Unit_Price])</f>
        <v>1.6</v>
      </c>
      <c r="J116">
        <f>Orders[[#This Row],[Quantity]]*Orders[[#This Row],[Unit_Price]]</f>
        <v>62.400000000000006</v>
      </c>
      <c r="K116">
        <f>_xlfn.XLOOKUP(Orders[[#This Row],[Product_ID]], Products[Product_ID], Products[Cost_Price])</f>
        <v>0.85</v>
      </c>
      <c r="L116">
        <f>Orders[[#This Row],[Cost_Price]]*Orders[[#This Row],[Quantity]]</f>
        <v>33.15</v>
      </c>
      <c r="M116">
        <f>Orders[[#This Row],[Unit_Price]]*Orders[[#This Row],[Discount]]*Orders[[#This Row],[Quantity]]</f>
        <v>3.1200000000000006</v>
      </c>
      <c r="N116" s="23">
        <f>Orders[[#This Row],[Gross_Sales]]-Orders[[#This Row],[Total_Cost]]-Orders[[#This Row],[Total_Discount]]</f>
        <v>26.130000000000006</v>
      </c>
      <c r="O116" s="23">
        <f>Orders[[#This Row],[Total_Cost]]+Orders[[#This Row],[Total_Discount]]</f>
        <v>36.269999999999996</v>
      </c>
      <c r="P116" t="str">
        <f>_xlfn.XLOOKUP(Orders[[#This Row],[Product_ID]], Products[Product_ID], Products[Product_Name])</f>
        <v>Grape Soda</v>
      </c>
      <c r="Q116" t="str">
        <f>_xlfn.XLOOKUP(Orders[[#This Row],[Product_ID]], Products[Product_ID], Products[Category])</f>
        <v>Soft Drink</v>
      </c>
      <c r="R116" t="str">
        <f>_xlfn.XLOOKUP(Orders[[#This Row],[Customer_ID]], Customers[Customer_ID], Customers[County])</f>
        <v>Mayo</v>
      </c>
      <c r="S116" t="str">
        <f>_xlfn.XLOOKUP(Orders[[#This Row],[Customer_ID]], Customers[Customer_ID], Customers[Customer_Type])</f>
        <v>Wholesaler</v>
      </c>
      <c r="T116" t="str">
        <f>_xlfn.XLOOKUP(Orders[[#This Row],[Customer_ID]], Customers[Customer_ID], Customers[Preferred_Channel])</f>
        <v>Online</v>
      </c>
      <c r="U116" t="str">
        <f>_xlfn.XLOOKUP(Orders[[#This Row],[Product_ID]], Products[Product_ID], Products[Bottle_Size])</f>
        <v>330ml</v>
      </c>
    </row>
    <row r="117" spans="1:21" ht="15.75" customHeight="1">
      <c r="A117" s="2" t="s">
        <v>510</v>
      </c>
      <c r="B117" s="2">
        <f>DAY(Orders[[#This Row],[Order_Date]])</f>
        <v>24</v>
      </c>
      <c r="C117" s="20">
        <v>46197</v>
      </c>
      <c r="D117" s="2" t="s">
        <v>348</v>
      </c>
      <c r="E117" s="2" t="s">
        <v>125</v>
      </c>
      <c r="F117" s="2">
        <v>38</v>
      </c>
      <c r="G117" s="22">
        <v>0</v>
      </c>
      <c r="H117" s="22" t="s">
        <v>61</v>
      </c>
      <c r="I117">
        <f>_xlfn.XLOOKUP(Orders[[#This Row],[Product_ID]],Products[Product_ID], Products[Unit_Price])</f>
        <v>2.2000000000000002</v>
      </c>
      <c r="J117">
        <f>Orders[[#This Row],[Quantity]]*Orders[[#This Row],[Unit_Price]]</f>
        <v>83.600000000000009</v>
      </c>
      <c r="K117">
        <f>_xlfn.XLOOKUP(Orders[[#This Row],[Product_ID]], Products[Product_ID], Products[Cost_Price])</f>
        <v>1.3</v>
      </c>
      <c r="L117">
        <f>Orders[[#This Row],[Cost_Price]]*Orders[[#This Row],[Quantity]]</f>
        <v>49.4</v>
      </c>
      <c r="M117">
        <f>Orders[[#This Row],[Unit_Price]]*Orders[[#This Row],[Discount]]*Orders[[#This Row],[Quantity]]</f>
        <v>0</v>
      </c>
      <c r="N117" s="23">
        <f>Orders[[#This Row],[Gross_Sales]]-Orders[[#This Row],[Total_Cost]]-Orders[[#This Row],[Total_Discount]]</f>
        <v>34.20000000000001</v>
      </c>
      <c r="O117" s="23">
        <f>Orders[[#This Row],[Total_Cost]]+Orders[[#This Row],[Total_Discount]]</f>
        <v>49.4</v>
      </c>
      <c r="P117" t="str">
        <f>_xlfn.XLOOKUP(Orders[[#This Row],[Product_ID]], Products[Product_ID], Products[Product_Name])</f>
        <v>Iced Tea</v>
      </c>
      <c r="Q117" t="str">
        <f>_xlfn.XLOOKUP(Orders[[#This Row],[Product_ID]], Products[Product_ID], Products[Category])</f>
        <v>Tea</v>
      </c>
      <c r="R117" t="str">
        <f>_xlfn.XLOOKUP(Orders[[#This Row],[Customer_ID]], Customers[Customer_ID], Customers[County])</f>
        <v>Donegal</v>
      </c>
      <c r="S117" t="str">
        <f>_xlfn.XLOOKUP(Orders[[#This Row],[Customer_ID]], Customers[Customer_ID], Customers[Customer_Type])</f>
        <v>Café</v>
      </c>
      <c r="T117" t="str">
        <f>_xlfn.XLOOKUP(Orders[[#This Row],[Customer_ID]], Customers[Customer_ID], Customers[Preferred_Channel])</f>
        <v>Phone</v>
      </c>
      <c r="U117" t="str">
        <f>_xlfn.XLOOKUP(Orders[[#This Row],[Product_ID]], Products[Product_ID], Products[Bottle_Size])</f>
        <v>500ml</v>
      </c>
    </row>
    <row r="118" spans="1:21" ht="15.75" customHeight="1">
      <c r="A118" s="2" t="s">
        <v>511</v>
      </c>
      <c r="B118" s="2">
        <f>DAY(Orders[[#This Row],[Order_Date]])</f>
        <v>30</v>
      </c>
      <c r="C118" s="20">
        <v>46203</v>
      </c>
      <c r="D118" s="2" t="s">
        <v>76</v>
      </c>
      <c r="E118" s="2" t="s">
        <v>134</v>
      </c>
      <c r="F118" s="2">
        <v>43</v>
      </c>
      <c r="G118" s="22">
        <v>0.05</v>
      </c>
      <c r="H118" s="22" t="s">
        <v>61</v>
      </c>
      <c r="I118">
        <f>_xlfn.XLOOKUP(Orders[[#This Row],[Product_ID]],Products[Product_ID], Products[Unit_Price])</f>
        <v>1.8</v>
      </c>
      <c r="J118">
        <f>Orders[[#This Row],[Quantity]]*Orders[[#This Row],[Unit_Price]]</f>
        <v>77.400000000000006</v>
      </c>
      <c r="K118">
        <f>_xlfn.XLOOKUP(Orders[[#This Row],[Product_ID]], Products[Product_ID], Products[Cost_Price])</f>
        <v>0.95</v>
      </c>
      <c r="L118">
        <f>Orders[[#This Row],[Cost_Price]]*Orders[[#This Row],[Quantity]]</f>
        <v>40.85</v>
      </c>
      <c r="M118">
        <f>Orders[[#This Row],[Unit_Price]]*Orders[[#This Row],[Discount]]*Orders[[#This Row],[Quantity]]</f>
        <v>3.8700000000000006</v>
      </c>
      <c r="N118" s="23">
        <f>Orders[[#This Row],[Gross_Sales]]-Orders[[#This Row],[Total_Cost]]-Orders[[#This Row],[Total_Discount]]</f>
        <v>32.680000000000007</v>
      </c>
      <c r="O118" s="23">
        <f>Orders[[#This Row],[Total_Cost]]+Orders[[#This Row],[Total_Discount]]</f>
        <v>44.72</v>
      </c>
      <c r="P118" t="str">
        <f>_xlfn.XLOOKUP(Orders[[#This Row],[Product_ID]], Products[Product_ID], Products[Product_Name])</f>
        <v>Sparkling Citrus</v>
      </c>
      <c r="Q118" t="str">
        <f>_xlfn.XLOOKUP(Orders[[#This Row],[Product_ID]], Products[Product_ID], Products[Category])</f>
        <v>Water</v>
      </c>
      <c r="R118" t="str">
        <f>_xlfn.XLOOKUP(Orders[[#This Row],[Customer_ID]], Customers[Customer_ID], Customers[County])</f>
        <v>Kerry</v>
      </c>
      <c r="S118" t="str">
        <f>_xlfn.XLOOKUP(Orders[[#This Row],[Customer_ID]], Customers[Customer_ID], Customers[Customer_Type])</f>
        <v>Restaurant</v>
      </c>
      <c r="T118" t="str">
        <f>_xlfn.XLOOKUP(Orders[[#This Row],[Customer_ID]], Customers[Customer_ID], Customers[Preferred_Channel])</f>
        <v>Distributor</v>
      </c>
      <c r="U118" t="str">
        <f>_xlfn.XLOOKUP(Orders[[#This Row],[Product_ID]], Products[Product_ID], Products[Bottle_Size])</f>
        <v>330ml</v>
      </c>
    </row>
    <row r="119" spans="1:21" ht="15.75" customHeight="1">
      <c r="A119" s="2" t="s">
        <v>512</v>
      </c>
      <c r="B119" s="2">
        <f>DAY(Orders[[#This Row],[Order_Date]])</f>
        <v>16</v>
      </c>
      <c r="C119" s="20">
        <v>46189</v>
      </c>
      <c r="D119" s="2" t="s">
        <v>133</v>
      </c>
      <c r="E119" s="2" t="s">
        <v>41</v>
      </c>
      <c r="F119" s="2">
        <v>17</v>
      </c>
      <c r="G119" s="22">
        <v>0</v>
      </c>
      <c r="H119" s="22" t="s">
        <v>49</v>
      </c>
      <c r="I119">
        <f>_xlfn.XLOOKUP(Orders[[#This Row],[Product_ID]],Products[Product_ID], Products[Unit_Price])</f>
        <v>2.2000000000000002</v>
      </c>
      <c r="J119">
        <f>Orders[[#This Row],[Quantity]]*Orders[[#This Row],[Unit_Price]]</f>
        <v>37.400000000000006</v>
      </c>
      <c r="K119">
        <f>_xlfn.XLOOKUP(Orders[[#This Row],[Product_ID]], Products[Product_ID], Products[Cost_Price])</f>
        <v>1.2</v>
      </c>
      <c r="L119">
        <f>Orders[[#This Row],[Cost_Price]]*Orders[[#This Row],[Quantity]]</f>
        <v>20.399999999999999</v>
      </c>
      <c r="M119">
        <f>Orders[[#This Row],[Unit_Price]]*Orders[[#This Row],[Discount]]*Orders[[#This Row],[Quantity]]</f>
        <v>0</v>
      </c>
      <c r="N119" s="23">
        <f>Orders[[#This Row],[Gross_Sales]]-Orders[[#This Row],[Total_Cost]]-Orders[[#This Row],[Total_Discount]]</f>
        <v>17.000000000000007</v>
      </c>
      <c r="O119" s="23">
        <f>Orders[[#This Row],[Total_Cost]]+Orders[[#This Row],[Total_Discount]]</f>
        <v>20.399999999999999</v>
      </c>
      <c r="P119" t="str">
        <f>_xlfn.XLOOKUP(Orders[[#This Row],[Product_ID]], Products[Product_ID], Products[Product_Name])</f>
        <v>Peach Tea</v>
      </c>
      <c r="Q119" t="str">
        <f>_xlfn.XLOOKUP(Orders[[#This Row],[Product_ID]], Products[Product_ID], Products[Category])</f>
        <v>Tea</v>
      </c>
      <c r="R119" t="str">
        <f>_xlfn.XLOOKUP(Orders[[#This Row],[Customer_ID]], Customers[Customer_ID], Customers[County])</f>
        <v>Meath</v>
      </c>
      <c r="S119" t="str">
        <f>_xlfn.XLOOKUP(Orders[[#This Row],[Customer_ID]], Customers[Customer_ID], Customers[Customer_Type])</f>
        <v>Restaurant</v>
      </c>
      <c r="T119" t="str">
        <f>_xlfn.XLOOKUP(Orders[[#This Row],[Customer_ID]], Customers[Customer_ID], Customers[Preferred_Channel])</f>
        <v>Phone</v>
      </c>
      <c r="U119" t="str">
        <f>_xlfn.XLOOKUP(Orders[[#This Row],[Product_ID]], Products[Product_ID], Products[Bottle_Size])</f>
        <v>500ml</v>
      </c>
    </row>
    <row r="120" spans="1:21" ht="15.75" customHeight="1">
      <c r="A120" s="2" t="s">
        <v>515</v>
      </c>
      <c r="B120" s="2">
        <f>DAY(Orders[[#This Row],[Order_Date]])</f>
        <v>15</v>
      </c>
      <c r="C120" s="20">
        <v>46188</v>
      </c>
      <c r="D120" s="2" t="s">
        <v>87</v>
      </c>
      <c r="E120" s="2" t="s">
        <v>180</v>
      </c>
      <c r="F120" s="2">
        <v>41</v>
      </c>
      <c r="G120" s="22">
        <v>0</v>
      </c>
      <c r="H120" s="22" t="s">
        <v>61</v>
      </c>
      <c r="I120">
        <f>_xlfn.XLOOKUP(Orders[[#This Row],[Product_ID]],Products[Product_ID], Products[Unit_Price])</f>
        <v>2.4</v>
      </c>
      <c r="J120">
        <f>Orders[[#This Row],[Quantity]]*Orders[[#This Row],[Unit_Price]]</f>
        <v>98.399999999999991</v>
      </c>
      <c r="K120">
        <f>_xlfn.XLOOKUP(Orders[[#This Row],[Product_ID]], Products[Product_ID], Products[Cost_Price])</f>
        <v>1.35</v>
      </c>
      <c r="L120">
        <f>Orders[[#This Row],[Cost_Price]]*Orders[[#This Row],[Quantity]]</f>
        <v>55.35</v>
      </c>
      <c r="M120">
        <f>Orders[[#This Row],[Unit_Price]]*Orders[[#This Row],[Discount]]*Orders[[#This Row],[Quantity]]</f>
        <v>0</v>
      </c>
      <c r="N120" s="23">
        <f>Orders[[#This Row],[Gross_Sales]]-Orders[[#This Row],[Total_Cost]]-Orders[[#This Row],[Total_Discount]]</f>
        <v>43.04999999999999</v>
      </c>
      <c r="O120" s="23">
        <f>Orders[[#This Row],[Total_Cost]]+Orders[[#This Row],[Total_Discount]]</f>
        <v>55.35</v>
      </c>
      <c r="P120" t="str">
        <f>_xlfn.XLOOKUP(Orders[[#This Row],[Product_ID]], Products[Product_ID], Products[Product_Name])</f>
        <v>Pineapple Juice</v>
      </c>
      <c r="Q120" t="str">
        <f>_xlfn.XLOOKUP(Orders[[#This Row],[Product_ID]], Products[Product_ID], Products[Category])</f>
        <v>Juice</v>
      </c>
      <c r="R120" t="str">
        <f>_xlfn.XLOOKUP(Orders[[#This Row],[Customer_ID]], Customers[Customer_ID], Customers[County])</f>
        <v>Offaly</v>
      </c>
      <c r="S120" t="str">
        <f>_xlfn.XLOOKUP(Orders[[#This Row],[Customer_ID]], Customers[Customer_ID], Customers[Customer_Type])</f>
        <v>Restaurant</v>
      </c>
      <c r="T120" t="str">
        <f>_xlfn.XLOOKUP(Orders[[#This Row],[Customer_ID]], Customers[Customer_ID], Customers[Preferred_Channel])</f>
        <v>Phone</v>
      </c>
      <c r="U120" t="str">
        <f>_xlfn.XLOOKUP(Orders[[#This Row],[Product_ID]], Products[Product_ID], Products[Bottle_Size])</f>
        <v>1L</v>
      </c>
    </row>
    <row r="121" spans="1:21" ht="15.75" customHeight="1">
      <c r="A121" s="2" t="s">
        <v>516</v>
      </c>
      <c r="B121" s="2">
        <f>DAY(Orders[[#This Row],[Order_Date]])</f>
        <v>9</v>
      </c>
      <c r="C121" s="20">
        <v>46182</v>
      </c>
      <c r="D121" s="2" t="s">
        <v>182</v>
      </c>
      <c r="E121" s="2" t="s">
        <v>108</v>
      </c>
      <c r="F121" s="2">
        <v>20</v>
      </c>
      <c r="G121" s="22">
        <v>0.05</v>
      </c>
      <c r="H121" s="22" t="s">
        <v>61</v>
      </c>
      <c r="I121">
        <f>_xlfn.XLOOKUP(Orders[[#This Row],[Product_ID]],Products[Product_ID], Products[Unit_Price])</f>
        <v>2.1</v>
      </c>
      <c r="J121">
        <f>Orders[[#This Row],[Quantity]]*Orders[[#This Row],[Unit_Price]]</f>
        <v>42</v>
      </c>
      <c r="K121">
        <f>_xlfn.XLOOKUP(Orders[[#This Row],[Product_ID]], Products[Product_ID], Products[Cost_Price])</f>
        <v>1.2</v>
      </c>
      <c r="L121">
        <f>Orders[[#This Row],[Cost_Price]]*Orders[[#This Row],[Quantity]]</f>
        <v>24</v>
      </c>
      <c r="M121">
        <f>Orders[[#This Row],[Unit_Price]]*Orders[[#This Row],[Discount]]*Orders[[#This Row],[Quantity]]</f>
        <v>2.1</v>
      </c>
      <c r="N121" s="23">
        <f>Orders[[#This Row],[Gross_Sales]]-Orders[[#This Row],[Total_Cost]]-Orders[[#This Row],[Total_Discount]]</f>
        <v>15.9</v>
      </c>
      <c r="O121" s="23">
        <f>Orders[[#This Row],[Total_Cost]]+Orders[[#This Row],[Total_Discount]]</f>
        <v>26.1</v>
      </c>
      <c r="P121" t="str">
        <f>_xlfn.XLOOKUP(Orders[[#This Row],[Product_ID]], Products[Product_ID], Products[Product_Name])</f>
        <v>Berry Splash</v>
      </c>
      <c r="Q121" t="str">
        <f>_xlfn.XLOOKUP(Orders[[#This Row],[Product_ID]], Products[Product_ID], Products[Category])</f>
        <v>Juice</v>
      </c>
      <c r="R121" t="str">
        <f>_xlfn.XLOOKUP(Orders[[#This Row],[Customer_ID]], Customers[Customer_ID], Customers[County])</f>
        <v>Waterford</v>
      </c>
      <c r="S121" t="str">
        <f>_xlfn.XLOOKUP(Orders[[#This Row],[Customer_ID]], Customers[Customer_ID], Customers[Customer_Type])</f>
        <v>Café</v>
      </c>
      <c r="T121" t="str">
        <f>_xlfn.XLOOKUP(Orders[[#This Row],[Customer_ID]], Customers[Customer_ID], Customers[Preferred_Channel])</f>
        <v>Phone</v>
      </c>
      <c r="U121" t="str">
        <f>_xlfn.XLOOKUP(Orders[[#This Row],[Product_ID]], Products[Product_ID], Products[Bottle_Size])</f>
        <v>500ml</v>
      </c>
    </row>
    <row r="122" spans="1:21" ht="15.75" customHeight="1">
      <c r="A122" s="2" t="s">
        <v>517</v>
      </c>
      <c r="B122" s="2">
        <f>DAY(Orders[[#This Row],[Order_Date]])</f>
        <v>9</v>
      </c>
      <c r="C122" s="20">
        <v>46182</v>
      </c>
      <c r="D122" s="2" t="s">
        <v>165</v>
      </c>
      <c r="E122" s="2" t="s">
        <v>117</v>
      </c>
      <c r="F122" s="2">
        <v>25</v>
      </c>
      <c r="G122" s="22">
        <v>0</v>
      </c>
      <c r="H122" s="22" t="s">
        <v>61</v>
      </c>
      <c r="I122">
        <f>_xlfn.XLOOKUP(Orders[[#This Row],[Product_ID]],Products[Product_ID], Products[Unit_Price])</f>
        <v>1.9</v>
      </c>
      <c r="J122">
        <f>Orders[[#This Row],[Quantity]]*Orders[[#This Row],[Unit_Price]]</f>
        <v>47.5</v>
      </c>
      <c r="K122">
        <f>_xlfn.XLOOKUP(Orders[[#This Row],[Product_ID]], Products[Product_ID], Products[Cost_Price])</f>
        <v>1</v>
      </c>
      <c r="L122">
        <f>Orders[[#This Row],[Cost_Price]]*Orders[[#This Row],[Quantity]]</f>
        <v>25</v>
      </c>
      <c r="M122">
        <f>Orders[[#This Row],[Unit_Price]]*Orders[[#This Row],[Discount]]*Orders[[#This Row],[Quantity]]</f>
        <v>0</v>
      </c>
      <c r="N122" s="23">
        <f>Orders[[#This Row],[Gross_Sales]]-Orders[[#This Row],[Total_Cost]]-Orders[[#This Row],[Total_Discount]]</f>
        <v>22.5</v>
      </c>
      <c r="O122" s="23">
        <f>Orders[[#This Row],[Total_Cost]]+Orders[[#This Row],[Total_Discount]]</f>
        <v>25</v>
      </c>
      <c r="P122" t="str">
        <f>_xlfn.XLOOKUP(Orders[[#This Row],[Product_ID]], Products[Product_ID], Products[Product_Name])</f>
        <v>Tonic Water</v>
      </c>
      <c r="Q122" t="str">
        <f>_xlfn.XLOOKUP(Orders[[#This Row],[Product_ID]], Products[Product_ID], Products[Category])</f>
        <v>Water</v>
      </c>
      <c r="R122" t="str">
        <f>_xlfn.XLOOKUP(Orders[[#This Row],[Customer_ID]], Customers[Customer_ID], Customers[County])</f>
        <v>Clare</v>
      </c>
      <c r="S122" t="str">
        <f>_xlfn.XLOOKUP(Orders[[#This Row],[Customer_ID]], Customers[Customer_ID], Customers[Customer_Type])</f>
        <v>Restaurant</v>
      </c>
      <c r="T122" t="str">
        <f>_xlfn.XLOOKUP(Orders[[#This Row],[Customer_ID]], Customers[Customer_ID], Customers[Preferred_Channel])</f>
        <v>Sales Rep</v>
      </c>
      <c r="U122" t="str">
        <f>_xlfn.XLOOKUP(Orders[[#This Row],[Product_ID]], Products[Product_ID], Products[Bottle_Size])</f>
        <v>1L</v>
      </c>
    </row>
    <row r="123" spans="1:21" ht="15.75" customHeight="1">
      <c r="A123" s="2" t="s">
        <v>519</v>
      </c>
      <c r="B123" s="2">
        <f>DAY(Orders[[#This Row],[Order_Date]])</f>
        <v>7</v>
      </c>
      <c r="C123" s="20">
        <v>46180</v>
      </c>
      <c r="D123" s="2" t="s">
        <v>176</v>
      </c>
      <c r="E123" s="2" t="s">
        <v>217</v>
      </c>
      <c r="F123" s="2">
        <v>26</v>
      </c>
      <c r="G123" s="22">
        <v>0.05</v>
      </c>
      <c r="H123" s="22" t="s">
        <v>61</v>
      </c>
      <c r="I123">
        <f>_xlfn.XLOOKUP(Orders[[#This Row],[Product_ID]],Products[Product_ID], Products[Unit_Price])</f>
        <v>1.4</v>
      </c>
      <c r="J123">
        <f>Orders[[#This Row],[Quantity]]*Orders[[#This Row],[Unit_Price]]</f>
        <v>36.4</v>
      </c>
      <c r="K123">
        <f>_xlfn.XLOOKUP(Orders[[#This Row],[Product_ID]], Products[Product_ID], Products[Cost_Price])</f>
        <v>0.7</v>
      </c>
      <c r="L123">
        <f>Orders[[#This Row],[Cost_Price]]*Orders[[#This Row],[Quantity]]</f>
        <v>18.2</v>
      </c>
      <c r="M123">
        <f>Orders[[#This Row],[Unit_Price]]*Orders[[#This Row],[Discount]]*Orders[[#This Row],[Quantity]]</f>
        <v>1.8199999999999998</v>
      </c>
      <c r="N123" s="23">
        <f>Orders[[#This Row],[Gross_Sales]]-Orders[[#This Row],[Total_Cost]]-Orders[[#This Row],[Total_Discount]]</f>
        <v>16.38</v>
      </c>
      <c r="O123" s="23">
        <f>Orders[[#This Row],[Total_Cost]]+Orders[[#This Row],[Total_Discount]]</f>
        <v>20.02</v>
      </c>
      <c r="P123" t="str">
        <f>_xlfn.XLOOKUP(Orders[[#This Row],[Product_ID]], Products[Product_ID], Products[Product_Name])</f>
        <v>Spring Water</v>
      </c>
      <c r="Q123" t="str">
        <f>_xlfn.XLOOKUP(Orders[[#This Row],[Product_ID]], Products[Product_ID], Products[Category])</f>
        <v>Water</v>
      </c>
      <c r="R123" t="str">
        <f>_xlfn.XLOOKUP(Orders[[#This Row],[Customer_ID]], Customers[Customer_ID], Customers[County])</f>
        <v>Wexford</v>
      </c>
      <c r="S123" t="str">
        <f>_xlfn.XLOOKUP(Orders[[#This Row],[Customer_ID]], Customers[Customer_ID], Customers[Customer_Type])</f>
        <v>Retailer</v>
      </c>
      <c r="T123" t="str">
        <f>_xlfn.XLOOKUP(Orders[[#This Row],[Customer_ID]], Customers[Customer_ID], Customers[Preferred_Channel])</f>
        <v>Phone</v>
      </c>
      <c r="U123" t="str">
        <f>_xlfn.XLOOKUP(Orders[[#This Row],[Product_ID]], Products[Product_ID], Products[Bottle_Size])</f>
        <v>500ml</v>
      </c>
    </row>
    <row r="124" spans="1:21" ht="15.75" customHeight="1">
      <c r="A124" s="2" t="s">
        <v>520</v>
      </c>
      <c r="B124" s="2">
        <f>DAY(Orders[[#This Row],[Order_Date]])</f>
        <v>19</v>
      </c>
      <c r="C124" s="20">
        <v>46192</v>
      </c>
      <c r="D124" s="2" t="s">
        <v>158</v>
      </c>
      <c r="E124" s="2" t="s">
        <v>217</v>
      </c>
      <c r="F124" s="2">
        <v>19</v>
      </c>
      <c r="G124" s="22">
        <v>0</v>
      </c>
      <c r="H124" s="22" t="s">
        <v>61</v>
      </c>
      <c r="I124">
        <f>_xlfn.XLOOKUP(Orders[[#This Row],[Product_ID]],Products[Product_ID], Products[Unit_Price])</f>
        <v>1.4</v>
      </c>
      <c r="J124">
        <f>Orders[[#This Row],[Quantity]]*Orders[[#This Row],[Unit_Price]]</f>
        <v>26.599999999999998</v>
      </c>
      <c r="K124">
        <f>_xlfn.XLOOKUP(Orders[[#This Row],[Product_ID]], Products[Product_ID], Products[Cost_Price])</f>
        <v>0.7</v>
      </c>
      <c r="L124">
        <f>Orders[[#This Row],[Cost_Price]]*Orders[[#This Row],[Quantity]]</f>
        <v>13.299999999999999</v>
      </c>
      <c r="M124">
        <f>Orders[[#This Row],[Unit_Price]]*Orders[[#This Row],[Discount]]*Orders[[#This Row],[Quantity]]</f>
        <v>0</v>
      </c>
      <c r="N124" s="23">
        <f>Orders[[#This Row],[Gross_Sales]]-Orders[[#This Row],[Total_Cost]]-Orders[[#This Row],[Total_Discount]]</f>
        <v>13.299999999999999</v>
      </c>
      <c r="O124" s="23">
        <f>Orders[[#This Row],[Total_Cost]]+Orders[[#This Row],[Total_Discount]]</f>
        <v>13.299999999999999</v>
      </c>
      <c r="P124" t="str">
        <f>_xlfn.XLOOKUP(Orders[[#This Row],[Product_ID]], Products[Product_ID], Products[Product_Name])</f>
        <v>Spring Water</v>
      </c>
      <c r="Q124" t="str">
        <f>_xlfn.XLOOKUP(Orders[[#This Row],[Product_ID]], Products[Product_ID], Products[Category])</f>
        <v>Water</v>
      </c>
      <c r="R124" t="str">
        <f>_xlfn.XLOOKUP(Orders[[#This Row],[Customer_ID]], Customers[Customer_ID], Customers[County])</f>
        <v>Donegal</v>
      </c>
      <c r="S124" t="str">
        <f>_xlfn.XLOOKUP(Orders[[#This Row],[Customer_ID]], Customers[Customer_ID], Customers[Customer_Type])</f>
        <v>Hotel</v>
      </c>
      <c r="T124" t="str">
        <f>_xlfn.XLOOKUP(Orders[[#This Row],[Customer_ID]], Customers[Customer_ID], Customers[Preferred_Channel])</f>
        <v>Email</v>
      </c>
      <c r="U124" t="str">
        <f>_xlfn.XLOOKUP(Orders[[#This Row],[Product_ID]], Products[Product_ID], Products[Bottle_Size])</f>
        <v>500ml</v>
      </c>
    </row>
    <row r="125" spans="1:21" ht="15.75" customHeight="1">
      <c r="A125" s="2" t="s">
        <v>521</v>
      </c>
      <c r="B125" s="2">
        <f>DAY(Orders[[#This Row],[Order_Date]])</f>
        <v>27</v>
      </c>
      <c r="C125" s="20">
        <v>46200</v>
      </c>
      <c r="D125" s="2" t="s">
        <v>407</v>
      </c>
      <c r="E125" s="2" t="s">
        <v>69</v>
      </c>
      <c r="F125" s="2">
        <v>24</v>
      </c>
      <c r="G125" s="22">
        <v>0.05</v>
      </c>
      <c r="H125" s="22" t="s">
        <v>49</v>
      </c>
      <c r="I125">
        <f>_xlfn.XLOOKUP(Orders[[#This Row],[Product_ID]],Products[Product_ID], Products[Unit_Price])</f>
        <v>2</v>
      </c>
      <c r="J125">
        <f>Orders[[#This Row],[Quantity]]*Orders[[#This Row],[Unit_Price]]</f>
        <v>48</v>
      </c>
      <c r="K125">
        <f>_xlfn.XLOOKUP(Orders[[#This Row],[Product_ID]], Products[Product_ID], Products[Cost_Price])</f>
        <v>1.1000000000000001</v>
      </c>
      <c r="L125">
        <f>Orders[[#This Row],[Cost_Price]]*Orders[[#This Row],[Quantity]]</f>
        <v>26.400000000000002</v>
      </c>
      <c r="M125">
        <f>Orders[[#This Row],[Unit_Price]]*Orders[[#This Row],[Discount]]*Orders[[#This Row],[Quantity]]</f>
        <v>2.4000000000000004</v>
      </c>
      <c r="N125" s="23">
        <f>Orders[[#This Row],[Gross_Sales]]-Orders[[#This Row],[Total_Cost]]-Orders[[#This Row],[Total_Discount]]</f>
        <v>19.199999999999996</v>
      </c>
      <c r="O125" s="23">
        <f>Orders[[#This Row],[Total_Cost]]+Orders[[#This Row],[Total_Discount]]</f>
        <v>28.800000000000004</v>
      </c>
      <c r="P125" t="str">
        <f>_xlfn.XLOOKUP(Orders[[#This Row],[Product_ID]], Products[Product_ID], Products[Product_Name])</f>
        <v>Apple Juice</v>
      </c>
      <c r="Q125" t="str">
        <f>_xlfn.XLOOKUP(Orders[[#This Row],[Product_ID]], Products[Product_ID], Products[Category])</f>
        <v>Juice</v>
      </c>
      <c r="R125" t="str">
        <f>_xlfn.XLOOKUP(Orders[[#This Row],[Customer_ID]], Customers[Customer_ID], Customers[County])</f>
        <v>Cork</v>
      </c>
      <c r="S125" t="str">
        <f>_xlfn.XLOOKUP(Orders[[#This Row],[Customer_ID]], Customers[Customer_ID], Customers[Customer_Type])</f>
        <v>Hotel</v>
      </c>
      <c r="T125" t="str">
        <f>_xlfn.XLOOKUP(Orders[[#This Row],[Customer_ID]], Customers[Customer_ID], Customers[Preferred_Channel])</f>
        <v>Email</v>
      </c>
      <c r="U125" t="str">
        <f>_xlfn.XLOOKUP(Orders[[#This Row],[Product_ID]], Products[Product_ID], Products[Bottle_Size])</f>
        <v>1L</v>
      </c>
    </row>
    <row r="126" spans="1:21" ht="15.75" customHeight="1">
      <c r="A126" s="2" t="s">
        <v>522</v>
      </c>
      <c r="B126" s="2">
        <f>DAY(Orders[[#This Row],[Order_Date]])</f>
        <v>10</v>
      </c>
      <c r="C126" s="20">
        <v>46183</v>
      </c>
      <c r="D126" s="2" t="s">
        <v>114</v>
      </c>
      <c r="E126" s="2" t="s">
        <v>151</v>
      </c>
      <c r="F126" s="2">
        <v>49</v>
      </c>
      <c r="G126" s="22">
        <v>0</v>
      </c>
      <c r="H126" s="22" t="s">
        <v>61</v>
      </c>
      <c r="I126">
        <f>_xlfn.XLOOKUP(Orders[[#This Row],[Product_ID]],Products[Product_ID], Products[Unit_Price])</f>
        <v>1.5</v>
      </c>
      <c r="J126">
        <f>Orders[[#This Row],[Quantity]]*Orders[[#This Row],[Unit_Price]]</f>
        <v>73.5</v>
      </c>
      <c r="K126">
        <f>_xlfn.XLOOKUP(Orders[[#This Row],[Product_ID]], Products[Product_ID], Products[Cost_Price])</f>
        <v>0.8</v>
      </c>
      <c r="L126">
        <f>Orders[[#This Row],[Cost_Price]]*Orders[[#This Row],[Quantity]]</f>
        <v>39.200000000000003</v>
      </c>
      <c r="M126">
        <f>Orders[[#This Row],[Unit_Price]]*Orders[[#This Row],[Discount]]*Orders[[#This Row],[Quantity]]</f>
        <v>0</v>
      </c>
      <c r="N126" s="23">
        <f>Orders[[#This Row],[Gross_Sales]]-Orders[[#This Row],[Total_Cost]]-Orders[[#This Row],[Total_Discount]]</f>
        <v>34.299999999999997</v>
      </c>
      <c r="O126" s="23">
        <f>Orders[[#This Row],[Total_Cost]]+Orders[[#This Row],[Total_Discount]]</f>
        <v>39.200000000000003</v>
      </c>
      <c r="P126" t="str">
        <f>_xlfn.XLOOKUP(Orders[[#This Row],[Product_ID]], Products[Product_ID], Products[Product_Name])</f>
        <v>Kids Juice</v>
      </c>
      <c r="Q126" t="str">
        <f>_xlfn.XLOOKUP(Orders[[#This Row],[Product_ID]], Products[Product_ID], Products[Category])</f>
        <v>Juice</v>
      </c>
      <c r="R126" t="str">
        <f>_xlfn.XLOOKUP(Orders[[#This Row],[Customer_ID]], Customers[Customer_ID], Customers[County])</f>
        <v>Clare</v>
      </c>
      <c r="S126" t="str">
        <f>_xlfn.XLOOKUP(Orders[[#This Row],[Customer_ID]], Customers[Customer_ID], Customers[Customer_Type])</f>
        <v>Café</v>
      </c>
      <c r="T126" t="str">
        <f>_xlfn.XLOOKUP(Orders[[#This Row],[Customer_ID]], Customers[Customer_ID], Customers[Preferred_Channel])</f>
        <v>Phone</v>
      </c>
      <c r="U126" t="str">
        <f>_xlfn.XLOOKUP(Orders[[#This Row],[Product_ID]], Products[Product_ID], Products[Bottle_Size])</f>
        <v>250ml</v>
      </c>
    </row>
    <row r="127" spans="1:21" ht="15.75" customHeight="1">
      <c r="A127" s="2" t="s">
        <v>523</v>
      </c>
      <c r="B127" s="2">
        <f>DAY(Orders[[#This Row],[Order_Date]])</f>
        <v>14</v>
      </c>
      <c r="C127" s="20">
        <v>46187</v>
      </c>
      <c r="D127" s="2" t="s">
        <v>290</v>
      </c>
      <c r="E127" s="2" t="s">
        <v>170</v>
      </c>
      <c r="F127" s="2">
        <v>36</v>
      </c>
      <c r="G127" s="22">
        <v>0</v>
      </c>
      <c r="H127" s="22" t="s">
        <v>61</v>
      </c>
      <c r="I127">
        <f>_xlfn.XLOOKUP(Orders[[#This Row],[Product_ID]],Products[Product_ID], Products[Unit_Price])</f>
        <v>1.9</v>
      </c>
      <c r="J127">
        <f>Orders[[#This Row],[Quantity]]*Orders[[#This Row],[Unit_Price]]</f>
        <v>68.399999999999991</v>
      </c>
      <c r="K127">
        <f>_xlfn.XLOOKUP(Orders[[#This Row],[Product_ID]], Products[Product_ID], Products[Cost_Price])</f>
        <v>0.95</v>
      </c>
      <c r="L127">
        <f>Orders[[#This Row],[Cost_Price]]*Orders[[#This Row],[Quantity]]</f>
        <v>34.199999999999996</v>
      </c>
      <c r="M127">
        <f>Orders[[#This Row],[Unit_Price]]*Orders[[#This Row],[Discount]]*Orders[[#This Row],[Quantity]]</f>
        <v>0</v>
      </c>
      <c r="N127" s="23">
        <f>Orders[[#This Row],[Gross_Sales]]-Orders[[#This Row],[Total_Cost]]-Orders[[#This Row],[Total_Discount]]</f>
        <v>34.199999999999996</v>
      </c>
      <c r="O127" s="23">
        <f>Orders[[#This Row],[Total_Cost]]+Orders[[#This Row],[Total_Discount]]</f>
        <v>34.199999999999996</v>
      </c>
      <c r="P127" t="str">
        <f>_xlfn.XLOOKUP(Orders[[#This Row],[Product_ID]], Products[Product_ID], Products[Product_Name])</f>
        <v>Vitamin Water</v>
      </c>
      <c r="Q127" t="str">
        <f>_xlfn.XLOOKUP(Orders[[#This Row],[Product_ID]], Products[Product_ID], Products[Category])</f>
        <v>Water</v>
      </c>
      <c r="R127" t="str">
        <f>_xlfn.XLOOKUP(Orders[[#This Row],[Customer_ID]], Customers[Customer_ID], Customers[County])</f>
        <v>Waterford</v>
      </c>
      <c r="S127" t="str">
        <f>_xlfn.XLOOKUP(Orders[[#This Row],[Customer_ID]], Customers[Customer_ID], Customers[Customer_Type])</f>
        <v>Café</v>
      </c>
      <c r="T127" t="str">
        <f>_xlfn.XLOOKUP(Orders[[#This Row],[Customer_ID]], Customers[Customer_ID], Customers[Preferred_Channel])</f>
        <v>Phone</v>
      </c>
      <c r="U127" t="str">
        <f>_xlfn.XLOOKUP(Orders[[#This Row],[Product_ID]], Products[Product_ID], Products[Bottle_Size])</f>
        <v>500ml</v>
      </c>
    </row>
    <row r="128" spans="1:21" ht="15.75" customHeight="1">
      <c r="A128" s="2" t="s">
        <v>525</v>
      </c>
      <c r="B128" s="2">
        <f>DAY(Orders[[#This Row],[Order_Date]])</f>
        <v>30</v>
      </c>
      <c r="C128" s="20">
        <v>46203</v>
      </c>
      <c r="D128" s="2" t="s">
        <v>293</v>
      </c>
      <c r="E128" s="2" t="s">
        <v>217</v>
      </c>
      <c r="F128" s="2">
        <v>36</v>
      </c>
      <c r="G128" s="22">
        <v>0</v>
      </c>
      <c r="H128" s="22" t="s">
        <v>61</v>
      </c>
      <c r="I128">
        <f>_xlfn.XLOOKUP(Orders[[#This Row],[Product_ID]],Products[Product_ID], Products[Unit_Price])</f>
        <v>1.4</v>
      </c>
      <c r="J128">
        <f>Orders[[#This Row],[Quantity]]*Orders[[#This Row],[Unit_Price]]</f>
        <v>50.4</v>
      </c>
      <c r="K128">
        <f>_xlfn.XLOOKUP(Orders[[#This Row],[Product_ID]], Products[Product_ID], Products[Cost_Price])</f>
        <v>0.7</v>
      </c>
      <c r="L128">
        <f>Orders[[#This Row],[Cost_Price]]*Orders[[#This Row],[Quantity]]</f>
        <v>25.2</v>
      </c>
      <c r="M128">
        <f>Orders[[#This Row],[Unit_Price]]*Orders[[#This Row],[Discount]]*Orders[[#This Row],[Quantity]]</f>
        <v>0</v>
      </c>
      <c r="N128" s="23">
        <f>Orders[[#This Row],[Gross_Sales]]-Orders[[#This Row],[Total_Cost]]-Orders[[#This Row],[Total_Discount]]</f>
        <v>25.2</v>
      </c>
      <c r="O128" s="23">
        <f>Orders[[#This Row],[Total_Cost]]+Orders[[#This Row],[Total_Discount]]</f>
        <v>25.2</v>
      </c>
      <c r="P128" t="str">
        <f>_xlfn.XLOOKUP(Orders[[#This Row],[Product_ID]], Products[Product_ID], Products[Product_Name])</f>
        <v>Spring Water</v>
      </c>
      <c r="Q128" t="str">
        <f>_xlfn.XLOOKUP(Orders[[#This Row],[Product_ID]], Products[Product_ID], Products[Category])</f>
        <v>Water</v>
      </c>
      <c r="R128" t="str">
        <f>_xlfn.XLOOKUP(Orders[[#This Row],[Customer_ID]], Customers[Customer_ID], Customers[County])</f>
        <v>Kildare</v>
      </c>
      <c r="S128" t="str">
        <f>_xlfn.XLOOKUP(Orders[[#This Row],[Customer_ID]], Customers[Customer_ID], Customers[Customer_Type])</f>
        <v>Hotel</v>
      </c>
      <c r="T128" t="str">
        <f>_xlfn.XLOOKUP(Orders[[#This Row],[Customer_ID]], Customers[Customer_ID], Customers[Preferred_Channel])</f>
        <v>Online</v>
      </c>
      <c r="U128" t="str">
        <f>_xlfn.XLOOKUP(Orders[[#This Row],[Product_ID]], Products[Product_ID], Products[Bottle_Size])</f>
        <v>500ml</v>
      </c>
    </row>
    <row r="129" spans="1:21" ht="15.75" customHeight="1">
      <c r="A129" s="2" t="s">
        <v>526</v>
      </c>
      <c r="B129" s="2">
        <f>DAY(Orders[[#This Row],[Order_Date]])</f>
        <v>12</v>
      </c>
      <c r="C129" s="20">
        <v>46185</v>
      </c>
      <c r="D129" s="2" t="s">
        <v>359</v>
      </c>
      <c r="E129" s="2" t="s">
        <v>180</v>
      </c>
      <c r="F129" s="2">
        <v>43</v>
      </c>
      <c r="G129" s="22">
        <v>0.05</v>
      </c>
      <c r="H129" s="22" t="s">
        <v>61</v>
      </c>
      <c r="I129">
        <f>_xlfn.XLOOKUP(Orders[[#This Row],[Product_ID]],Products[Product_ID], Products[Unit_Price])</f>
        <v>2.4</v>
      </c>
      <c r="J129">
        <f>Orders[[#This Row],[Quantity]]*Orders[[#This Row],[Unit_Price]]</f>
        <v>103.2</v>
      </c>
      <c r="K129">
        <f>_xlfn.XLOOKUP(Orders[[#This Row],[Product_ID]], Products[Product_ID], Products[Cost_Price])</f>
        <v>1.35</v>
      </c>
      <c r="L129">
        <f>Orders[[#This Row],[Cost_Price]]*Orders[[#This Row],[Quantity]]</f>
        <v>58.050000000000004</v>
      </c>
      <c r="M129">
        <f>Orders[[#This Row],[Unit_Price]]*Orders[[#This Row],[Discount]]*Orders[[#This Row],[Quantity]]</f>
        <v>5.16</v>
      </c>
      <c r="N129" s="23">
        <f>Orders[[#This Row],[Gross_Sales]]-Orders[[#This Row],[Total_Cost]]-Orders[[#This Row],[Total_Discount]]</f>
        <v>39.989999999999995</v>
      </c>
      <c r="O129" s="23">
        <f>Orders[[#This Row],[Total_Cost]]+Orders[[#This Row],[Total_Discount]]</f>
        <v>63.210000000000008</v>
      </c>
      <c r="P129" t="str">
        <f>_xlfn.XLOOKUP(Orders[[#This Row],[Product_ID]], Products[Product_ID], Products[Product_Name])</f>
        <v>Pineapple Juice</v>
      </c>
      <c r="Q129" t="str">
        <f>_xlfn.XLOOKUP(Orders[[#This Row],[Product_ID]], Products[Product_ID], Products[Category])</f>
        <v>Juice</v>
      </c>
      <c r="R129" t="str">
        <f>_xlfn.XLOOKUP(Orders[[#This Row],[Customer_ID]], Customers[Customer_ID], Customers[County])</f>
        <v>Louth</v>
      </c>
      <c r="S129" t="str">
        <f>_xlfn.XLOOKUP(Orders[[#This Row],[Customer_ID]], Customers[Customer_ID], Customers[Customer_Type])</f>
        <v>Restaurant</v>
      </c>
      <c r="T129" t="str">
        <f>_xlfn.XLOOKUP(Orders[[#This Row],[Customer_ID]], Customers[Customer_ID], Customers[Preferred_Channel])</f>
        <v>Sales Rep</v>
      </c>
      <c r="U129" t="str">
        <f>_xlfn.XLOOKUP(Orders[[#This Row],[Product_ID]], Products[Product_ID], Products[Bottle_Size])</f>
        <v>1L</v>
      </c>
    </row>
    <row r="130" spans="1:21" ht="15.75" customHeight="1">
      <c r="A130" s="2" t="s">
        <v>527</v>
      </c>
      <c r="B130" s="2">
        <f>DAY(Orders[[#This Row],[Order_Date]])</f>
        <v>23</v>
      </c>
      <c r="C130" s="20">
        <v>46196</v>
      </c>
      <c r="D130" s="2" t="s">
        <v>56</v>
      </c>
      <c r="E130" s="2" t="s">
        <v>217</v>
      </c>
      <c r="F130" s="2">
        <v>31</v>
      </c>
      <c r="G130" s="22">
        <v>0.05</v>
      </c>
      <c r="H130" s="22" t="s">
        <v>61</v>
      </c>
      <c r="I130">
        <f>_xlfn.XLOOKUP(Orders[[#This Row],[Product_ID]],Products[Product_ID], Products[Unit_Price])</f>
        <v>1.4</v>
      </c>
      <c r="J130">
        <f>Orders[[#This Row],[Quantity]]*Orders[[#This Row],[Unit_Price]]</f>
        <v>43.4</v>
      </c>
      <c r="K130">
        <f>_xlfn.XLOOKUP(Orders[[#This Row],[Product_ID]], Products[Product_ID], Products[Cost_Price])</f>
        <v>0.7</v>
      </c>
      <c r="L130">
        <f>Orders[[#This Row],[Cost_Price]]*Orders[[#This Row],[Quantity]]</f>
        <v>21.7</v>
      </c>
      <c r="M130">
        <f>Orders[[#This Row],[Unit_Price]]*Orders[[#This Row],[Discount]]*Orders[[#This Row],[Quantity]]</f>
        <v>2.17</v>
      </c>
      <c r="N130" s="23">
        <f>Orders[[#This Row],[Gross_Sales]]-Orders[[#This Row],[Total_Cost]]-Orders[[#This Row],[Total_Discount]]</f>
        <v>19.53</v>
      </c>
      <c r="O130" s="23">
        <f>Orders[[#This Row],[Total_Cost]]+Orders[[#This Row],[Total_Discount]]</f>
        <v>23.869999999999997</v>
      </c>
      <c r="P130" t="str">
        <f>_xlfn.XLOOKUP(Orders[[#This Row],[Product_ID]], Products[Product_ID], Products[Product_Name])</f>
        <v>Spring Water</v>
      </c>
      <c r="Q130" t="str">
        <f>_xlfn.XLOOKUP(Orders[[#This Row],[Product_ID]], Products[Product_ID], Products[Category])</f>
        <v>Water</v>
      </c>
      <c r="R130" t="str">
        <f>_xlfn.XLOOKUP(Orders[[#This Row],[Customer_ID]], Customers[Customer_ID], Customers[County])</f>
        <v>Offaly</v>
      </c>
      <c r="S130" t="str">
        <f>_xlfn.XLOOKUP(Orders[[#This Row],[Customer_ID]], Customers[Customer_ID], Customers[Customer_Type])</f>
        <v>Café</v>
      </c>
      <c r="T130" t="str">
        <f>_xlfn.XLOOKUP(Orders[[#This Row],[Customer_ID]], Customers[Customer_ID], Customers[Preferred_Channel])</f>
        <v>Sales Rep</v>
      </c>
      <c r="U130" t="str">
        <f>_xlfn.XLOOKUP(Orders[[#This Row],[Product_ID]], Products[Product_ID], Products[Bottle_Size])</f>
        <v>500ml</v>
      </c>
    </row>
    <row r="131" spans="1:21" ht="15.75" customHeight="1">
      <c r="A131" s="2" t="s">
        <v>529</v>
      </c>
      <c r="B131" s="2">
        <f>DAY(Orders[[#This Row],[Order_Date]])</f>
        <v>26</v>
      </c>
      <c r="C131" s="20">
        <v>46199</v>
      </c>
      <c r="D131" s="2" t="s">
        <v>231</v>
      </c>
      <c r="E131" s="2" t="s">
        <v>151</v>
      </c>
      <c r="F131" s="2">
        <v>27</v>
      </c>
      <c r="G131" s="22">
        <v>0</v>
      </c>
      <c r="H131" s="22" t="s">
        <v>61</v>
      </c>
      <c r="I131">
        <f>_xlfn.XLOOKUP(Orders[[#This Row],[Product_ID]],Products[Product_ID], Products[Unit_Price])</f>
        <v>1.5</v>
      </c>
      <c r="J131">
        <f>Orders[[#This Row],[Quantity]]*Orders[[#This Row],[Unit_Price]]</f>
        <v>40.5</v>
      </c>
      <c r="K131">
        <f>_xlfn.XLOOKUP(Orders[[#This Row],[Product_ID]], Products[Product_ID], Products[Cost_Price])</f>
        <v>0.8</v>
      </c>
      <c r="L131">
        <f>Orders[[#This Row],[Cost_Price]]*Orders[[#This Row],[Quantity]]</f>
        <v>21.6</v>
      </c>
      <c r="M131">
        <f>Orders[[#This Row],[Unit_Price]]*Orders[[#This Row],[Discount]]*Orders[[#This Row],[Quantity]]</f>
        <v>0</v>
      </c>
      <c r="N131" s="23">
        <f>Orders[[#This Row],[Gross_Sales]]-Orders[[#This Row],[Total_Cost]]-Orders[[#This Row],[Total_Discount]]</f>
        <v>18.899999999999999</v>
      </c>
      <c r="O131" s="23">
        <f>Orders[[#This Row],[Total_Cost]]+Orders[[#This Row],[Total_Discount]]</f>
        <v>21.6</v>
      </c>
      <c r="P131" t="str">
        <f>_xlfn.XLOOKUP(Orders[[#This Row],[Product_ID]], Products[Product_ID], Products[Product_Name])</f>
        <v>Kids Juice</v>
      </c>
      <c r="Q131" t="str">
        <f>_xlfn.XLOOKUP(Orders[[#This Row],[Product_ID]], Products[Product_ID], Products[Category])</f>
        <v>Juice</v>
      </c>
      <c r="R131" t="str">
        <f>_xlfn.XLOOKUP(Orders[[#This Row],[Customer_ID]], Customers[Customer_ID], Customers[County])</f>
        <v>Louth</v>
      </c>
      <c r="S131" t="str">
        <f>_xlfn.XLOOKUP(Orders[[#This Row],[Customer_ID]], Customers[Customer_ID], Customers[Customer_Type])</f>
        <v>Hotel</v>
      </c>
      <c r="T131" t="str">
        <f>_xlfn.XLOOKUP(Orders[[#This Row],[Customer_ID]], Customers[Customer_ID], Customers[Preferred_Channel])</f>
        <v>Phone</v>
      </c>
      <c r="U131" t="str">
        <f>_xlfn.XLOOKUP(Orders[[#This Row],[Product_ID]], Products[Product_ID], Products[Bottle_Size])</f>
        <v>250ml</v>
      </c>
    </row>
    <row r="132" spans="1:21" ht="15.75" customHeight="1">
      <c r="A132" s="2" t="s">
        <v>530</v>
      </c>
      <c r="B132" s="2">
        <f>DAY(Orders[[#This Row],[Order_Date]])</f>
        <v>29</v>
      </c>
      <c r="C132" s="20">
        <v>46202</v>
      </c>
      <c r="D132" s="2" t="s">
        <v>402</v>
      </c>
      <c r="E132" s="2" t="s">
        <v>117</v>
      </c>
      <c r="F132" s="2">
        <v>15</v>
      </c>
      <c r="G132" s="22">
        <v>0</v>
      </c>
      <c r="H132" s="22" t="s">
        <v>61</v>
      </c>
      <c r="I132">
        <f>_xlfn.XLOOKUP(Orders[[#This Row],[Product_ID]],Products[Product_ID], Products[Unit_Price])</f>
        <v>1.9</v>
      </c>
      <c r="J132">
        <f>Orders[[#This Row],[Quantity]]*Orders[[#This Row],[Unit_Price]]</f>
        <v>28.5</v>
      </c>
      <c r="K132">
        <f>_xlfn.XLOOKUP(Orders[[#This Row],[Product_ID]], Products[Product_ID], Products[Cost_Price])</f>
        <v>1</v>
      </c>
      <c r="L132">
        <f>Orders[[#This Row],[Cost_Price]]*Orders[[#This Row],[Quantity]]</f>
        <v>15</v>
      </c>
      <c r="M132">
        <f>Orders[[#This Row],[Unit_Price]]*Orders[[#This Row],[Discount]]*Orders[[#This Row],[Quantity]]</f>
        <v>0</v>
      </c>
      <c r="N132" s="23">
        <f>Orders[[#This Row],[Gross_Sales]]-Orders[[#This Row],[Total_Cost]]-Orders[[#This Row],[Total_Discount]]</f>
        <v>13.5</v>
      </c>
      <c r="O132" s="23">
        <f>Orders[[#This Row],[Total_Cost]]+Orders[[#This Row],[Total_Discount]]</f>
        <v>15</v>
      </c>
      <c r="P132" t="str">
        <f>_xlfn.XLOOKUP(Orders[[#This Row],[Product_ID]], Products[Product_ID], Products[Product_Name])</f>
        <v>Tonic Water</v>
      </c>
      <c r="Q132" t="str">
        <f>_xlfn.XLOOKUP(Orders[[#This Row],[Product_ID]], Products[Product_ID], Products[Category])</f>
        <v>Water</v>
      </c>
      <c r="R132" t="str">
        <f>_xlfn.XLOOKUP(Orders[[#This Row],[Customer_ID]], Customers[Customer_ID], Customers[County])</f>
        <v>Cork</v>
      </c>
      <c r="S132" t="str">
        <f>_xlfn.XLOOKUP(Orders[[#This Row],[Customer_ID]], Customers[Customer_ID], Customers[Customer_Type])</f>
        <v>Retailer</v>
      </c>
      <c r="T132" t="str">
        <f>_xlfn.XLOOKUP(Orders[[#This Row],[Customer_ID]], Customers[Customer_ID], Customers[Preferred_Channel])</f>
        <v>Distributor</v>
      </c>
      <c r="U132" t="str">
        <f>_xlfn.XLOOKUP(Orders[[#This Row],[Product_ID]], Products[Product_ID], Products[Bottle_Size])</f>
        <v>1L</v>
      </c>
    </row>
    <row r="133" spans="1:21" ht="15.75" customHeight="1">
      <c r="A133" s="2" t="s">
        <v>531</v>
      </c>
      <c r="B133" s="2">
        <f>DAY(Orders[[#This Row],[Order_Date]])</f>
        <v>11</v>
      </c>
      <c r="C133" s="20">
        <v>46184</v>
      </c>
      <c r="D133" s="2" t="s">
        <v>160</v>
      </c>
      <c r="E133" s="2" t="s">
        <v>17</v>
      </c>
      <c r="F133" s="2">
        <v>11</v>
      </c>
      <c r="G133" s="22">
        <v>0</v>
      </c>
      <c r="H133" s="22" t="s">
        <v>49</v>
      </c>
      <c r="I133">
        <f>_xlfn.XLOOKUP(Orders[[#This Row],[Product_ID]],Products[Product_ID], Products[Unit_Price])</f>
        <v>1.2</v>
      </c>
      <c r="J133">
        <f>Orders[[#This Row],[Quantity]]*Orders[[#This Row],[Unit_Price]]</f>
        <v>13.2</v>
      </c>
      <c r="K133">
        <f>_xlfn.XLOOKUP(Orders[[#This Row],[Product_ID]], Products[Product_ID], Products[Cost_Price])</f>
        <v>0.6</v>
      </c>
      <c r="L133">
        <f>Orders[[#This Row],[Cost_Price]]*Orders[[#This Row],[Quantity]]</f>
        <v>6.6</v>
      </c>
      <c r="M133">
        <f>Orders[[#This Row],[Unit_Price]]*Orders[[#This Row],[Discount]]*Orders[[#This Row],[Quantity]]</f>
        <v>0</v>
      </c>
      <c r="N133" s="23">
        <f>Orders[[#This Row],[Gross_Sales]]-Orders[[#This Row],[Total_Cost]]-Orders[[#This Row],[Total_Discount]]</f>
        <v>6.6</v>
      </c>
      <c r="O133" s="23">
        <f>Orders[[#This Row],[Total_Cost]]+Orders[[#This Row],[Total_Discount]]</f>
        <v>6.6</v>
      </c>
      <c r="P133" t="str">
        <f>_xlfn.XLOOKUP(Orders[[#This Row],[Product_ID]], Products[Product_ID], Products[Product_Name])</f>
        <v>Still Water</v>
      </c>
      <c r="Q133" t="str">
        <f>_xlfn.XLOOKUP(Orders[[#This Row],[Product_ID]], Products[Product_ID], Products[Category])</f>
        <v>Water</v>
      </c>
      <c r="R133" t="str">
        <f>_xlfn.XLOOKUP(Orders[[#This Row],[Customer_ID]], Customers[Customer_ID], Customers[County])</f>
        <v>Offaly</v>
      </c>
      <c r="S133" t="str">
        <f>_xlfn.XLOOKUP(Orders[[#This Row],[Customer_ID]], Customers[Customer_ID], Customers[Customer_Type])</f>
        <v>Hotel</v>
      </c>
      <c r="T133" t="str">
        <f>_xlfn.XLOOKUP(Orders[[#This Row],[Customer_ID]], Customers[Customer_ID], Customers[Preferred_Channel])</f>
        <v>Email</v>
      </c>
      <c r="U133" t="str">
        <f>_xlfn.XLOOKUP(Orders[[#This Row],[Product_ID]], Products[Product_ID], Products[Bottle_Size])</f>
        <v>500ml</v>
      </c>
    </row>
    <row r="134" spans="1:21" ht="15.75" customHeight="1">
      <c r="A134" s="2" t="s">
        <v>532</v>
      </c>
      <c r="B134" s="2">
        <f>DAY(Orders[[#This Row],[Order_Date]])</f>
        <v>4</v>
      </c>
      <c r="C134" s="20">
        <v>46177</v>
      </c>
      <c r="D134" s="2" t="s">
        <v>176</v>
      </c>
      <c r="E134" s="2" t="s">
        <v>139</v>
      </c>
      <c r="F134" s="2">
        <v>36</v>
      </c>
      <c r="G134" s="22">
        <v>0</v>
      </c>
      <c r="H134" s="22" t="s">
        <v>61</v>
      </c>
      <c r="I134">
        <f>_xlfn.XLOOKUP(Orders[[#This Row],[Product_ID]],Products[Product_ID], Products[Unit_Price])</f>
        <v>2.2999999999999998</v>
      </c>
      <c r="J134">
        <f>Orders[[#This Row],[Quantity]]*Orders[[#This Row],[Unit_Price]]</f>
        <v>82.8</v>
      </c>
      <c r="K134">
        <f>_xlfn.XLOOKUP(Orders[[#This Row],[Product_ID]], Products[Product_ID], Products[Cost_Price])</f>
        <v>1.25</v>
      </c>
      <c r="L134">
        <f>Orders[[#This Row],[Cost_Price]]*Orders[[#This Row],[Quantity]]</f>
        <v>45</v>
      </c>
      <c r="M134">
        <f>Orders[[#This Row],[Unit_Price]]*Orders[[#This Row],[Discount]]*Orders[[#This Row],[Quantity]]</f>
        <v>0</v>
      </c>
      <c r="N134" s="23">
        <f>Orders[[#This Row],[Gross_Sales]]-Orders[[#This Row],[Total_Cost]]-Orders[[#This Row],[Total_Discount]]</f>
        <v>37.799999999999997</v>
      </c>
      <c r="O134" s="23">
        <f>Orders[[#This Row],[Total_Cost]]+Orders[[#This Row],[Total_Discount]]</f>
        <v>45</v>
      </c>
      <c r="P134" t="str">
        <f>_xlfn.XLOOKUP(Orders[[#This Row],[Product_ID]], Products[Product_ID], Products[Product_Name])</f>
        <v>Mango Juice</v>
      </c>
      <c r="Q134" t="str">
        <f>_xlfn.XLOOKUP(Orders[[#This Row],[Product_ID]], Products[Product_ID], Products[Category])</f>
        <v>Juice</v>
      </c>
      <c r="R134" t="str">
        <f>_xlfn.XLOOKUP(Orders[[#This Row],[Customer_ID]], Customers[Customer_ID], Customers[County])</f>
        <v>Wexford</v>
      </c>
      <c r="S134" t="str">
        <f>_xlfn.XLOOKUP(Orders[[#This Row],[Customer_ID]], Customers[Customer_ID], Customers[Customer_Type])</f>
        <v>Retailer</v>
      </c>
      <c r="T134" t="str">
        <f>_xlfn.XLOOKUP(Orders[[#This Row],[Customer_ID]], Customers[Customer_ID], Customers[Preferred_Channel])</f>
        <v>Phone</v>
      </c>
      <c r="U134" t="str">
        <f>_xlfn.XLOOKUP(Orders[[#This Row],[Product_ID]], Products[Product_ID], Products[Bottle_Size])</f>
        <v>1L</v>
      </c>
    </row>
    <row r="135" spans="1:21" ht="15.75" customHeight="1">
      <c r="A135" s="2" t="s">
        <v>533</v>
      </c>
      <c r="B135" s="2">
        <f>DAY(Orders[[#This Row],[Order_Date]])</f>
        <v>22</v>
      </c>
      <c r="C135" s="20">
        <v>46195</v>
      </c>
      <c r="D135" s="2" t="s">
        <v>342</v>
      </c>
      <c r="E135" s="2" t="s">
        <v>139</v>
      </c>
      <c r="F135" s="2">
        <v>34</v>
      </c>
      <c r="G135" s="22">
        <v>0</v>
      </c>
      <c r="H135" s="22" t="s">
        <v>61</v>
      </c>
      <c r="I135">
        <f>_xlfn.XLOOKUP(Orders[[#This Row],[Product_ID]],Products[Product_ID], Products[Unit_Price])</f>
        <v>2.2999999999999998</v>
      </c>
      <c r="J135">
        <f>Orders[[#This Row],[Quantity]]*Orders[[#This Row],[Unit_Price]]</f>
        <v>78.199999999999989</v>
      </c>
      <c r="K135">
        <f>_xlfn.XLOOKUP(Orders[[#This Row],[Product_ID]], Products[Product_ID], Products[Cost_Price])</f>
        <v>1.25</v>
      </c>
      <c r="L135">
        <f>Orders[[#This Row],[Cost_Price]]*Orders[[#This Row],[Quantity]]</f>
        <v>42.5</v>
      </c>
      <c r="M135">
        <f>Orders[[#This Row],[Unit_Price]]*Orders[[#This Row],[Discount]]*Orders[[#This Row],[Quantity]]</f>
        <v>0</v>
      </c>
      <c r="N135" s="23">
        <f>Orders[[#This Row],[Gross_Sales]]-Orders[[#This Row],[Total_Cost]]-Orders[[#This Row],[Total_Discount]]</f>
        <v>35.699999999999989</v>
      </c>
      <c r="O135" s="23">
        <f>Orders[[#This Row],[Total_Cost]]+Orders[[#This Row],[Total_Discount]]</f>
        <v>42.5</v>
      </c>
      <c r="P135" t="str">
        <f>_xlfn.XLOOKUP(Orders[[#This Row],[Product_ID]], Products[Product_ID], Products[Product_Name])</f>
        <v>Mango Juice</v>
      </c>
      <c r="Q135" t="str">
        <f>_xlfn.XLOOKUP(Orders[[#This Row],[Product_ID]], Products[Product_ID], Products[Category])</f>
        <v>Juice</v>
      </c>
      <c r="R135" t="str">
        <f>_xlfn.XLOOKUP(Orders[[#This Row],[Customer_ID]], Customers[Customer_ID], Customers[County])</f>
        <v>Wexford</v>
      </c>
      <c r="S135" t="str">
        <f>_xlfn.XLOOKUP(Orders[[#This Row],[Customer_ID]], Customers[Customer_ID], Customers[Customer_Type])</f>
        <v>Wholesaler</v>
      </c>
      <c r="T135" t="str">
        <f>_xlfn.XLOOKUP(Orders[[#This Row],[Customer_ID]], Customers[Customer_ID], Customers[Preferred_Channel])</f>
        <v>Email</v>
      </c>
      <c r="U135" t="str">
        <f>_xlfn.XLOOKUP(Orders[[#This Row],[Product_ID]], Products[Product_ID], Products[Bottle_Size])</f>
        <v>1L</v>
      </c>
    </row>
    <row r="136" spans="1:21" ht="15.75" customHeight="1">
      <c r="A136" s="2" t="s">
        <v>534</v>
      </c>
      <c r="B136" s="2">
        <f>DAY(Orders[[#This Row],[Order_Date]])</f>
        <v>10</v>
      </c>
      <c r="C136" s="20">
        <v>46183</v>
      </c>
      <c r="D136" s="2" t="s">
        <v>76</v>
      </c>
      <c r="E136" s="2" t="s">
        <v>95</v>
      </c>
      <c r="F136" s="2">
        <v>12</v>
      </c>
      <c r="G136" s="22">
        <v>0</v>
      </c>
      <c r="H136" s="22" t="s">
        <v>61</v>
      </c>
      <c r="I136">
        <f>_xlfn.XLOOKUP(Orders[[#This Row],[Product_ID]],Products[Product_ID], Products[Unit_Price])</f>
        <v>2.5</v>
      </c>
      <c r="J136">
        <f>Orders[[#This Row],[Quantity]]*Orders[[#This Row],[Unit_Price]]</f>
        <v>30</v>
      </c>
      <c r="K136">
        <f>_xlfn.XLOOKUP(Orders[[#This Row],[Product_ID]], Products[Product_ID], Products[Cost_Price])</f>
        <v>1.4</v>
      </c>
      <c r="L136">
        <f>Orders[[#This Row],[Cost_Price]]*Orders[[#This Row],[Quantity]]</f>
        <v>16.799999999999997</v>
      </c>
      <c r="M136">
        <f>Orders[[#This Row],[Unit_Price]]*Orders[[#This Row],[Discount]]*Orders[[#This Row],[Quantity]]</f>
        <v>0</v>
      </c>
      <c r="N136" s="23">
        <f>Orders[[#This Row],[Gross_Sales]]-Orders[[#This Row],[Total_Cost]]-Orders[[#This Row],[Total_Discount]]</f>
        <v>13.200000000000003</v>
      </c>
      <c r="O136" s="23">
        <f>Orders[[#This Row],[Total_Cost]]+Orders[[#This Row],[Total_Discount]]</f>
        <v>16.799999999999997</v>
      </c>
      <c r="P136" t="str">
        <f>_xlfn.XLOOKUP(Orders[[#This Row],[Product_ID]], Products[Product_ID], Products[Product_Name])</f>
        <v>Energy Boost</v>
      </c>
      <c r="Q136" t="str">
        <f>_xlfn.XLOOKUP(Orders[[#This Row],[Product_ID]], Products[Product_ID], Products[Category])</f>
        <v>Energy Drink</v>
      </c>
      <c r="R136" t="str">
        <f>_xlfn.XLOOKUP(Orders[[#This Row],[Customer_ID]], Customers[Customer_ID], Customers[County])</f>
        <v>Kerry</v>
      </c>
      <c r="S136" t="str">
        <f>_xlfn.XLOOKUP(Orders[[#This Row],[Customer_ID]], Customers[Customer_ID], Customers[Customer_Type])</f>
        <v>Restaurant</v>
      </c>
      <c r="T136" t="str">
        <f>_xlfn.XLOOKUP(Orders[[#This Row],[Customer_ID]], Customers[Customer_ID], Customers[Preferred_Channel])</f>
        <v>Distributor</v>
      </c>
      <c r="U136" t="str">
        <f>_xlfn.XLOOKUP(Orders[[#This Row],[Product_ID]], Products[Product_ID], Products[Bottle_Size])</f>
        <v>250ml</v>
      </c>
    </row>
    <row r="137" spans="1:21" ht="15.75" customHeight="1">
      <c r="A137" s="2" t="s">
        <v>535</v>
      </c>
      <c r="B137" s="2">
        <f>DAY(Orders[[#This Row],[Order_Date]])</f>
        <v>28</v>
      </c>
      <c r="C137" s="20">
        <v>46201</v>
      </c>
      <c r="D137" s="2" t="s">
        <v>185</v>
      </c>
      <c r="E137" s="2" t="s">
        <v>125</v>
      </c>
      <c r="F137" s="2">
        <v>39</v>
      </c>
      <c r="G137" s="22">
        <v>0</v>
      </c>
      <c r="H137" s="22" t="s">
        <v>61</v>
      </c>
      <c r="I137">
        <f>_xlfn.XLOOKUP(Orders[[#This Row],[Product_ID]],Products[Product_ID], Products[Unit_Price])</f>
        <v>2.2000000000000002</v>
      </c>
      <c r="J137">
        <f>Orders[[#This Row],[Quantity]]*Orders[[#This Row],[Unit_Price]]</f>
        <v>85.800000000000011</v>
      </c>
      <c r="K137">
        <f>_xlfn.XLOOKUP(Orders[[#This Row],[Product_ID]], Products[Product_ID], Products[Cost_Price])</f>
        <v>1.3</v>
      </c>
      <c r="L137">
        <f>Orders[[#This Row],[Cost_Price]]*Orders[[#This Row],[Quantity]]</f>
        <v>50.7</v>
      </c>
      <c r="M137">
        <f>Orders[[#This Row],[Unit_Price]]*Orders[[#This Row],[Discount]]*Orders[[#This Row],[Quantity]]</f>
        <v>0</v>
      </c>
      <c r="N137" s="23">
        <f>Orders[[#This Row],[Gross_Sales]]-Orders[[#This Row],[Total_Cost]]-Orders[[#This Row],[Total_Discount]]</f>
        <v>35.100000000000009</v>
      </c>
      <c r="O137" s="23">
        <f>Orders[[#This Row],[Total_Cost]]+Orders[[#This Row],[Total_Discount]]</f>
        <v>50.7</v>
      </c>
      <c r="P137" t="str">
        <f>_xlfn.XLOOKUP(Orders[[#This Row],[Product_ID]], Products[Product_ID], Products[Product_Name])</f>
        <v>Iced Tea</v>
      </c>
      <c r="Q137" t="str">
        <f>_xlfn.XLOOKUP(Orders[[#This Row],[Product_ID]], Products[Product_ID], Products[Category])</f>
        <v>Tea</v>
      </c>
      <c r="R137" t="str">
        <f>_xlfn.XLOOKUP(Orders[[#This Row],[Customer_ID]], Customers[Customer_ID], Customers[County])</f>
        <v>Limerick</v>
      </c>
      <c r="S137" t="str">
        <f>_xlfn.XLOOKUP(Orders[[#This Row],[Customer_ID]], Customers[Customer_ID], Customers[Customer_Type])</f>
        <v>Café</v>
      </c>
      <c r="T137" t="str">
        <f>_xlfn.XLOOKUP(Orders[[#This Row],[Customer_ID]], Customers[Customer_ID], Customers[Preferred_Channel])</f>
        <v>Phone</v>
      </c>
      <c r="U137" t="str">
        <f>_xlfn.XLOOKUP(Orders[[#This Row],[Product_ID]], Products[Product_ID], Products[Bottle_Size])</f>
        <v>500ml</v>
      </c>
    </row>
    <row r="138" spans="1:21" ht="15.75" customHeight="1">
      <c r="A138" s="2" t="s">
        <v>536</v>
      </c>
      <c r="B138" s="2">
        <f>DAY(Orders[[#This Row],[Order_Date]])</f>
        <v>6</v>
      </c>
      <c r="C138" s="20">
        <v>46179</v>
      </c>
      <c r="D138" s="2" t="s">
        <v>127</v>
      </c>
      <c r="E138" s="2" t="s">
        <v>134</v>
      </c>
      <c r="F138" s="2">
        <v>44</v>
      </c>
      <c r="G138" s="22">
        <v>0.05</v>
      </c>
      <c r="H138" s="22" t="s">
        <v>61</v>
      </c>
      <c r="I138">
        <f>_xlfn.XLOOKUP(Orders[[#This Row],[Product_ID]],Products[Product_ID], Products[Unit_Price])</f>
        <v>1.8</v>
      </c>
      <c r="J138">
        <f>Orders[[#This Row],[Quantity]]*Orders[[#This Row],[Unit_Price]]</f>
        <v>79.2</v>
      </c>
      <c r="K138">
        <f>_xlfn.XLOOKUP(Orders[[#This Row],[Product_ID]], Products[Product_ID], Products[Cost_Price])</f>
        <v>0.95</v>
      </c>
      <c r="L138">
        <f>Orders[[#This Row],[Cost_Price]]*Orders[[#This Row],[Quantity]]</f>
        <v>41.8</v>
      </c>
      <c r="M138">
        <f>Orders[[#This Row],[Unit_Price]]*Orders[[#This Row],[Discount]]*Orders[[#This Row],[Quantity]]</f>
        <v>3.9600000000000004</v>
      </c>
      <c r="N138" s="23">
        <f>Orders[[#This Row],[Gross_Sales]]-Orders[[#This Row],[Total_Cost]]-Orders[[#This Row],[Total_Discount]]</f>
        <v>33.440000000000005</v>
      </c>
      <c r="O138" s="23">
        <f>Orders[[#This Row],[Total_Cost]]+Orders[[#This Row],[Total_Discount]]</f>
        <v>45.76</v>
      </c>
      <c r="P138" t="str">
        <f>_xlfn.XLOOKUP(Orders[[#This Row],[Product_ID]], Products[Product_ID], Products[Product_Name])</f>
        <v>Sparkling Citrus</v>
      </c>
      <c r="Q138" t="str">
        <f>_xlfn.XLOOKUP(Orders[[#This Row],[Product_ID]], Products[Product_ID], Products[Category])</f>
        <v>Water</v>
      </c>
      <c r="R138" t="str">
        <f>_xlfn.XLOOKUP(Orders[[#This Row],[Customer_ID]], Customers[Customer_ID], Customers[County])</f>
        <v>Waterford</v>
      </c>
      <c r="S138" t="str">
        <f>_xlfn.XLOOKUP(Orders[[#This Row],[Customer_ID]], Customers[Customer_ID], Customers[Customer_Type])</f>
        <v>Supermarket</v>
      </c>
      <c r="T138" t="str">
        <f>_xlfn.XLOOKUP(Orders[[#This Row],[Customer_ID]], Customers[Customer_ID], Customers[Preferred_Channel])</f>
        <v>Email</v>
      </c>
      <c r="U138" t="str">
        <f>_xlfn.XLOOKUP(Orders[[#This Row],[Product_ID]], Products[Product_ID], Products[Bottle_Size])</f>
        <v>330ml</v>
      </c>
    </row>
    <row r="139" spans="1:21" ht="15.75" customHeight="1">
      <c r="A139" s="2" t="s">
        <v>537</v>
      </c>
      <c r="B139" s="2">
        <f>DAY(Orders[[#This Row],[Order_Date]])</f>
        <v>10</v>
      </c>
      <c r="C139" s="20">
        <v>46183</v>
      </c>
      <c r="D139" s="2" t="s">
        <v>127</v>
      </c>
      <c r="E139" s="2" t="s">
        <v>28</v>
      </c>
      <c r="F139" s="2">
        <v>49</v>
      </c>
      <c r="G139" s="22">
        <v>0</v>
      </c>
      <c r="H139" s="22" t="s">
        <v>61</v>
      </c>
      <c r="I139">
        <f>_xlfn.XLOOKUP(Orders[[#This Row],[Product_ID]],Products[Product_ID], Products[Unit_Price])</f>
        <v>1.8</v>
      </c>
      <c r="J139">
        <f>Orders[[#This Row],[Quantity]]*Orders[[#This Row],[Unit_Price]]</f>
        <v>88.2</v>
      </c>
      <c r="K139">
        <f>_xlfn.XLOOKUP(Orders[[#This Row],[Product_ID]], Products[Product_ID], Products[Cost_Price])</f>
        <v>0.9</v>
      </c>
      <c r="L139">
        <f>Orders[[#This Row],[Cost_Price]]*Orders[[#This Row],[Quantity]]</f>
        <v>44.1</v>
      </c>
      <c r="M139">
        <f>Orders[[#This Row],[Unit_Price]]*Orders[[#This Row],[Discount]]*Orders[[#This Row],[Quantity]]</f>
        <v>0</v>
      </c>
      <c r="N139" s="23">
        <f>Orders[[#This Row],[Gross_Sales]]-Orders[[#This Row],[Total_Cost]]-Orders[[#This Row],[Total_Discount]]</f>
        <v>44.1</v>
      </c>
      <c r="O139" s="23">
        <f>Orders[[#This Row],[Total_Cost]]+Orders[[#This Row],[Total_Discount]]</f>
        <v>44.1</v>
      </c>
      <c r="P139" t="str">
        <f>_xlfn.XLOOKUP(Orders[[#This Row],[Product_ID]], Products[Product_ID], Products[Product_Name])</f>
        <v>Sparkling Water</v>
      </c>
      <c r="Q139" t="str">
        <f>_xlfn.XLOOKUP(Orders[[#This Row],[Product_ID]], Products[Product_ID], Products[Category])</f>
        <v>Water</v>
      </c>
      <c r="R139" t="str">
        <f>_xlfn.XLOOKUP(Orders[[#This Row],[Customer_ID]], Customers[Customer_ID], Customers[County])</f>
        <v>Waterford</v>
      </c>
      <c r="S139" t="str">
        <f>_xlfn.XLOOKUP(Orders[[#This Row],[Customer_ID]], Customers[Customer_ID], Customers[Customer_Type])</f>
        <v>Supermarket</v>
      </c>
      <c r="T139" t="str">
        <f>_xlfn.XLOOKUP(Orders[[#This Row],[Customer_ID]], Customers[Customer_ID], Customers[Preferred_Channel])</f>
        <v>Email</v>
      </c>
      <c r="U139" t="str">
        <f>_xlfn.XLOOKUP(Orders[[#This Row],[Product_ID]], Products[Product_ID], Products[Bottle_Size])</f>
        <v>1L</v>
      </c>
    </row>
    <row r="140" spans="1:21" ht="15.75" customHeight="1">
      <c r="A140" s="2" t="s">
        <v>539</v>
      </c>
      <c r="B140" s="2">
        <f>DAY(Orders[[#This Row],[Order_Date]])</f>
        <v>24</v>
      </c>
      <c r="C140" s="20">
        <v>46197</v>
      </c>
      <c r="D140" s="2" t="s">
        <v>221</v>
      </c>
      <c r="E140" s="2" t="s">
        <v>84</v>
      </c>
      <c r="F140" s="2">
        <v>25</v>
      </c>
      <c r="G140" s="22">
        <v>0</v>
      </c>
      <c r="H140" s="22" t="s">
        <v>49</v>
      </c>
      <c r="I140">
        <f>_xlfn.XLOOKUP(Orders[[#This Row],[Product_ID]],Products[Product_ID], Products[Unit_Price])</f>
        <v>1.7</v>
      </c>
      <c r="J140">
        <f>Orders[[#This Row],[Quantity]]*Orders[[#This Row],[Unit_Price]]</f>
        <v>42.5</v>
      </c>
      <c r="K140">
        <f>_xlfn.XLOOKUP(Orders[[#This Row],[Product_ID]], Products[Product_ID], Products[Cost_Price])</f>
        <v>0.9</v>
      </c>
      <c r="L140">
        <f>Orders[[#This Row],[Cost_Price]]*Orders[[#This Row],[Quantity]]</f>
        <v>22.5</v>
      </c>
      <c r="M140">
        <f>Orders[[#This Row],[Unit_Price]]*Orders[[#This Row],[Discount]]*Orders[[#This Row],[Quantity]]</f>
        <v>0</v>
      </c>
      <c r="N140" s="23">
        <f>Orders[[#This Row],[Gross_Sales]]-Orders[[#This Row],[Total_Cost]]-Orders[[#This Row],[Total_Discount]]</f>
        <v>20</v>
      </c>
      <c r="O140" s="23">
        <f>Orders[[#This Row],[Total_Cost]]+Orders[[#This Row],[Total_Discount]]</f>
        <v>22.5</v>
      </c>
      <c r="P140" t="str">
        <f>_xlfn.XLOOKUP(Orders[[#This Row],[Product_ID]], Products[Product_ID], Products[Product_Name])</f>
        <v>Lemon Lime</v>
      </c>
      <c r="Q140" t="str">
        <f>_xlfn.XLOOKUP(Orders[[#This Row],[Product_ID]], Products[Product_ID], Products[Category])</f>
        <v>Soft Drink</v>
      </c>
      <c r="R140" t="str">
        <f>_xlfn.XLOOKUP(Orders[[#This Row],[Customer_ID]], Customers[Customer_ID], Customers[County])</f>
        <v>Galway</v>
      </c>
      <c r="S140" t="str">
        <f>_xlfn.XLOOKUP(Orders[[#This Row],[Customer_ID]], Customers[Customer_ID], Customers[Customer_Type])</f>
        <v>Restaurant</v>
      </c>
      <c r="T140" t="str">
        <f>_xlfn.XLOOKUP(Orders[[#This Row],[Customer_ID]], Customers[Customer_ID], Customers[Preferred_Channel])</f>
        <v>Online</v>
      </c>
      <c r="U140" t="str">
        <f>_xlfn.XLOOKUP(Orders[[#This Row],[Product_ID]], Products[Product_ID], Products[Bottle_Size])</f>
        <v>500ml</v>
      </c>
    </row>
    <row r="141" spans="1:21" ht="15.75" customHeight="1">
      <c r="A141" s="2" t="s">
        <v>541</v>
      </c>
      <c r="B141" s="2">
        <f>DAY(Orders[[#This Row],[Order_Date]])</f>
        <v>4</v>
      </c>
      <c r="C141" s="20">
        <v>46177</v>
      </c>
      <c r="D141" s="2" t="s">
        <v>120</v>
      </c>
      <c r="E141" s="2" t="s">
        <v>50</v>
      </c>
      <c r="F141" s="2">
        <v>25</v>
      </c>
      <c r="G141" s="22">
        <v>0</v>
      </c>
      <c r="H141" s="22" t="s">
        <v>49</v>
      </c>
      <c r="I141">
        <f>_xlfn.XLOOKUP(Orders[[#This Row],[Product_ID]],Products[Product_ID], Products[Unit_Price])</f>
        <v>1.6</v>
      </c>
      <c r="J141">
        <f>Orders[[#This Row],[Quantity]]*Orders[[#This Row],[Unit_Price]]</f>
        <v>40</v>
      </c>
      <c r="K141">
        <f>_xlfn.XLOOKUP(Orders[[#This Row],[Product_ID]], Products[Product_ID], Products[Cost_Price])</f>
        <v>0.85</v>
      </c>
      <c r="L141">
        <f>Orders[[#This Row],[Cost_Price]]*Orders[[#This Row],[Quantity]]</f>
        <v>21.25</v>
      </c>
      <c r="M141">
        <f>Orders[[#This Row],[Unit_Price]]*Orders[[#This Row],[Discount]]*Orders[[#This Row],[Quantity]]</f>
        <v>0</v>
      </c>
      <c r="N141" s="23">
        <f>Orders[[#This Row],[Gross_Sales]]-Orders[[#This Row],[Total_Cost]]-Orders[[#This Row],[Total_Discount]]</f>
        <v>18.75</v>
      </c>
      <c r="O141" s="23">
        <f>Orders[[#This Row],[Total_Cost]]+Orders[[#This Row],[Total_Discount]]</f>
        <v>21.25</v>
      </c>
      <c r="P141" t="str">
        <f>_xlfn.XLOOKUP(Orders[[#This Row],[Product_ID]], Products[Product_ID], Products[Product_Name])</f>
        <v>Orange Soda</v>
      </c>
      <c r="Q141" t="str">
        <f>_xlfn.XLOOKUP(Orders[[#This Row],[Product_ID]], Products[Product_ID], Products[Category])</f>
        <v>Soft Drink</v>
      </c>
      <c r="R141" t="str">
        <f>_xlfn.XLOOKUP(Orders[[#This Row],[Customer_ID]], Customers[Customer_ID], Customers[County])</f>
        <v>Donegal</v>
      </c>
      <c r="S141" t="str">
        <f>_xlfn.XLOOKUP(Orders[[#This Row],[Customer_ID]], Customers[Customer_ID], Customers[Customer_Type])</f>
        <v>Wholesaler</v>
      </c>
      <c r="T141" t="str">
        <f>_xlfn.XLOOKUP(Orders[[#This Row],[Customer_ID]], Customers[Customer_ID], Customers[Preferred_Channel])</f>
        <v>Sales Rep</v>
      </c>
      <c r="U141" t="str">
        <f>_xlfn.XLOOKUP(Orders[[#This Row],[Product_ID]], Products[Product_ID], Products[Bottle_Size])</f>
        <v>500ml</v>
      </c>
    </row>
    <row r="142" spans="1:21" ht="15.75" customHeight="1">
      <c r="A142" s="2" t="s">
        <v>542</v>
      </c>
      <c r="B142" s="2">
        <f>DAY(Orders[[#This Row],[Order_Date]])</f>
        <v>17</v>
      </c>
      <c r="C142" s="20">
        <v>46190</v>
      </c>
      <c r="D142" s="2" t="s">
        <v>165</v>
      </c>
      <c r="E142" s="2" t="s">
        <v>217</v>
      </c>
      <c r="F142" s="2">
        <v>24</v>
      </c>
      <c r="G142" s="22">
        <v>0</v>
      </c>
      <c r="H142" s="22" t="s">
        <v>61</v>
      </c>
      <c r="I142">
        <f>_xlfn.XLOOKUP(Orders[[#This Row],[Product_ID]],Products[Product_ID], Products[Unit_Price])</f>
        <v>1.4</v>
      </c>
      <c r="J142">
        <f>Orders[[#This Row],[Quantity]]*Orders[[#This Row],[Unit_Price]]</f>
        <v>33.599999999999994</v>
      </c>
      <c r="K142">
        <f>_xlfn.XLOOKUP(Orders[[#This Row],[Product_ID]], Products[Product_ID], Products[Cost_Price])</f>
        <v>0.7</v>
      </c>
      <c r="L142">
        <f>Orders[[#This Row],[Cost_Price]]*Orders[[#This Row],[Quantity]]</f>
        <v>16.799999999999997</v>
      </c>
      <c r="M142">
        <f>Orders[[#This Row],[Unit_Price]]*Orders[[#This Row],[Discount]]*Orders[[#This Row],[Quantity]]</f>
        <v>0</v>
      </c>
      <c r="N142" s="23">
        <f>Orders[[#This Row],[Gross_Sales]]-Orders[[#This Row],[Total_Cost]]-Orders[[#This Row],[Total_Discount]]</f>
        <v>16.799999999999997</v>
      </c>
      <c r="O142" s="23">
        <f>Orders[[#This Row],[Total_Cost]]+Orders[[#This Row],[Total_Discount]]</f>
        <v>16.799999999999997</v>
      </c>
      <c r="P142" t="str">
        <f>_xlfn.XLOOKUP(Orders[[#This Row],[Product_ID]], Products[Product_ID], Products[Product_Name])</f>
        <v>Spring Water</v>
      </c>
      <c r="Q142" t="str">
        <f>_xlfn.XLOOKUP(Orders[[#This Row],[Product_ID]], Products[Product_ID], Products[Category])</f>
        <v>Water</v>
      </c>
      <c r="R142" t="str">
        <f>_xlfn.XLOOKUP(Orders[[#This Row],[Customer_ID]], Customers[Customer_ID], Customers[County])</f>
        <v>Clare</v>
      </c>
      <c r="S142" t="str">
        <f>_xlfn.XLOOKUP(Orders[[#This Row],[Customer_ID]], Customers[Customer_ID], Customers[Customer_Type])</f>
        <v>Restaurant</v>
      </c>
      <c r="T142" t="str">
        <f>_xlfn.XLOOKUP(Orders[[#This Row],[Customer_ID]], Customers[Customer_ID], Customers[Preferred_Channel])</f>
        <v>Sales Rep</v>
      </c>
      <c r="U142" t="str">
        <f>_xlfn.XLOOKUP(Orders[[#This Row],[Product_ID]], Products[Product_ID], Products[Bottle_Size])</f>
        <v>500ml</v>
      </c>
    </row>
    <row r="143" spans="1:21" ht="15.75" customHeight="1">
      <c r="A143" s="2" t="s">
        <v>543</v>
      </c>
      <c r="B143" s="2">
        <f>DAY(Orders[[#This Row],[Order_Date]])</f>
        <v>28</v>
      </c>
      <c r="C143" s="20">
        <v>46201</v>
      </c>
      <c r="D143" s="2" t="s">
        <v>160</v>
      </c>
      <c r="E143" s="2" t="s">
        <v>95</v>
      </c>
      <c r="F143" s="2">
        <v>30</v>
      </c>
      <c r="G143" s="22">
        <v>0</v>
      </c>
      <c r="H143" s="22" t="s">
        <v>61</v>
      </c>
      <c r="I143">
        <f>_xlfn.XLOOKUP(Orders[[#This Row],[Product_ID]],Products[Product_ID], Products[Unit_Price])</f>
        <v>2.5</v>
      </c>
      <c r="J143">
        <f>Orders[[#This Row],[Quantity]]*Orders[[#This Row],[Unit_Price]]</f>
        <v>75</v>
      </c>
      <c r="K143">
        <f>_xlfn.XLOOKUP(Orders[[#This Row],[Product_ID]], Products[Product_ID], Products[Cost_Price])</f>
        <v>1.4</v>
      </c>
      <c r="L143">
        <f>Orders[[#This Row],[Cost_Price]]*Orders[[#This Row],[Quantity]]</f>
        <v>42</v>
      </c>
      <c r="M143">
        <f>Orders[[#This Row],[Unit_Price]]*Orders[[#This Row],[Discount]]*Orders[[#This Row],[Quantity]]</f>
        <v>0</v>
      </c>
      <c r="N143" s="23">
        <f>Orders[[#This Row],[Gross_Sales]]-Orders[[#This Row],[Total_Cost]]-Orders[[#This Row],[Total_Discount]]</f>
        <v>33</v>
      </c>
      <c r="O143" s="23">
        <f>Orders[[#This Row],[Total_Cost]]+Orders[[#This Row],[Total_Discount]]</f>
        <v>42</v>
      </c>
      <c r="P143" t="str">
        <f>_xlfn.XLOOKUP(Orders[[#This Row],[Product_ID]], Products[Product_ID], Products[Product_Name])</f>
        <v>Energy Boost</v>
      </c>
      <c r="Q143" t="str">
        <f>_xlfn.XLOOKUP(Orders[[#This Row],[Product_ID]], Products[Product_ID], Products[Category])</f>
        <v>Energy Drink</v>
      </c>
      <c r="R143" t="str">
        <f>_xlfn.XLOOKUP(Orders[[#This Row],[Customer_ID]], Customers[Customer_ID], Customers[County])</f>
        <v>Offaly</v>
      </c>
      <c r="S143" t="str">
        <f>_xlfn.XLOOKUP(Orders[[#This Row],[Customer_ID]], Customers[Customer_ID], Customers[Customer_Type])</f>
        <v>Hotel</v>
      </c>
      <c r="T143" t="str">
        <f>_xlfn.XLOOKUP(Orders[[#This Row],[Customer_ID]], Customers[Customer_ID], Customers[Preferred_Channel])</f>
        <v>Email</v>
      </c>
      <c r="U143" t="str">
        <f>_xlfn.XLOOKUP(Orders[[#This Row],[Product_ID]], Products[Product_ID], Products[Bottle_Size])</f>
        <v>250ml</v>
      </c>
    </row>
    <row r="144" spans="1:21" ht="15.75" customHeight="1">
      <c r="A144" s="2" t="s">
        <v>544</v>
      </c>
      <c r="B144" s="2">
        <f>DAY(Orders[[#This Row],[Order_Date]])</f>
        <v>25</v>
      </c>
      <c r="C144" s="20">
        <v>46198</v>
      </c>
      <c r="D144" s="2" t="s">
        <v>260</v>
      </c>
      <c r="E144" s="2" t="s">
        <v>84</v>
      </c>
      <c r="F144" s="2">
        <v>44</v>
      </c>
      <c r="G144" s="22">
        <v>0</v>
      </c>
      <c r="H144" s="22" t="s">
        <v>61</v>
      </c>
      <c r="I144">
        <f>_xlfn.XLOOKUP(Orders[[#This Row],[Product_ID]],Products[Product_ID], Products[Unit_Price])</f>
        <v>1.7</v>
      </c>
      <c r="J144">
        <f>Orders[[#This Row],[Quantity]]*Orders[[#This Row],[Unit_Price]]</f>
        <v>74.8</v>
      </c>
      <c r="K144">
        <f>_xlfn.XLOOKUP(Orders[[#This Row],[Product_ID]], Products[Product_ID], Products[Cost_Price])</f>
        <v>0.9</v>
      </c>
      <c r="L144">
        <f>Orders[[#This Row],[Cost_Price]]*Orders[[#This Row],[Quantity]]</f>
        <v>39.6</v>
      </c>
      <c r="M144">
        <f>Orders[[#This Row],[Unit_Price]]*Orders[[#This Row],[Discount]]*Orders[[#This Row],[Quantity]]</f>
        <v>0</v>
      </c>
      <c r="N144" s="23">
        <f>Orders[[#This Row],[Gross_Sales]]-Orders[[#This Row],[Total_Cost]]-Orders[[#This Row],[Total_Discount]]</f>
        <v>35.199999999999996</v>
      </c>
      <c r="O144" s="23">
        <f>Orders[[#This Row],[Total_Cost]]+Orders[[#This Row],[Total_Discount]]</f>
        <v>39.6</v>
      </c>
      <c r="P144" t="str">
        <f>_xlfn.XLOOKUP(Orders[[#This Row],[Product_ID]], Products[Product_ID], Products[Product_Name])</f>
        <v>Lemon Lime</v>
      </c>
      <c r="Q144" t="str">
        <f>_xlfn.XLOOKUP(Orders[[#This Row],[Product_ID]], Products[Product_ID], Products[Category])</f>
        <v>Soft Drink</v>
      </c>
      <c r="R144" t="str">
        <f>_xlfn.XLOOKUP(Orders[[#This Row],[Customer_ID]], Customers[Customer_ID], Customers[County])</f>
        <v>Sligo</v>
      </c>
      <c r="S144" t="str">
        <f>_xlfn.XLOOKUP(Orders[[#This Row],[Customer_ID]], Customers[Customer_ID], Customers[Customer_Type])</f>
        <v>Restaurant</v>
      </c>
      <c r="T144" t="str">
        <f>_xlfn.XLOOKUP(Orders[[#This Row],[Customer_ID]], Customers[Customer_ID], Customers[Preferred_Channel])</f>
        <v>Phone</v>
      </c>
      <c r="U144" t="str">
        <f>_xlfn.XLOOKUP(Orders[[#This Row],[Product_ID]], Products[Product_ID], Products[Bottle_Size])</f>
        <v>500ml</v>
      </c>
    </row>
    <row r="145" spans="1:21" ht="15.75" customHeight="1">
      <c r="A145" s="2" t="s">
        <v>545</v>
      </c>
      <c r="B145" s="2">
        <f>DAY(Orders[[#This Row],[Order_Date]])</f>
        <v>1</v>
      </c>
      <c r="C145" s="20">
        <v>46174</v>
      </c>
      <c r="D145" s="2" t="s">
        <v>246</v>
      </c>
      <c r="E145" s="2" t="s">
        <v>139</v>
      </c>
      <c r="F145" s="2">
        <v>31</v>
      </c>
      <c r="G145" s="22">
        <v>0.05</v>
      </c>
      <c r="H145" s="22" t="s">
        <v>61</v>
      </c>
      <c r="I145">
        <f>_xlfn.XLOOKUP(Orders[[#This Row],[Product_ID]],Products[Product_ID], Products[Unit_Price])</f>
        <v>2.2999999999999998</v>
      </c>
      <c r="J145">
        <f>Orders[[#This Row],[Quantity]]*Orders[[#This Row],[Unit_Price]]</f>
        <v>71.3</v>
      </c>
      <c r="K145">
        <f>_xlfn.XLOOKUP(Orders[[#This Row],[Product_ID]], Products[Product_ID], Products[Cost_Price])</f>
        <v>1.25</v>
      </c>
      <c r="L145">
        <f>Orders[[#This Row],[Cost_Price]]*Orders[[#This Row],[Quantity]]</f>
        <v>38.75</v>
      </c>
      <c r="M145">
        <f>Orders[[#This Row],[Unit_Price]]*Orders[[#This Row],[Discount]]*Orders[[#This Row],[Quantity]]</f>
        <v>3.5649999999999995</v>
      </c>
      <c r="N145" s="23">
        <f>Orders[[#This Row],[Gross_Sales]]-Orders[[#This Row],[Total_Cost]]-Orders[[#This Row],[Total_Discount]]</f>
        <v>28.984999999999999</v>
      </c>
      <c r="O145" s="23">
        <f>Orders[[#This Row],[Total_Cost]]+Orders[[#This Row],[Total_Discount]]</f>
        <v>42.314999999999998</v>
      </c>
      <c r="P145" t="str">
        <f>_xlfn.XLOOKUP(Orders[[#This Row],[Product_ID]], Products[Product_ID], Products[Product_Name])</f>
        <v>Mango Juice</v>
      </c>
      <c r="Q145" t="str">
        <f>_xlfn.XLOOKUP(Orders[[#This Row],[Product_ID]], Products[Product_ID], Products[Category])</f>
        <v>Juice</v>
      </c>
      <c r="R145" t="str">
        <f>_xlfn.XLOOKUP(Orders[[#This Row],[Customer_ID]], Customers[Customer_ID], Customers[County])</f>
        <v>Wexford</v>
      </c>
      <c r="S145" t="str">
        <f>_xlfn.XLOOKUP(Orders[[#This Row],[Customer_ID]], Customers[Customer_ID], Customers[Customer_Type])</f>
        <v>Retailer</v>
      </c>
      <c r="T145" t="str">
        <f>_xlfn.XLOOKUP(Orders[[#This Row],[Customer_ID]], Customers[Customer_ID], Customers[Preferred_Channel])</f>
        <v>Phone</v>
      </c>
      <c r="U145" t="str">
        <f>_xlfn.XLOOKUP(Orders[[#This Row],[Product_ID]], Products[Product_ID], Products[Bottle_Size])</f>
        <v>1L</v>
      </c>
    </row>
    <row r="146" spans="1:21" ht="15.75" customHeight="1">
      <c r="A146" s="2" t="s">
        <v>546</v>
      </c>
      <c r="B146" s="2">
        <f>DAY(Orders[[#This Row],[Order_Date]])</f>
        <v>29</v>
      </c>
      <c r="C146" s="20">
        <v>46202</v>
      </c>
      <c r="D146" s="2" t="s">
        <v>272</v>
      </c>
      <c r="E146" s="2" t="s">
        <v>199</v>
      </c>
      <c r="F146" s="2">
        <v>28</v>
      </c>
      <c r="G146" s="22">
        <v>0.05</v>
      </c>
      <c r="H146" s="22" t="s">
        <v>61</v>
      </c>
      <c r="I146">
        <f>_xlfn.XLOOKUP(Orders[[#This Row],[Product_ID]],Products[Product_ID], Products[Unit_Price])</f>
        <v>1.7</v>
      </c>
      <c r="J146">
        <f>Orders[[#This Row],[Quantity]]*Orders[[#This Row],[Unit_Price]]</f>
        <v>47.6</v>
      </c>
      <c r="K146">
        <f>_xlfn.XLOOKUP(Orders[[#This Row],[Product_ID]], Products[Product_ID], Products[Cost_Price])</f>
        <v>0.9</v>
      </c>
      <c r="L146">
        <f>Orders[[#This Row],[Cost_Price]]*Orders[[#This Row],[Quantity]]</f>
        <v>25.2</v>
      </c>
      <c r="M146">
        <f>Orders[[#This Row],[Unit_Price]]*Orders[[#This Row],[Discount]]*Orders[[#This Row],[Quantity]]</f>
        <v>2.3800000000000003</v>
      </c>
      <c r="N146" s="23">
        <f>Orders[[#This Row],[Gross_Sales]]-Orders[[#This Row],[Total_Cost]]-Orders[[#This Row],[Total_Discount]]</f>
        <v>20.020000000000003</v>
      </c>
      <c r="O146" s="23">
        <f>Orders[[#This Row],[Total_Cost]]+Orders[[#This Row],[Total_Discount]]</f>
        <v>27.58</v>
      </c>
      <c r="P146" t="str">
        <f>_xlfn.XLOOKUP(Orders[[#This Row],[Product_ID]], Products[Product_ID], Products[Product_Name])</f>
        <v>Zero Cola</v>
      </c>
      <c r="Q146" t="str">
        <f>_xlfn.XLOOKUP(Orders[[#This Row],[Product_ID]], Products[Product_ID], Products[Category])</f>
        <v>Soft Drink</v>
      </c>
      <c r="R146" t="str">
        <f>_xlfn.XLOOKUP(Orders[[#This Row],[Customer_ID]], Customers[Customer_ID], Customers[County])</f>
        <v>Dublin</v>
      </c>
      <c r="S146" t="str">
        <f>_xlfn.XLOOKUP(Orders[[#This Row],[Customer_ID]], Customers[Customer_ID], Customers[Customer_Type])</f>
        <v>Café</v>
      </c>
      <c r="T146" t="str">
        <f>_xlfn.XLOOKUP(Orders[[#This Row],[Customer_ID]], Customers[Customer_ID], Customers[Preferred_Channel])</f>
        <v>Online</v>
      </c>
      <c r="U146" t="str">
        <f>_xlfn.XLOOKUP(Orders[[#This Row],[Product_ID]], Products[Product_ID], Products[Bottle_Size])</f>
        <v>330ml</v>
      </c>
    </row>
    <row r="147" spans="1:21" ht="15.75" customHeight="1">
      <c r="A147" s="2" t="s">
        <v>547</v>
      </c>
      <c r="B147" s="2">
        <f>DAY(Orders[[#This Row],[Order_Date]])</f>
        <v>28</v>
      </c>
      <c r="C147" s="20">
        <v>46201</v>
      </c>
      <c r="D147" s="2" t="s">
        <v>402</v>
      </c>
      <c r="E147" s="2" t="s">
        <v>108</v>
      </c>
      <c r="F147" s="2">
        <v>24</v>
      </c>
      <c r="G147" s="22">
        <v>0</v>
      </c>
      <c r="H147" s="22" t="s">
        <v>61</v>
      </c>
      <c r="I147">
        <f>_xlfn.XLOOKUP(Orders[[#This Row],[Product_ID]],Products[Product_ID], Products[Unit_Price])</f>
        <v>2.1</v>
      </c>
      <c r="J147">
        <f>Orders[[#This Row],[Quantity]]*Orders[[#This Row],[Unit_Price]]</f>
        <v>50.400000000000006</v>
      </c>
      <c r="K147">
        <f>_xlfn.XLOOKUP(Orders[[#This Row],[Product_ID]], Products[Product_ID], Products[Cost_Price])</f>
        <v>1.2</v>
      </c>
      <c r="L147">
        <f>Orders[[#This Row],[Cost_Price]]*Orders[[#This Row],[Quantity]]</f>
        <v>28.799999999999997</v>
      </c>
      <c r="M147">
        <f>Orders[[#This Row],[Unit_Price]]*Orders[[#This Row],[Discount]]*Orders[[#This Row],[Quantity]]</f>
        <v>0</v>
      </c>
      <c r="N147" s="23">
        <f>Orders[[#This Row],[Gross_Sales]]-Orders[[#This Row],[Total_Cost]]-Orders[[#This Row],[Total_Discount]]</f>
        <v>21.600000000000009</v>
      </c>
      <c r="O147" s="23">
        <f>Orders[[#This Row],[Total_Cost]]+Orders[[#This Row],[Total_Discount]]</f>
        <v>28.799999999999997</v>
      </c>
      <c r="P147" t="str">
        <f>_xlfn.XLOOKUP(Orders[[#This Row],[Product_ID]], Products[Product_ID], Products[Product_Name])</f>
        <v>Berry Splash</v>
      </c>
      <c r="Q147" t="str">
        <f>_xlfn.XLOOKUP(Orders[[#This Row],[Product_ID]], Products[Product_ID], Products[Category])</f>
        <v>Juice</v>
      </c>
      <c r="R147" t="str">
        <f>_xlfn.XLOOKUP(Orders[[#This Row],[Customer_ID]], Customers[Customer_ID], Customers[County])</f>
        <v>Cork</v>
      </c>
      <c r="S147" t="str">
        <f>_xlfn.XLOOKUP(Orders[[#This Row],[Customer_ID]], Customers[Customer_ID], Customers[Customer_Type])</f>
        <v>Retailer</v>
      </c>
      <c r="T147" t="str">
        <f>_xlfn.XLOOKUP(Orders[[#This Row],[Customer_ID]], Customers[Customer_ID], Customers[Preferred_Channel])</f>
        <v>Distributor</v>
      </c>
      <c r="U147" t="str">
        <f>_xlfn.XLOOKUP(Orders[[#This Row],[Product_ID]], Products[Product_ID], Products[Bottle_Size])</f>
        <v>500ml</v>
      </c>
    </row>
    <row r="148" spans="1:21" ht="15.75" customHeight="1">
      <c r="A148" s="2" t="s">
        <v>548</v>
      </c>
      <c r="B148" s="2">
        <f>DAY(Orders[[#This Row],[Order_Date]])</f>
        <v>28</v>
      </c>
      <c r="C148" s="20">
        <v>46201</v>
      </c>
      <c r="D148" s="2" t="s">
        <v>221</v>
      </c>
      <c r="E148" s="2" t="s">
        <v>170</v>
      </c>
      <c r="F148" s="2">
        <v>29</v>
      </c>
      <c r="G148" s="22">
        <v>0.1</v>
      </c>
      <c r="H148" s="22" t="s">
        <v>61</v>
      </c>
      <c r="I148">
        <f>_xlfn.XLOOKUP(Orders[[#This Row],[Product_ID]],Products[Product_ID], Products[Unit_Price])</f>
        <v>1.9</v>
      </c>
      <c r="J148">
        <f>Orders[[#This Row],[Quantity]]*Orders[[#This Row],[Unit_Price]]</f>
        <v>55.099999999999994</v>
      </c>
      <c r="K148">
        <f>_xlfn.XLOOKUP(Orders[[#This Row],[Product_ID]], Products[Product_ID], Products[Cost_Price])</f>
        <v>0.95</v>
      </c>
      <c r="L148">
        <f>Orders[[#This Row],[Cost_Price]]*Orders[[#This Row],[Quantity]]</f>
        <v>27.549999999999997</v>
      </c>
      <c r="M148">
        <f>Orders[[#This Row],[Unit_Price]]*Orders[[#This Row],[Discount]]*Orders[[#This Row],[Quantity]]</f>
        <v>5.51</v>
      </c>
      <c r="N148" s="23">
        <f>Orders[[#This Row],[Gross_Sales]]-Orders[[#This Row],[Total_Cost]]-Orders[[#This Row],[Total_Discount]]</f>
        <v>22.04</v>
      </c>
      <c r="O148" s="23">
        <f>Orders[[#This Row],[Total_Cost]]+Orders[[#This Row],[Total_Discount]]</f>
        <v>33.059999999999995</v>
      </c>
      <c r="P148" t="str">
        <f>_xlfn.XLOOKUP(Orders[[#This Row],[Product_ID]], Products[Product_ID], Products[Product_Name])</f>
        <v>Vitamin Water</v>
      </c>
      <c r="Q148" t="str">
        <f>_xlfn.XLOOKUP(Orders[[#This Row],[Product_ID]], Products[Product_ID], Products[Category])</f>
        <v>Water</v>
      </c>
      <c r="R148" t="str">
        <f>_xlfn.XLOOKUP(Orders[[#This Row],[Customer_ID]], Customers[Customer_ID], Customers[County])</f>
        <v>Galway</v>
      </c>
      <c r="S148" t="str">
        <f>_xlfn.XLOOKUP(Orders[[#This Row],[Customer_ID]], Customers[Customer_ID], Customers[Customer_Type])</f>
        <v>Restaurant</v>
      </c>
      <c r="T148" t="str">
        <f>_xlfn.XLOOKUP(Orders[[#This Row],[Customer_ID]], Customers[Customer_ID], Customers[Preferred_Channel])</f>
        <v>Online</v>
      </c>
      <c r="U148" t="str">
        <f>_xlfn.XLOOKUP(Orders[[#This Row],[Product_ID]], Products[Product_ID], Products[Bottle_Size])</f>
        <v>500ml</v>
      </c>
    </row>
    <row r="149" spans="1:21" ht="15.75" customHeight="1">
      <c r="A149" s="2" t="s">
        <v>549</v>
      </c>
      <c r="B149" s="2">
        <f>DAY(Orders[[#This Row],[Order_Date]])</f>
        <v>19</v>
      </c>
      <c r="C149" s="20">
        <v>46192</v>
      </c>
      <c r="D149" s="2" t="s">
        <v>400</v>
      </c>
      <c r="E149" s="2" t="s">
        <v>17</v>
      </c>
      <c r="F149" s="2">
        <v>37</v>
      </c>
      <c r="G149" s="22">
        <v>0</v>
      </c>
      <c r="H149" s="22" t="s">
        <v>49</v>
      </c>
      <c r="I149">
        <f>_xlfn.XLOOKUP(Orders[[#This Row],[Product_ID]],Products[Product_ID], Products[Unit_Price])</f>
        <v>1.2</v>
      </c>
      <c r="J149">
        <f>Orders[[#This Row],[Quantity]]*Orders[[#This Row],[Unit_Price]]</f>
        <v>44.4</v>
      </c>
      <c r="K149">
        <f>_xlfn.XLOOKUP(Orders[[#This Row],[Product_ID]], Products[Product_ID], Products[Cost_Price])</f>
        <v>0.6</v>
      </c>
      <c r="L149">
        <f>Orders[[#This Row],[Cost_Price]]*Orders[[#This Row],[Quantity]]</f>
        <v>22.2</v>
      </c>
      <c r="M149">
        <f>Orders[[#This Row],[Unit_Price]]*Orders[[#This Row],[Discount]]*Orders[[#This Row],[Quantity]]</f>
        <v>0</v>
      </c>
      <c r="N149" s="23">
        <f>Orders[[#This Row],[Gross_Sales]]-Orders[[#This Row],[Total_Cost]]-Orders[[#This Row],[Total_Discount]]</f>
        <v>22.2</v>
      </c>
      <c r="O149" s="23">
        <f>Orders[[#This Row],[Total_Cost]]+Orders[[#This Row],[Total_Discount]]</f>
        <v>22.2</v>
      </c>
      <c r="P149" t="str">
        <f>_xlfn.XLOOKUP(Orders[[#This Row],[Product_ID]], Products[Product_ID], Products[Product_Name])</f>
        <v>Still Water</v>
      </c>
      <c r="Q149" t="str">
        <f>_xlfn.XLOOKUP(Orders[[#This Row],[Product_ID]], Products[Product_ID], Products[Category])</f>
        <v>Water</v>
      </c>
      <c r="R149" t="str">
        <f>_xlfn.XLOOKUP(Orders[[#This Row],[Customer_ID]], Customers[Customer_ID], Customers[County])</f>
        <v>Clare</v>
      </c>
      <c r="S149" t="str">
        <f>_xlfn.XLOOKUP(Orders[[#This Row],[Customer_ID]], Customers[Customer_ID], Customers[Customer_Type])</f>
        <v>Wholesaler</v>
      </c>
      <c r="T149" t="str">
        <f>_xlfn.XLOOKUP(Orders[[#This Row],[Customer_ID]], Customers[Customer_ID], Customers[Preferred_Channel])</f>
        <v>Distributor</v>
      </c>
      <c r="U149" t="str">
        <f>_xlfn.XLOOKUP(Orders[[#This Row],[Product_ID]], Products[Product_ID], Products[Bottle_Size])</f>
        <v>500ml</v>
      </c>
    </row>
    <row r="150" spans="1:21" ht="15.75" customHeight="1">
      <c r="A150" s="2" t="s">
        <v>551</v>
      </c>
      <c r="B150" s="2">
        <f>DAY(Orders[[#This Row],[Order_Date]])</f>
        <v>11</v>
      </c>
      <c r="C150" s="20">
        <v>46184</v>
      </c>
      <c r="D150" s="2" t="s">
        <v>86</v>
      </c>
      <c r="E150" s="2" t="s">
        <v>84</v>
      </c>
      <c r="F150" s="2">
        <v>44</v>
      </c>
      <c r="G150" s="22">
        <v>0</v>
      </c>
      <c r="H150" s="22" t="s">
        <v>49</v>
      </c>
      <c r="I150">
        <f>_xlfn.XLOOKUP(Orders[[#This Row],[Product_ID]],Products[Product_ID], Products[Unit_Price])</f>
        <v>1.7</v>
      </c>
      <c r="J150">
        <f>Orders[[#This Row],[Quantity]]*Orders[[#This Row],[Unit_Price]]</f>
        <v>74.8</v>
      </c>
      <c r="K150">
        <f>_xlfn.XLOOKUP(Orders[[#This Row],[Product_ID]], Products[Product_ID], Products[Cost_Price])</f>
        <v>0.9</v>
      </c>
      <c r="L150">
        <f>Orders[[#This Row],[Cost_Price]]*Orders[[#This Row],[Quantity]]</f>
        <v>39.6</v>
      </c>
      <c r="M150">
        <f>Orders[[#This Row],[Unit_Price]]*Orders[[#This Row],[Discount]]*Orders[[#This Row],[Quantity]]</f>
        <v>0</v>
      </c>
      <c r="N150" s="23">
        <f>Orders[[#This Row],[Gross_Sales]]-Orders[[#This Row],[Total_Cost]]-Orders[[#This Row],[Total_Discount]]</f>
        <v>35.199999999999996</v>
      </c>
      <c r="O150" s="23">
        <f>Orders[[#This Row],[Total_Cost]]+Orders[[#This Row],[Total_Discount]]</f>
        <v>39.6</v>
      </c>
      <c r="P150" t="str">
        <f>_xlfn.XLOOKUP(Orders[[#This Row],[Product_ID]], Products[Product_ID], Products[Product_Name])</f>
        <v>Lemon Lime</v>
      </c>
      <c r="Q150" t="str">
        <f>_xlfn.XLOOKUP(Orders[[#This Row],[Product_ID]], Products[Product_ID], Products[Category])</f>
        <v>Soft Drink</v>
      </c>
      <c r="R150" t="str">
        <f>_xlfn.XLOOKUP(Orders[[#This Row],[Customer_ID]], Customers[Customer_ID], Customers[County])</f>
        <v>Meath</v>
      </c>
      <c r="S150" t="str">
        <f>_xlfn.XLOOKUP(Orders[[#This Row],[Customer_ID]], Customers[Customer_ID], Customers[Customer_Type])</f>
        <v>Wholesaler</v>
      </c>
      <c r="T150" t="str">
        <f>_xlfn.XLOOKUP(Orders[[#This Row],[Customer_ID]], Customers[Customer_ID], Customers[Preferred_Channel])</f>
        <v>Phone</v>
      </c>
      <c r="U150" t="str">
        <f>_xlfn.XLOOKUP(Orders[[#This Row],[Product_ID]], Products[Product_ID], Products[Bottle_Size])</f>
        <v>500ml</v>
      </c>
    </row>
    <row r="151" spans="1:21" ht="15.75" customHeight="1">
      <c r="A151" s="2" t="s">
        <v>552</v>
      </c>
      <c r="B151" s="2">
        <f>DAY(Orders[[#This Row],[Order_Date]])</f>
        <v>3</v>
      </c>
      <c r="C151" s="20">
        <v>46176</v>
      </c>
      <c r="D151" s="2" t="s">
        <v>344</v>
      </c>
      <c r="E151" s="2" t="s">
        <v>134</v>
      </c>
      <c r="F151" s="2">
        <v>25</v>
      </c>
      <c r="G151" s="22">
        <v>0</v>
      </c>
      <c r="H151" s="22" t="s">
        <v>61</v>
      </c>
      <c r="I151">
        <f>_xlfn.XLOOKUP(Orders[[#This Row],[Product_ID]],Products[Product_ID], Products[Unit_Price])</f>
        <v>1.8</v>
      </c>
      <c r="J151">
        <f>Orders[[#This Row],[Quantity]]*Orders[[#This Row],[Unit_Price]]</f>
        <v>45</v>
      </c>
      <c r="K151">
        <f>_xlfn.XLOOKUP(Orders[[#This Row],[Product_ID]], Products[Product_ID], Products[Cost_Price])</f>
        <v>0.95</v>
      </c>
      <c r="L151">
        <f>Orders[[#This Row],[Cost_Price]]*Orders[[#This Row],[Quantity]]</f>
        <v>23.75</v>
      </c>
      <c r="M151">
        <f>Orders[[#This Row],[Unit_Price]]*Orders[[#This Row],[Discount]]*Orders[[#This Row],[Quantity]]</f>
        <v>0</v>
      </c>
      <c r="N151" s="23">
        <f>Orders[[#This Row],[Gross_Sales]]-Orders[[#This Row],[Total_Cost]]-Orders[[#This Row],[Total_Discount]]</f>
        <v>21.25</v>
      </c>
      <c r="O151" s="23">
        <f>Orders[[#This Row],[Total_Cost]]+Orders[[#This Row],[Total_Discount]]</f>
        <v>23.75</v>
      </c>
      <c r="P151" t="str">
        <f>_xlfn.XLOOKUP(Orders[[#This Row],[Product_ID]], Products[Product_ID], Products[Product_Name])</f>
        <v>Sparkling Citrus</v>
      </c>
      <c r="Q151" t="str">
        <f>_xlfn.XLOOKUP(Orders[[#This Row],[Product_ID]], Products[Product_ID], Products[Category])</f>
        <v>Water</v>
      </c>
      <c r="R151" t="str">
        <f>_xlfn.XLOOKUP(Orders[[#This Row],[Customer_ID]], Customers[Customer_ID], Customers[County])</f>
        <v>Sligo</v>
      </c>
      <c r="S151" t="str">
        <f>_xlfn.XLOOKUP(Orders[[#This Row],[Customer_ID]], Customers[Customer_ID], Customers[Customer_Type])</f>
        <v>Hotel</v>
      </c>
      <c r="T151" t="str">
        <f>_xlfn.XLOOKUP(Orders[[#This Row],[Customer_ID]], Customers[Customer_ID], Customers[Preferred_Channel])</f>
        <v>Distributor</v>
      </c>
      <c r="U151" t="str">
        <f>_xlfn.XLOOKUP(Orders[[#This Row],[Product_ID]], Products[Product_ID], Products[Bottle_Size])</f>
        <v>330ml</v>
      </c>
    </row>
    <row r="152" spans="1:21" ht="15.75" customHeight="1">
      <c r="A152" s="2" t="s">
        <v>553</v>
      </c>
      <c r="B152" s="2">
        <f>DAY(Orders[[#This Row],[Order_Date]])</f>
        <v>21</v>
      </c>
      <c r="C152" s="20">
        <v>46194</v>
      </c>
      <c r="D152" s="2" t="s">
        <v>227</v>
      </c>
      <c r="E152" s="2" t="s">
        <v>69</v>
      </c>
      <c r="F152" s="2">
        <v>16</v>
      </c>
      <c r="G152" s="22">
        <v>0</v>
      </c>
      <c r="H152" s="22" t="s">
        <v>61</v>
      </c>
      <c r="I152">
        <f>_xlfn.XLOOKUP(Orders[[#This Row],[Product_ID]],Products[Product_ID], Products[Unit_Price])</f>
        <v>2</v>
      </c>
      <c r="J152">
        <f>Orders[[#This Row],[Quantity]]*Orders[[#This Row],[Unit_Price]]</f>
        <v>32</v>
      </c>
      <c r="K152">
        <f>_xlfn.XLOOKUP(Orders[[#This Row],[Product_ID]], Products[Product_ID], Products[Cost_Price])</f>
        <v>1.1000000000000001</v>
      </c>
      <c r="L152">
        <f>Orders[[#This Row],[Cost_Price]]*Orders[[#This Row],[Quantity]]</f>
        <v>17.600000000000001</v>
      </c>
      <c r="M152">
        <f>Orders[[#This Row],[Unit_Price]]*Orders[[#This Row],[Discount]]*Orders[[#This Row],[Quantity]]</f>
        <v>0</v>
      </c>
      <c r="N152" s="23">
        <f>Orders[[#This Row],[Gross_Sales]]-Orders[[#This Row],[Total_Cost]]-Orders[[#This Row],[Total_Discount]]</f>
        <v>14.399999999999999</v>
      </c>
      <c r="O152" s="23">
        <f>Orders[[#This Row],[Total_Cost]]+Orders[[#This Row],[Total_Discount]]</f>
        <v>17.600000000000001</v>
      </c>
      <c r="P152" t="str">
        <f>_xlfn.XLOOKUP(Orders[[#This Row],[Product_ID]], Products[Product_ID], Products[Product_Name])</f>
        <v>Apple Juice</v>
      </c>
      <c r="Q152" t="str">
        <f>_xlfn.XLOOKUP(Orders[[#This Row],[Product_ID]], Products[Product_ID], Products[Category])</f>
        <v>Juice</v>
      </c>
      <c r="R152" t="str">
        <f>_xlfn.XLOOKUP(Orders[[#This Row],[Customer_ID]], Customers[Customer_ID], Customers[County])</f>
        <v>Clare</v>
      </c>
      <c r="S152" t="str">
        <f>_xlfn.XLOOKUP(Orders[[#This Row],[Customer_ID]], Customers[Customer_ID], Customers[Customer_Type])</f>
        <v>Supermarket</v>
      </c>
      <c r="T152" t="str">
        <f>_xlfn.XLOOKUP(Orders[[#This Row],[Customer_ID]], Customers[Customer_ID], Customers[Preferred_Channel])</f>
        <v>Phone</v>
      </c>
      <c r="U152" t="str">
        <f>_xlfn.XLOOKUP(Orders[[#This Row],[Product_ID]], Products[Product_ID], Products[Bottle_Size])</f>
        <v>1L</v>
      </c>
    </row>
    <row r="153" spans="1:21" ht="15.75" customHeight="1">
      <c r="A153" s="2" t="s">
        <v>555</v>
      </c>
      <c r="B153" s="2">
        <f>DAY(Orders[[#This Row],[Order_Date]])</f>
        <v>29</v>
      </c>
      <c r="C153" s="20">
        <v>46202</v>
      </c>
      <c r="D153" s="2" t="s">
        <v>298</v>
      </c>
      <c r="E153" s="2" t="s">
        <v>134</v>
      </c>
      <c r="F153" s="2">
        <v>34</v>
      </c>
      <c r="G153" s="22">
        <v>0</v>
      </c>
      <c r="H153" s="22" t="s">
        <v>49</v>
      </c>
      <c r="I153">
        <f>_xlfn.XLOOKUP(Orders[[#This Row],[Product_ID]],Products[Product_ID], Products[Unit_Price])</f>
        <v>1.8</v>
      </c>
      <c r="J153">
        <f>Orders[[#This Row],[Quantity]]*Orders[[#This Row],[Unit_Price]]</f>
        <v>61.2</v>
      </c>
      <c r="K153">
        <f>_xlfn.XLOOKUP(Orders[[#This Row],[Product_ID]], Products[Product_ID], Products[Cost_Price])</f>
        <v>0.95</v>
      </c>
      <c r="L153">
        <f>Orders[[#This Row],[Cost_Price]]*Orders[[#This Row],[Quantity]]</f>
        <v>32.299999999999997</v>
      </c>
      <c r="M153">
        <f>Orders[[#This Row],[Unit_Price]]*Orders[[#This Row],[Discount]]*Orders[[#This Row],[Quantity]]</f>
        <v>0</v>
      </c>
      <c r="N153" s="23">
        <f>Orders[[#This Row],[Gross_Sales]]-Orders[[#This Row],[Total_Cost]]-Orders[[#This Row],[Total_Discount]]</f>
        <v>28.900000000000006</v>
      </c>
      <c r="O153" s="23">
        <f>Orders[[#This Row],[Total_Cost]]+Orders[[#This Row],[Total_Discount]]</f>
        <v>32.299999999999997</v>
      </c>
      <c r="P153" t="str">
        <f>_xlfn.XLOOKUP(Orders[[#This Row],[Product_ID]], Products[Product_ID], Products[Product_Name])</f>
        <v>Sparkling Citrus</v>
      </c>
      <c r="Q153" t="str">
        <f>_xlfn.XLOOKUP(Orders[[#This Row],[Product_ID]], Products[Product_ID], Products[Category])</f>
        <v>Water</v>
      </c>
      <c r="R153" t="str">
        <f>_xlfn.XLOOKUP(Orders[[#This Row],[Customer_ID]], Customers[Customer_ID], Customers[County])</f>
        <v>Waterford</v>
      </c>
      <c r="S153" t="str">
        <f>_xlfn.XLOOKUP(Orders[[#This Row],[Customer_ID]], Customers[Customer_ID], Customers[Customer_Type])</f>
        <v>Retailer</v>
      </c>
      <c r="T153" t="str">
        <f>_xlfn.XLOOKUP(Orders[[#This Row],[Customer_ID]], Customers[Customer_ID], Customers[Preferred_Channel])</f>
        <v>Email</v>
      </c>
      <c r="U153" t="str">
        <f>_xlfn.XLOOKUP(Orders[[#This Row],[Product_ID]], Products[Product_ID], Products[Bottle_Size])</f>
        <v>330ml</v>
      </c>
    </row>
    <row r="154" spans="1:21" ht="15.75" customHeight="1">
      <c r="A154" s="2" t="s">
        <v>556</v>
      </c>
      <c r="B154" s="2">
        <f>DAY(Orders[[#This Row],[Order_Date]])</f>
        <v>2</v>
      </c>
      <c r="C154" s="20">
        <v>46175</v>
      </c>
      <c r="D154" s="2" t="s">
        <v>336</v>
      </c>
      <c r="E154" s="2" t="s">
        <v>172</v>
      </c>
      <c r="F154" s="2">
        <v>39</v>
      </c>
      <c r="G154" s="22">
        <v>0</v>
      </c>
      <c r="H154" s="22" t="s">
        <v>61</v>
      </c>
      <c r="I154">
        <f>_xlfn.XLOOKUP(Orders[[#This Row],[Product_ID]],Products[Product_ID], Products[Unit_Price])</f>
        <v>1.6</v>
      </c>
      <c r="J154">
        <f>Orders[[#This Row],[Quantity]]*Orders[[#This Row],[Unit_Price]]</f>
        <v>62.400000000000006</v>
      </c>
      <c r="K154">
        <f>_xlfn.XLOOKUP(Orders[[#This Row],[Product_ID]], Products[Product_ID], Products[Cost_Price])</f>
        <v>0.85</v>
      </c>
      <c r="L154">
        <f>Orders[[#This Row],[Cost_Price]]*Orders[[#This Row],[Quantity]]</f>
        <v>33.15</v>
      </c>
      <c r="M154">
        <f>Orders[[#This Row],[Unit_Price]]*Orders[[#This Row],[Discount]]*Orders[[#This Row],[Quantity]]</f>
        <v>0</v>
      </c>
      <c r="N154" s="23">
        <f>Orders[[#This Row],[Gross_Sales]]-Orders[[#This Row],[Total_Cost]]-Orders[[#This Row],[Total_Discount]]</f>
        <v>29.250000000000007</v>
      </c>
      <c r="O154" s="23">
        <f>Orders[[#This Row],[Total_Cost]]+Orders[[#This Row],[Total_Discount]]</f>
        <v>33.15</v>
      </c>
      <c r="P154" t="str">
        <f>_xlfn.XLOOKUP(Orders[[#This Row],[Product_ID]], Products[Product_ID], Products[Product_Name])</f>
        <v>Grape Soda</v>
      </c>
      <c r="Q154" t="str">
        <f>_xlfn.XLOOKUP(Orders[[#This Row],[Product_ID]], Products[Product_ID], Products[Category])</f>
        <v>Soft Drink</v>
      </c>
      <c r="R154" t="str">
        <f>_xlfn.XLOOKUP(Orders[[#This Row],[Customer_ID]], Customers[Customer_ID], Customers[County])</f>
        <v>Louth</v>
      </c>
      <c r="S154" t="str">
        <f>_xlfn.XLOOKUP(Orders[[#This Row],[Customer_ID]], Customers[Customer_ID], Customers[Customer_Type])</f>
        <v>Retailer</v>
      </c>
      <c r="T154" t="str">
        <f>_xlfn.XLOOKUP(Orders[[#This Row],[Customer_ID]], Customers[Customer_ID], Customers[Preferred_Channel])</f>
        <v>Distributor</v>
      </c>
      <c r="U154" t="str">
        <f>_xlfn.XLOOKUP(Orders[[#This Row],[Product_ID]], Products[Product_ID], Products[Bottle_Size])</f>
        <v>330ml</v>
      </c>
    </row>
    <row r="155" spans="1:21" ht="15.75" customHeight="1">
      <c r="A155" s="2" t="s">
        <v>557</v>
      </c>
      <c r="B155" s="2">
        <f>DAY(Orders[[#This Row],[Order_Date]])</f>
        <v>7</v>
      </c>
      <c r="C155" s="20">
        <v>46180</v>
      </c>
      <c r="D155" s="2" t="s">
        <v>306</v>
      </c>
      <c r="E155" s="2" t="s">
        <v>217</v>
      </c>
      <c r="F155" s="2">
        <v>11</v>
      </c>
      <c r="G155" s="22">
        <v>0.1</v>
      </c>
      <c r="H155" s="22" t="s">
        <v>61</v>
      </c>
      <c r="I155">
        <f>_xlfn.XLOOKUP(Orders[[#This Row],[Product_ID]],Products[Product_ID], Products[Unit_Price])</f>
        <v>1.4</v>
      </c>
      <c r="J155">
        <f>Orders[[#This Row],[Quantity]]*Orders[[#This Row],[Unit_Price]]</f>
        <v>15.399999999999999</v>
      </c>
      <c r="K155">
        <f>_xlfn.XLOOKUP(Orders[[#This Row],[Product_ID]], Products[Product_ID], Products[Cost_Price])</f>
        <v>0.7</v>
      </c>
      <c r="L155">
        <f>Orders[[#This Row],[Cost_Price]]*Orders[[#This Row],[Quantity]]</f>
        <v>7.6999999999999993</v>
      </c>
      <c r="M155">
        <f>Orders[[#This Row],[Unit_Price]]*Orders[[#This Row],[Discount]]*Orders[[#This Row],[Quantity]]</f>
        <v>1.5399999999999998</v>
      </c>
      <c r="N155" s="23">
        <f>Orders[[#This Row],[Gross_Sales]]-Orders[[#This Row],[Total_Cost]]-Orders[[#This Row],[Total_Discount]]</f>
        <v>6.1599999999999993</v>
      </c>
      <c r="O155" s="23">
        <f>Orders[[#This Row],[Total_Cost]]+Orders[[#This Row],[Total_Discount]]</f>
        <v>9.2399999999999984</v>
      </c>
      <c r="P155" t="str">
        <f>_xlfn.XLOOKUP(Orders[[#This Row],[Product_ID]], Products[Product_ID], Products[Product_Name])</f>
        <v>Spring Water</v>
      </c>
      <c r="Q155" t="str">
        <f>_xlfn.XLOOKUP(Orders[[#This Row],[Product_ID]], Products[Product_ID], Products[Category])</f>
        <v>Water</v>
      </c>
      <c r="R155" t="str">
        <f>_xlfn.XLOOKUP(Orders[[#This Row],[Customer_ID]], Customers[Customer_ID], Customers[County])</f>
        <v>Wexford</v>
      </c>
      <c r="S155" t="str">
        <f>_xlfn.XLOOKUP(Orders[[#This Row],[Customer_ID]], Customers[Customer_ID], Customers[Customer_Type])</f>
        <v>Hotel</v>
      </c>
      <c r="T155" t="str">
        <f>_xlfn.XLOOKUP(Orders[[#This Row],[Customer_ID]], Customers[Customer_ID], Customers[Preferred_Channel])</f>
        <v>Online</v>
      </c>
      <c r="U155" t="str">
        <f>_xlfn.XLOOKUP(Orders[[#This Row],[Product_ID]], Products[Product_ID], Products[Bottle_Size])</f>
        <v>500ml</v>
      </c>
    </row>
    <row r="156" spans="1:21" ht="15.75" customHeight="1">
      <c r="A156" s="2" t="s">
        <v>558</v>
      </c>
      <c r="B156" s="2">
        <f>DAY(Orders[[#This Row],[Order_Date]])</f>
        <v>1</v>
      </c>
      <c r="C156" s="20">
        <v>46174</v>
      </c>
      <c r="D156" s="2" t="s">
        <v>270</v>
      </c>
      <c r="E156" s="2" t="s">
        <v>17</v>
      </c>
      <c r="F156" s="2">
        <v>11</v>
      </c>
      <c r="G156" s="22">
        <v>0</v>
      </c>
      <c r="H156" s="22" t="s">
        <v>49</v>
      </c>
      <c r="I156">
        <f>_xlfn.XLOOKUP(Orders[[#This Row],[Product_ID]],Products[Product_ID], Products[Unit_Price])</f>
        <v>1.2</v>
      </c>
      <c r="J156">
        <f>Orders[[#This Row],[Quantity]]*Orders[[#This Row],[Unit_Price]]</f>
        <v>13.2</v>
      </c>
      <c r="K156">
        <f>_xlfn.XLOOKUP(Orders[[#This Row],[Product_ID]], Products[Product_ID], Products[Cost_Price])</f>
        <v>0.6</v>
      </c>
      <c r="L156">
        <f>Orders[[#This Row],[Cost_Price]]*Orders[[#This Row],[Quantity]]</f>
        <v>6.6</v>
      </c>
      <c r="M156">
        <f>Orders[[#This Row],[Unit_Price]]*Orders[[#This Row],[Discount]]*Orders[[#This Row],[Quantity]]</f>
        <v>0</v>
      </c>
      <c r="N156" s="23">
        <f>Orders[[#This Row],[Gross_Sales]]-Orders[[#This Row],[Total_Cost]]-Orders[[#This Row],[Total_Discount]]</f>
        <v>6.6</v>
      </c>
      <c r="O156" s="23">
        <f>Orders[[#This Row],[Total_Cost]]+Orders[[#This Row],[Total_Discount]]</f>
        <v>6.6</v>
      </c>
      <c r="P156" t="str">
        <f>_xlfn.XLOOKUP(Orders[[#This Row],[Product_ID]], Products[Product_ID], Products[Product_Name])</f>
        <v>Still Water</v>
      </c>
      <c r="Q156" t="str">
        <f>_xlfn.XLOOKUP(Orders[[#This Row],[Product_ID]], Products[Product_ID], Products[Category])</f>
        <v>Water</v>
      </c>
      <c r="R156" t="str">
        <f>_xlfn.XLOOKUP(Orders[[#This Row],[Customer_ID]], Customers[Customer_ID], Customers[County])</f>
        <v>Mayo</v>
      </c>
      <c r="S156" t="str">
        <f>_xlfn.XLOOKUP(Orders[[#This Row],[Customer_ID]], Customers[Customer_ID], Customers[Customer_Type])</f>
        <v>Wholesaler</v>
      </c>
      <c r="T156" t="str">
        <f>_xlfn.XLOOKUP(Orders[[#This Row],[Customer_ID]], Customers[Customer_ID], Customers[Preferred_Channel])</f>
        <v>Online</v>
      </c>
      <c r="U156" t="str">
        <f>_xlfn.XLOOKUP(Orders[[#This Row],[Product_ID]], Products[Product_ID], Products[Bottle_Size])</f>
        <v>500ml</v>
      </c>
    </row>
    <row r="157" spans="1:21" ht="15.75" customHeight="1">
      <c r="A157" s="2" t="s">
        <v>559</v>
      </c>
      <c r="B157" s="2">
        <f>DAY(Orders[[#This Row],[Order_Date]])</f>
        <v>30</v>
      </c>
      <c r="C157" s="20">
        <v>46203</v>
      </c>
      <c r="D157" s="2" t="s">
        <v>342</v>
      </c>
      <c r="E157" s="2" t="s">
        <v>117</v>
      </c>
      <c r="F157" s="2">
        <v>24</v>
      </c>
      <c r="G157" s="22">
        <v>0.05</v>
      </c>
      <c r="H157" s="22" t="s">
        <v>179</v>
      </c>
      <c r="I157">
        <f>_xlfn.XLOOKUP(Orders[[#This Row],[Product_ID]],Products[Product_ID], Products[Unit_Price])</f>
        <v>1.9</v>
      </c>
      <c r="J157">
        <f>Orders[[#This Row],[Quantity]]*Orders[[#This Row],[Unit_Price]]</f>
        <v>45.599999999999994</v>
      </c>
      <c r="K157">
        <f>_xlfn.XLOOKUP(Orders[[#This Row],[Product_ID]], Products[Product_ID], Products[Cost_Price])</f>
        <v>1</v>
      </c>
      <c r="L157">
        <f>Orders[[#This Row],[Cost_Price]]*Orders[[#This Row],[Quantity]]</f>
        <v>24</v>
      </c>
      <c r="M157">
        <f>Orders[[#This Row],[Unit_Price]]*Orders[[#This Row],[Discount]]*Orders[[#This Row],[Quantity]]</f>
        <v>2.2800000000000002</v>
      </c>
      <c r="N157" s="23">
        <f>Orders[[#This Row],[Gross_Sales]]-Orders[[#This Row],[Total_Cost]]-Orders[[#This Row],[Total_Discount]]</f>
        <v>19.319999999999993</v>
      </c>
      <c r="O157" s="23">
        <f>Orders[[#This Row],[Total_Cost]]+Orders[[#This Row],[Total_Discount]]</f>
        <v>26.28</v>
      </c>
      <c r="P157" t="str">
        <f>_xlfn.XLOOKUP(Orders[[#This Row],[Product_ID]], Products[Product_ID], Products[Product_Name])</f>
        <v>Tonic Water</v>
      </c>
      <c r="Q157" t="str">
        <f>_xlfn.XLOOKUP(Orders[[#This Row],[Product_ID]], Products[Product_ID], Products[Category])</f>
        <v>Water</v>
      </c>
      <c r="R157" t="str">
        <f>_xlfn.XLOOKUP(Orders[[#This Row],[Customer_ID]], Customers[Customer_ID], Customers[County])</f>
        <v>Wexford</v>
      </c>
      <c r="S157" t="str">
        <f>_xlfn.XLOOKUP(Orders[[#This Row],[Customer_ID]], Customers[Customer_ID], Customers[Customer_Type])</f>
        <v>Wholesaler</v>
      </c>
      <c r="T157" t="str">
        <f>_xlfn.XLOOKUP(Orders[[#This Row],[Customer_ID]], Customers[Customer_ID], Customers[Preferred_Channel])</f>
        <v>Email</v>
      </c>
      <c r="U157" t="str">
        <f>_xlfn.XLOOKUP(Orders[[#This Row],[Product_ID]], Products[Product_ID], Products[Bottle_Size])</f>
        <v>1L</v>
      </c>
    </row>
    <row r="158" spans="1:21" ht="15.75" customHeight="1">
      <c r="A158" s="2" t="s">
        <v>560</v>
      </c>
      <c r="B158" s="2">
        <f>DAY(Orders[[#This Row],[Order_Date]])</f>
        <v>15</v>
      </c>
      <c r="C158" s="20">
        <v>46188</v>
      </c>
      <c r="D158" s="2" t="s">
        <v>37</v>
      </c>
      <c r="E158" s="2" t="s">
        <v>125</v>
      </c>
      <c r="F158" s="2">
        <v>18</v>
      </c>
      <c r="G158" s="22">
        <v>0.05</v>
      </c>
      <c r="H158" s="22" t="s">
        <v>49</v>
      </c>
      <c r="I158">
        <f>_xlfn.XLOOKUP(Orders[[#This Row],[Product_ID]],Products[Product_ID], Products[Unit_Price])</f>
        <v>2.2000000000000002</v>
      </c>
      <c r="J158">
        <f>Orders[[#This Row],[Quantity]]*Orders[[#This Row],[Unit_Price]]</f>
        <v>39.6</v>
      </c>
      <c r="K158">
        <f>_xlfn.XLOOKUP(Orders[[#This Row],[Product_ID]], Products[Product_ID], Products[Cost_Price])</f>
        <v>1.3</v>
      </c>
      <c r="L158">
        <f>Orders[[#This Row],[Cost_Price]]*Orders[[#This Row],[Quantity]]</f>
        <v>23.400000000000002</v>
      </c>
      <c r="M158">
        <f>Orders[[#This Row],[Unit_Price]]*Orders[[#This Row],[Discount]]*Orders[[#This Row],[Quantity]]</f>
        <v>1.9800000000000002</v>
      </c>
      <c r="N158" s="23">
        <f>Orders[[#This Row],[Gross_Sales]]-Orders[[#This Row],[Total_Cost]]-Orders[[#This Row],[Total_Discount]]</f>
        <v>14.219999999999999</v>
      </c>
      <c r="O158" s="23">
        <f>Orders[[#This Row],[Total_Cost]]+Orders[[#This Row],[Total_Discount]]</f>
        <v>25.380000000000003</v>
      </c>
      <c r="P158" t="str">
        <f>_xlfn.XLOOKUP(Orders[[#This Row],[Product_ID]], Products[Product_ID], Products[Product_Name])</f>
        <v>Iced Tea</v>
      </c>
      <c r="Q158" t="str">
        <f>_xlfn.XLOOKUP(Orders[[#This Row],[Product_ID]], Products[Product_ID], Products[Category])</f>
        <v>Tea</v>
      </c>
      <c r="R158" t="str">
        <f>_xlfn.XLOOKUP(Orders[[#This Row],[Customer_ID]], Customers[Customer_ID], Customers[County])</f>
        <v>Kerry</v>
      </c>
      <c r="S158" t="str">
        <f>_xlfn.XLOOKUP(Orders[[#This Row],[Customer_ID]], Customers[Customer_ID], Customers[Customer_Type])</f>
        <v>Restaurant</v>
      </c>
      <c r="T158" t="str">
        <f>_xlfn.XLOOKUP(Orders[[#This Row],[Customer_ID]], Customers[Customer_ID], Customers[Preferred_Channel])</f>
        <v>Distributor</v>
      </c>
      <c r="U158" t="str">
        <f>_xlfn.XLOOKUP(Orders[[#This Row],[Product_ID]], Products[Product_ID], Products[Bottle_Size])</f>
        <v>500ml</v>
      </c>
    </row>
    <row r="159" spans="1:21" ht="15.75" customHeight="1">
      <c r="A159" s="2" t="s">
        <v>561</v>
      </c>
      <c r="B159" s="2">
        <f>DAY(Orders[[#This Row],[Order_Date]])</f>
        <v>4</v>
      </c>
      <c r="C159" s="20">
        <v>46177</v>
      </c>
      <c r="D159" s="2" t="s">
        <v>135</v>
      </c>
      <c r="E159" s="2" t="s">
        <v>170</v>
      </c>
      <c r="F159" s="2">
        <v>7</v>
      </c>
      <c r="G159" s="22">
        <v>0</v>
      </c>
      <c r="H159" s="22" t="s">
        <v>61</v>
      </c>
      <c r="I159">
        <f>_xlfn.XLOOKUP(Orders[[#This Row],[Product_ID]],Products[Product_ID], Products[Unit_Price])</f>
        <v>1.9</v>
      </c>
      <c r="J159">
        <f>Orders[[#This Row],[Quantity]]*Orders[[#This Row],[Unit_Price]]</f>
        <v>13.299999999999999</v>
      </c>
      <c r="K159">
        <f>_xlfn.XLOOKUP(Orders[[#This Row],[Product_ID]], Products[Product_ID], Products[Cost_Price])</f>
        <v>0.95</v>
      </c>
      <c r="L159">
        <f>Orders[[#This Row],[Cost_Price]]*Orders[[#This Row],[Quantity]]</f>
        <v>6.6499999999999995</v>
      </c>
      <c r="M159">
        <f>Orders[[#This Row],[Unit_Price]]*Orders[[#This Row],[Discount]]*Orders[[#This Row],[Quantity]]</f>
        <v>0</v>
      </c>
      <c r="N159" s="23">
        <f>Orders[[#This Row],[Gross_Sales]]-Orders[[#This Row],[Total_Cost]]-Orders[[#This Row],[Total_Discount]]</f>
        <v>6.6499999999999995</v>
      </c>
      <c r="O159" s="23">
        <f>Orders[[#This Row],[Total_Cost]]+Orders[[#This Row],[Total_Discount]]</f>
        <v>6.6499999999999995</v>
      </c>
      <c r="P159" t="str">
        <f>_xlfn.XLOOKUP(Orders[[#This Row],[Product_ID]], Products[Product_ID], Products[Product_Name])</f>
        <v>Vitamin Water</v>
      </c>
      <c r="Q159" t="str">
        <f>_xlfn.XLOOKUP(Orders[[#This Row],[Product_ID]], Products[Product_ID], Products[Category])</f>
        <v>Water</v>
      </c>
      <c r="R159" t="str">
        <f>_xlfn.XLOOKUP(Orders[[#This Row],[Customer_ID]], Customers[Customer_ID], Customers[County])</f>
        <v>Galway</v>
      </c>
      <c r="S159" t="str">
        <f>_xlfn.XLOOKUP(Orders[[#This Row],[Customer_ID]], Customers[Customer_ID], Customers[Customer_Type])</f>
        <v>Hotel</v>
      </c>
      <c r="T159" t="str">
        <f>_xlfn.XLOOKUP(Orders[[#This Row],[Customer_ID]], Customers[Customer_ID], Customers[Preferred_Channel])</f>
        <v>Sales Rep</v>
      </c>
      <c r="U159" t="str">
        <f>_xlfn.XLOOKUP(Orders[[#This Row],[Product_ID]], Products[Product_ID], Products[Bottle_Size])</f>
        <v>500ml</v>
      </c>
    </row>
    <row r="160" spans="1:21" ht="15.75" customHeight="1">
      <c r="A160" s="2" t="s">
        <v>563</v>
      </c>
      <c r="B160" s="2">
        <f>DAY(Orders[[#This Row],[Order_Date]])</f>
        <v>22</v>
      </c>
      <c r="C160" s="20">
        <v>46195</v>
      </c>
      <c r="D160" s="2" t="s">
        <v>190</v>
      </c>
      <c r="E160" s="2" t="s">
        <v>57</v>
      </c>
      <c r="F160" s="2">
        <v>37</v>
      </c>
      <c r="G160" s="22">
        <v>0</v>
      </c>
      <c r="H160" s="22" t="s">
        <v>49</v>
      </c>
      <c r="I160">
        <f>_xlfn.XLOOKUP(Orders[[#This Row],[Product_ID]],Products[Product_ID], Products[Unit_Price])</f>
        <v>2</v>
      </c>
      <c r="J160">
        <f>Orders[[#This Row],[Quantity]]*Orders[[#This Row],[Unit_Price]]</f>
        <v>74</v>
      </c>
      <c r="K160">
        <f>_xlfn.XLOOKUP(Orders[[#This Row],[Product_ID]], Products[Product_ID], Products[Cost_Price])</f>
        <v>1</v>
      </c>
      <c r="L160">
        <f>Orders[[#This Row],[Cost_Price]]*Orders[[#This Row],[Quantity]]</f>
        <v>37</v>
      </c>
      <c r="M160">
        <f>Orders[[#This Row],[Unit_Price]]*Orders[[#This Row],[Discount]]*Orders[[#This Row],[Quantity]]</f>
        <v>0</v>
      </c>
      <c r="N160" s="23">
        <f>Orders[[#This Row],[Gross_Sales]]-Orders[[#This Row],[Total_Cost]]-Orders[[#This Row],[Total_Discount]]</f>
        <v>37</v>
      </c>
      <c r="O160" s="23">
        <f>Orders[[#This Row],[Total_Cost]]+Orders[[#This Row],[Total_Discount]]</f>
        <v>37</v>
      </c>
      <c r="P160" t="str">
        <f>_xlfn.XLOOKUP(Orders[[#This Row],[Product_ID]], Products[Product_ID], Products[Product_Name])</f>
        <v xml:space="preserve">Mineral Water
</v>
      </c>
      <c r="Q160" t="str">
        <f>_xlfn.XLOOKUP(Orders[[#This Row],[Product_ID]], Products[Product_ID], Products[Category])</f>
        <v>Water</v>
      </c>
      <c r="R160" t="str">
        <f>_xlfn.XLOOKUP(Orders[[#This Row],[Customer_ID]], Customers[Customer_ID], Customers[County])</f>
        <v>Galway</v>
      </c>
      <c r="S160" t="str">
        <f>_xlfn.XLOOKUP(Orders[[#This Row],[Customer_ID]], Customers[Customer_ID], Customers[Customer_Type])</f>
        <v>Wholesaler</v>
      </c>
      <c r="T160" t="str">
        <f>_xlfn.XLOOKUP(Orders[[#This Row],[Customer_ID]], Customers[Customer_ID], Customers[Preferred_Channel])</f>
        <v>Phone</v>
      </c>
      <c r="U160" t="str">
        <f>_xlfn.XLOOKUP(Orders[[#This Row],[Product_ID]], Products[Product_ID], Products[Bottle_Size])</f>
        <v>1.5L</v>
      </c>
    </row>
    <row r="161" spans="1:21" ht="15.75" customHeight="1">
      <c r="A161" s="2" t="s">
        <v>565</v>
      </c>
      <c r="B161" s="2">
        <f>DAY(Orders[[#This Row],[Order_Date]])</f>
        <v>8</v>
      </c>
      <c r="C161" s="20">
        <v>46181</v>
      </c>
      <c r="D161" s="2" t="s">
        <v>420</v>
      </c>
      <c r="E161" s="2" t="s">
        <v>50</v>
      </c>
      <c r="F161" s="2">
        <v>38</v>
      </c>
      <c r="G161" s="22">
        <v>0.05</v>
      </c>
      <c r="H161" s="22" t="s">
        <v>61</v>
      </c>
      <c r="I161">
        <f>_xlfn.XLOOKUP(Orders[[#This Row],[Product_ID]],Products[Product_ID], Products[Unit_Price])</f>
        <v>1.6</v>
      </c>
      <c r="J161">
        <f>Orders[[#This Row],[Quantity]]*Orders[[#This Row],[Unit_Price]]</f>
        <v>60.800000000000004</v>
      </c>
      <c r="K161">
        <f>_xlfn.XLOOKUP(Orders[[#This Row],[Product_ID]], Products[Product_ID], Products[Cost_Price])</f>
        <v>0.85</v>
      </c>
      <c r="L161">
        <f>Orders[[#This Row],[Cost_Price]]*Orders[[#This Row],[Quantity]]</f>
        <v>32.299999999999997</v>
      </c>
      <c r="M161">
        <f>Orders[[#This Row],[Unit_Price]]*Orders[[#This Row],[Discount]]*Orders[[#This Row],[Quantity]]</f>
        <v>3.0400000000000005</v>
      </c>
      <c r="N161" s="23">
        <f>Orders[[#This Row],[Gross_Sales]]-Orders[[#This Row],[Total_Cost]]-Orders[[#This Row],[Total_Discount]]</f>
        <v>25.460000000000008</v>
      </c>
      <c r="O161" s="23">
        <f>Orders[[#This Row],[Total_Cost]]+Orders[[#This Row],[Total_Discount]]</f>
        <v>35.339999999999996</v>
      </c>
      <c r="P161" t="str">
        <f>_xlfn.XLOOKUP(Orders[[#This Row],[Product_ID]], Products[Product_ID], Products[Product_Name])</f>
        <v>Orange Soda</v>
      </c>
      <c r="Q161" t="str">
        <f>_xlfn.XLOOKUP(Orders[[#This Row],[Product_ID]], Products[Product_ID], Products[Category])</f>
        <v>Soft Drink</v>
      </c>
      <c r="R161" t="str">
        <f>_xlfn.XLOOKUP(Orders[[#This Row],[Customer_ID]], Customers[Customer_ID], Customers[County])</f>
        <v>Galway</v>
      </c>
      <c r="S161" t="str">
        <f>_xlfn.XLOOKUP(Orders[[#This Row],[Customer_ID]], Customers[Customer_ID], Customers[Customer_Type])</f>
        <v>Restaurant</v>
      </c>
      <c r="T161" t="str">
        <f>_xlfn.XLOOKUP(Orders[[#This Row],[Customer_ID]], Customers[Customer_ID], Customers[Preferred_Channel])</f>
        <v>Email</v>
      </c>
      <c r="U161" t="str">
        <f>_xlfn.XLOOKUP(Orders[[#This Row],[Product_ID]], Products[Product_ID], Products[Bottle_Size])</f>
        <v>500ml</v>
      </c>
    </row>
    <row r="162" spans="1:21" ht="15.75" customHeight="1">
      <c r="A162" s="2" t="s">
        <v>567</v>
      </c>
      <c r="B162" s="2">
        <f>DAY(Orders[[#This Row],[Order_Date]])</f>
        <v>21</v>
      </c>
      <c r="C162" s="20">
        <v>46194</v>
      </c>
      <c r="D162" s="2" t="s">
        <v>93</v>
      </c>
      <c r="E162" s="2" t="s">
        <v>41</v>
      </c>
      <c r="F162" s="2">
        <v>16</v>
      </c>
      <c r="G162" s="22">
        <v>0</v>
      </c>
      <c r="H162" s="22" t="s">
        <v>61</v>
      </c>
      <c r="I162">
        <f>_xlfn.XLOOKUP(Orders[[#This Row],[Product_ID]],Products[Product_ID], Products[Unit_Price])</f>
        <v>2.2000000000000002</v>
      </c>
      <c r="J162">
        <f>Orders[[#This Row],[Quantity]]*Orders[[#This Row],[Unit_Price]]</f>
        <v>35.200000000000003</v>
      </c>
      <c r="K162">
        <f>_xlfn.XLOOKUP(Orders[[#This Row],[Product_ID]], Products[Product_ID], Products[Cost_Price])</f>
        <v>1.2</v>
      </c>
      <c r="L162">
        <f>Orders[[#This Row],[Cost_Price]]*Orders[[#This Row],[Quantity]]</f>
        <v>19.2</v>
      </c>
      <c r="M162">
        <f>Orders[[#This Row],[Unit_Price]]*Orders[[#This Row],[Discount]]*Orders[[#This Row],[Quantity]]</f>
        <v>0</v>
      </c>
      <c r="N162" s="23">
        <f>Orders[[#This Row],[Gross_Sales]]-Orders[[#This Row],[Total_Cost]]-Orders[[#This Row],[Total_Discount]]</f>
        <v>16.000000000000004</v>
      </c>
      <c r="O162" s="23">
        <f>Orders[[#This Row],[Total_Cost]]+Orders[[#This Row],[Total_Discount]]</f>
        <v>19.2</v>
      </c>
      <c r="P162" t="str">
        <f>_xlfn.XLOOKUP(Orders[[#This Row],[Product_ID]], Products[Product_ID], Products[Product_Name])</f>
        <v>Peach Tea</v>
      </c>
      <c r="Q162" t="str">
        <f>_xlfn.XLOOKUP(Orders[[#This Row],[Product_ID]], Products[Product_ID], Products[Category])</f>
        <v>Tea</v>
      </c>
      <c r="R162" t="str">
        <f>_xlfn.XLOOKUP(Orders[[#This Row],[Customer_ID]], Customers[Customer_ID], Customers[County])</f>
        <v>Meath</v>
      </c>
      <c r="S162" t="str">
        <f>_xlfn.XLOOKUP(Orders[[#This Row],[Customer_ID]], Customers[Customer_ID], Customers[Customer_Type])</f>
        <v>Restaurant</v>
      </c>
      <c r="T162" t="str">
        <f>_xlfn.XLOOKUP(Orders[[#This Row],[Customer_ID]], Customers[Customer_ID], Customers[Preferred_Channel])</f>
        <v>Online</v>
      </c>
      <c r="U162" t="str">
        <f>_xlfn.XLOOKUP(Orders[[#This Row],[Product_ID]], Products[Product_ID], Products[Bottle_Size])</f>
        <v>500ml</v>
      </c>
    </row>
    <row r="163" spans="1:21" ht="15.75" customHeight="1">
      <c r="A163" s="2" t="s">
        <v>568</v>
      </c>
      <c r="B163" s="2">
        <f>DAY(Orders[[#This Row],[Order_Date]])</f>
        <v>28</v>
      </c>
      <c r="C163" s="20">
        <v>46201</v>
      </c>
      <c r="D163" s="2" t="s">
        <v>55</v>
      </c>
      <c r="E163" s="2" t="s">
        <v>17</v>
      </c>
      <c r="F163" s="2">
        <v>11</v>
      </c>
      <c r="G163" s="22">
        <v>0.05</v>
      </c>
      <c r="H163" s="22" t="s">
        <v>61</v>
      </c>
      <c r="I163">
        <f>_xlfn.XLOOKUP(Orders[[#This Row],[Product_ID]],Products[Product_ID], Products[Unit_Price])</f>
        <v>1.2</v>
      </c>
      <c r="J163">
        <f>Orders[[#This Row],[Quantity]]*Orders[[#This Row],[Unit_Price]]</f>
        <v>13.2</v>
      </c>
      <c r="K163">
        <f>_xlfn.XLOOKUP(Orders[[#This Row],[Product_ID]], Products[Product_ID], Products[Cost_Price])</f>
        <v>0.6</v>
      </c>
      <c r="L163">
        <f>Orders[[#This Row],[Cost_Price]]*Orders[[#This Row],[Quantity]]</f>
        <v>6.6</v>
      </c>
      <c r="M163">
        <f>Orders[[#This Row],[Unit_Price]]*Orders[[#This Row],[Discount]]*Orders[[#This Row],[Quantity]]</f>
        <v>0.65999999999999992</v>
      </c>
      <c r="N163" s="23">
        <f>Orders[[#This Row],[Gross_Sales]]-Orders[[#This Row],[Total_Cost]]-Orders[[#This Row],[Total_Discount]]</f>
        <v>5.9399999999999995</v>
      </c>
      <c r="O163" s="23">
        <f>Orders[[#This Row],[Total_Cost]]+Orders[[#This Row],[Total_Discount]]</f>
        <v>7.26</v>
      </c>
      <c r="P163" t="str">
        <f>_xlfn.XLOOKUP(Orders[[#This Row],[Product_ID]], Products[Product_ID], Products[Product_Name])</f>
        <v>Still Water</v>
      </c>
      <c r="Q163" t="str">
        <f>_xlfn.XLOOKUP(Orders[[#This Row],[Product_ID]], Products[Product_ID], Products[Category])</f>
        <v>Water</v>
      </c>
      <c r="R163" t="str">
        <f>_xlfn.XLOOKUP(Orders[[#This Row],[Customer_ID]], Customers[Customer_ID], Customers[County])</f>
        <v>Tipperary</v>
      </c>
      <c r="S163" t="str">
        <f>_xlfn.XLOOKUP(Orders[[#This Row],[Customer_ID]], Customers[Customer_ID], Customers[Customer_Type])</f>
        <v>Retailer</v>
      </c>
      <c r="T163" t="str">
        <f>_xlfn.XLOOKUP(Orders[[#This Row],[Customer_ID]], Customers[Customer_ID], Customers[Preferred_Channel])</f>
        <v>Online</v>
      </c>
      <c r="U163" t="str">
        <f>_xlfn.XLOOKUP(Orders[[#This Row],[Product_ID]], Products[Product_ID], Products[Bottle_Size])</f>
        <v>500ml</v>
      </c>
    </row>
    <row r="164" spans="1:21" ht="15.75" customHeight="1">
      <c r="A164" s="2" t="s">
        <v>569</v>
      </c>
      <c r="B164" s="2">
        <f>DAY(Orders[[#This Row],[Order_Date]])</f>
        <v>5</v>
      </c>
      <c r="C164" s="20">
        <v>46178</v>
      </c>
      <c r="D164" s="2" t="s">
        <v>190</v>
      </c>
      <c r="E164" s="2" t="s">
        <v>170</v>
      </c>
      <c r="F164" s="2">
        <v>33</v>
      </c>
      <c r="G164" s="22">
        <v>0</v>
      </c>
      <c r="H164" s="22" t="s">
        <v>61</v>
      </c>
      <c r="I164">
        <f>_xlfn.XLOOKUP(Orders[[#This Row],[Product_ID]],Products[Product_ID], Products[Unit_Price])</f>
        <v>1.9</v>
      </c>
      <c r="J164">
        <f>Orders[[#This Row],[Quantity]]*Orders[[#This Row],[Unit_Price]]</f>
        <v>62.699999999999996</v>
      </c>
      <c r="K164">
        <f>_xlfn.XLOOKUP(Orders[[#This Row],[Product_ID]], Products[Product_ID], Products[Cost_Price])</f>
        <v>0.95</v>
      </c>
      <c r="L164">
        <f>Orders[[#This Row],[Cost_Price]]*Orders[[#This Row],[Quantity]]</f>
        <v>31.349999999999998</v>
      </c>
      <c r="M164">
        <f>Orders[[#This Row],[Unit_Price]]*Orders[[#This Row],[Discount]]*Orders[[#This Row],[Quantity]]</f>
        <v>0</v>
      </c>
      <c r="N164" s="23">
        <f>Orders[[#This Row],[Gross_Sales]]-Orders[[#This Row],[Total_Cost]]-Orders[[#This Row],[Total_Discount]]</f>
        <v>31.349999999999998</v>
      </c>
      <c r="O164" s="23">
        <f>Orders[[#This Row],[Total_Cost]]+Orders[[#This Row],[Total_Discount]]</f>
        <v>31.349999999999998</v>
      </c>
      <c r="P164" t="str">
        <f>_xlfn.XLOOKUP(Orders[[#This Row],[Product_ID]], Products[Product_ID], Products[Product_Name])</f>
        <v>Vitamin Water</v>
      </c>
      <c r="Q164" t="str">
        <f>_xlfn.XLOOKUP(Orders[[#This Row],[Product_ID]], Products[Product_ID], Products[Category])</f>
        <v>Water</v>
      </c>
      <c r="R164" t="str">
        <f>_xlfn.XLOOKUP(Orders[[#This Row],[Customer_ID]], Customers[Customer_ID], Customers[County])</f>
        <v>Galway</v>
      </c>
      <c r="S164" t="str">
        <f>_xlfn.XLOOKUP(Orders[[#This Row],[Customer_ID]], Customers[Customer_ID], Customers[Customer_Type])</f>
        <v>Wholesaler</v>
      </c>
      <c r="T164" t="str">
        <f>_xlfn.XLOOKUP(Orders[[#This Row],[Customer_ID]], Customers[Customer_ID], Customers[Preferred_Channel])</f>
        <v>Phone</v>
      </c>
      <c r="U164" t="str">
        <f>_xlfn.XLOOKUP(Orders[[#This Row],[Product_ID]], Products[Product_ID], Products[Bottle_Size])</f>
        <v>500ml</v>
      </c>
    </row>
    <row r="165" spans="1:21" ht="15.75" customHeight="1">
      <c r="A165" s="2" t="s">
        <v>570</v>
      </c>
      <c r="B165" s="2">
        <f>DAY(Orders[[#This Row],[Order_Date]])</f>
        <v>7</v>
      </c>
      <c r="C165" s="20">
        <v>46180</v>
      </c>
      <c r="D165" s="2" t="s">
        <v>376</v>
      </c>
      <c r="E165" s="2" t="s">
        <v>170</v>
      </c>
      <c r="F165" s="2">
        <v>32</v>
      </c>
      <c r="G165" s="22">
        <v>0.1</v>
      </c>
      <c r="H165" s="22" t="s">
        <v>61</v>
      </c>
      <c r="I165">
        <f>_xlfn.XLOOKUP(Orders[[#This Row],[Product_ID]],Products[Product_ID], Products[Unit_Price])</f>
        <v>1.9</v>
      </c>
      <c r="J165">
        <f>Orders[[#This Row],[Quantity]]*Orders[[#This Row],[Unit_Price]]</f>
        <v>60.8</v>
      </c>
      <c r="K165">
        <f>_xlfn.XLOOKUP(Orders[[#This Row],[Product_ID]], Products[Product_ID], Products[Cost_Price])</f>
        <v>0.95</v>
      </c>
      <c r="L165">
        <f>Orders[[#This Row],[Cost_Price]]*Orders[[#This Row],[Quantity]]</f>
        <v>30.4</v>
      </c>
      <c r="M165">
        <f>Orders[[#This Row],[Unit_Price]]*Orders[[#This Row],[Discount]]*Orders[[#This Row],[Quantity]]</f>
        <v>6.08</v>
      </c>
      <c r="N165" s="23">
        <f>Orders[[#This Row],[Gross_Sales]]-Orders[[#This Row],[Total_Cost]]-Orders[[#This Row],[Total_Discount]]</f>
        <v>24.32</v>
      </c>
      <c r="O165" s="23">
        <f>Orders[[#This Row],[Total_Cost]]+Orders[[#This Row],[Total_Discount]]</f>
        <v>36.479999999999997</v>
      </c>
      <c r="P165" t="str">
        <f>_xlfn.XLOOKUP(Orders[[#This Row],[Product_ID]], Products[Product_ID], Products[Product_Name])</f>
        <v>Vitamin Water</v>
      </c>
      <c r="Q165" t="str">
        <f>_xlfn.XLOOKUP(Orders[[#This Row],[Product_ID]], Products[Product_ID], Products[Category])</f>
        <v>Water</v>
      </c>
      <c r="R165" t="str">
        <f>_xlfn.XLOOKUP(Orders[[#This Row],[Customer_ID]], Customers[Customer_ID], Customers[County])</f>
        <v>Waterford</v>
      </c>
      <c r="S165" t="str">
        <f>_xlfn.XLOOKUP(Orders[[#This Row],[Customer_ID]], Customers[Customer_ID], Customers[Customer_Type])</f>
        <v>Retailer</v>
      </c>
      <c r="T165" t="str">
        <f>_xlfn.XLOOKUP(Orders[[#This Row],[Customer_ID]], Customers[Customer_ID], Customers[Preferred_Channel])</f>
        <v>Online</v>
      </c>
      <c r="U165" t="str">
        <f>_xlfn.XLOOKUP(Orders[[#This Row],[Product_ID]], Products[Product_ID], Products[Bottle_Size])</f>
        <v>500ml</v>
      </c>
    </row>
    <row r="166" spans="1:21" ht="15.75" customHeight="1">
      <c r="A166" s="2" t="s">
        <v>571</v>
      </c>
      <c r="B166" s="2">
        <f>DAY(Orders[[#This Row],[Order_Date]])</f>
        <v>11</v>
      </c>
      <c r="C166" s="20">
        <v>46184</v>
      </c>
      <c r="D166" s="2" t="s">
        <v>40</v>
      </c>
      <c r="E166" s="2" t="s">
        <v>170</v>
      </c>
      <c r="F166" s="2">
        <v>47</v>
      </c>
      <c r="G166" s="22">
        <v>0.1</v>
      </c>
      <c r="H166" s="22" t="s">
        <v>61</v>
      </c>
      <c r="I166">
        <f>_xlfn.XLOOKUP(Orders[[#This Row],[Product_ID]],Products[Product_ID], Products[Unit_Price])</f>
        <v>1.9</v>
      </c>
      <c r="J166">
        <f>Orders[[#This Row],[Quantity]]*Orders[[#This Row],[Unit_Price]]</f>
        <v>89.3</v>
      </c>
      <c r="K166">
        <f>_xlfn.XLOOKUP(Orders[[#This Row],[Product_ID]], Products[Product_ID], Products[Cost_Price])</f>
        <v>0.95</v>
      </c>
      <c r="L166">
        <f>Orders[[#This Row],[Cost_Price]]*Orders[[#This Row],[Quantity]]</f>
        <v>44.65</v>
      </c>
      <c r="M166">
        <f>Orders[[#This Row],[Unit_Price]]*Orders[[#This Row],[Discount]]*Orders[[#This Row],[Quantity]]</f>
        <v>8.93</v>
      </c>
      <c r="N166" s="23">
        <f>Orders[[#This Row],[Gross_Sales]]-Orders[[#This Row],[Total_Cost]]-Orders[[#This Row],[Total_Discount]]</f>
        <v>35.72</v>
      </c>
      <c r="O166" s="23">
        <f>Orders[[#This Row],[Total_Cost]]+Orders[[#This Row],[Total_Discount]]</f>
        <v>53.58</v>
      </c>
      <c r="P166" t="str">
        <f>_xlfn.XLOOKUP(Orders[[#This Row],[Product_ID]], Products[Product_ID], Products[Product_Name])</f>
        <v>Vitamin Water</v>
      </c>
      <c r="Q166" t="str">
        <f>_xlfn.XLOOKUP(Orders[[#This Row],[Product_ID]], Products[Product_ID], Products[Category])</f>
        <v>Water</v>
      </c>
      <c r="R166" t="str">
        <f>_xlfn.XLOOKUP(Orders[[#This Row],[Customer_ID]], Customers[Customer_ID], Customers[County])</f>
        <v>Kildare</v>
      </c>
      <c r="S166" t="str">
        <f>_xlfn.XLOOKUP(Orders[[#This Row],[Customer_ID]], Customers[Customer_ID], Customers[Customer_Type])</f>
        <v>Retailer</v>
      </c>
      <c r="T166" t="str">
        <f>_xlfn.XLOOKUP(Orders[[#This Row],[Customer_ID]], Customers[Customer_ID], Customers[Preferred_Channel])</f>
        <v>Sales Rep</v>
      </c>
      <c r="U166" t="str">
        <f>_xlfn.XLOOKUP(Orders[[#This Row],[Product_ID]], Products[Product_ID], Products[Bottle_Size])</f>
        <v>500ml</v>
      </c>
    </row>
    <row r="167" spans="1:21" ht="15.75" customHeight="1">
      <c r="A167" s="2" t="s">
        <v>572</v>
      </c>
      <c r="B167" s="2">
        <f>DAY(Orders[[#This Row],[Order_Date]])</f>
        <v>12</v>
      </c>
      <c r="C167" s="20">
        <v>46185</v>
      </c>
      <c r="D167" s="2" t="s">
        <v>124</v>
      </c>
      <c r="E167" s="2" t="s">
        <v>170</v>
      </c>
      <c r="F167" s="2">
        <v>9</v>
      </c>
      <c r="G167" s="22">
        <v>0.05</v>
      </c>
      <c r="H167" s="22" t="s">
        <v>61</v>
      </c>
      <c r="I167">
        <f>_xlfn.XLOOKUP(Orders[[#This Row],[Product_ID]],Products[Product_ID], Products[Unit_Price])</f>
        <v>1.9</v>
      </c>
      <c r="J167">
        <f>Orders[[#This Row],[Quantity]]*Orders[[#This Row],[Unit_Price]]</f>
        <v>17.099999999999998</v>
      </c>
      <c r="K167">
        <f>_xlfn.XLOOKUP(Orders[[#This Row],[Product_ID]], Products[Product_ID], Products[Cost_Price])</f>
        <v>0.95</v>
      </c>
      <c r="L167">
        <f>Orders[[#This Row],[Cost_Price]]*Orders[[#This Row],[Quantity]]</f>
        <v>8.5499999999999989</v>
      </c>
      <c r="M167">
        <f>Orders[[#This Row],[Unit_Price]]*Orders[[#This Row],[Discount]]*Orders[[#This Row],[Quantity]]</f>
        <v>0.85499999999999998</v>
      </c>
      <c r="N167" s="23">
        <f>Orders[[#This Row],[Gross_Sales]]-Orders[[#This Row],[Total_Cost]]-Orders[[#This Row],[Total_Discount]]</f>
        <v>7.6949999999999985</v>
      </c>
      <c r="O167" s="23">
        <f>Orders[[#This Row],[Total_Cost]]+Orders[[#This Row],[Total_Discount]]</f>
        <v>9.4049999999999994</v>
      </c>
      <c r="P167" t="str">
        <f>_xlfn.XLOOKUP(Orders[[#This Row],[Product_ID]], Products[Product_ID], Products[Product_Name])</f>
        <v>Vitamin Water</v>
      </c>
      <c r="Q167" t="str">
        <f>_xlfn.XLOOKUP(Orders[[#This Row],[Product_ID]], Products[Product_ID], Products[Category])</f>
        <v>Water</v>
      </c>
      <c r="R167" t="str">
        <f>_xlfn.XLOOKUP(Orders[[#This Row],[Customer_ID]], Customers[Customer_ID], Customers[County])</f>
        <v>Kerry</v>
      </c>
      <c r="S167" t="str">
        <f>_xlfn.XLOOKUP(Orders[[#This Row],[Customer_ID]], Customers[Customer_ID], Customers[Customer_Type])</f>
        <v>Retailer</v>
      </c>
      <c r="T167" t="str">
        <f>_xlfn.XLOOKUP(Orders[[#This Row],[Customer_ID]], Customers[Customer_ID], Customers[Preferred_Channel])</f>
        <v>Sales Rep</v>
      </c>
      <c r="U167" t="str">
        <f>_xlfn.XLOOKUP(Orders[[#This Row],[Product_ID]], Products[Product_ID], Products[Bottle_Size])</f>
        <v>500ml</v>
      </c>
    </row>
    <row r="168" spans="1:21" ht="15.75" customHeight="1">
      <c r="A168" s="2" t="s">
        <v>573</v>
      </c>
      <c r="B168" s="2">
        <f>DAY(Orders[[#This Row],[Order_Date]])</f>
        <v>27</v>
      </c>
      <c r="C168" s="20">
        <v>46200</v>
      </c>
      <c r="D168" s="2" t="s">
        <v>148</v>
      </c>
      <c r="E168" s="2" t="s">
        <v>172</v>
      </c>
      <c r="F168" s="2">
        <v>16</v>
      </c>
      <c r="G168" s="22">
        <v>0.05</v>
      </c>
      <c r="H168" s="22" t="s">
        <v>61</v>
      </c>
      <c r="I168">
        <f>_xlfn.XLOOKUP(Orders[[#This Row],[Product_ID]],Products[Product_ID], Products[Unit_Price])</f>
        <v>1.6</v>
      </c>
      <c r="J168">
        <f>Orders[[#This Row],[Quantity]]*Orders[[#This Row],[Unit_Price]]</f>
        <v>25.6</v>
      </c>
      <c r="K168">
        <f>_xlfn.XLOOKUP(Orders[[#This Row],[Product_ID]], Products[Product_ID], Products[Cost_Price])</f>
        <v>0.85</v>
      </c>
      <c r="L168">
        <f>Orders[[#This Row],[Cost_Price]]*Orders[[#This Row],[Quantity]]</f>
        <v>13.6</v>
      </c>
      <c r="M168">
        <f>Orders[[#This Row],[Unit_Price]]*Orders[[#This Row],[Discount]]*Orders[[#This Row],[Quantity]]</f>
        <v>1.2800000000000002</v>
      </c>
      <c r="N168" s="23">
        <f>Orders[[#This Row],[Gross_Sales]]-Orders[[#This Row],[Total_Cost]]-Orders[[#This Row],[Total_Discount]]</f>
        <v>10.720000000000002</v>
      </c>
      <c r="O168" s="23">
        <f>Orders[[#This Row],[Total_Cost]]+Orders[[#This Row],[Total_Discount]]</f>
        <v>14.879999999999999</v>
      </c>
      <c r="P168" t="str">
        <f>_xlfn.XLOOKUP(Orders[[#This Row],[Product_ID]], Products[Product_ID], Products[Product_Name])</f>
        <v>Grape Soda</v>
      </c>
      <c r="Q168" t="str">
        <f>_xlfn.XLOOKUP(Orders[[#This Row],[Product_ID]], Products[Product_ID], Products[Category])</f>
        <v>Soft Drink</v>
      </c>
      <c r="R168" t="str">
        <f>_xlfn.XLOOKUP(Orders[[#This Row],[Customer_ID]], Customers[Customer_ID], Customers[County])</f>
        <v>Tipperary</v>
      </c>
      <c r="S168" t="str">
        <f>_xlfn.XLOOKUP(Orders[[#This Row],[Customer_ID]], Customers[Customer_ID], Customers[Customer_Type])</f>
        <v>Wholesaler</v>
      </c>
      <c r="T168" t="str">
        <f>_xlfn.XLOOKUP(Orders[[#This Row],[Customer_ID]], Customers[Customer_ID], Customers[Preferred_Channel])</f>
        <v>Email</v>
      </c>
      <c r="U168" t="str">
        <f>_xlfn.XLOOKUP(Orders[[#This Row],[Product_ID]], Products[Product_ID], Products[Bottle_Size])</f>
        <v>330ml</v>
      </c>
    </row>
    <row r="169" spans="1:21" ht="15.75" customHeight="1">
      <c r="A169" s="2" t="s">
        <v>574</v>
      </c>
      <c r="B169" s="2">
        <f>DAY(Orders[[#This Row],[Order_Date]])</f>
        <v>15</v>
      </c>
      <c r="C169" s="20">
        <v>46188</v>
      </c>
      <c r="D169" s="2" t="s">
        <v>148</v>
      </c>
      <c r="E169" s="2" t="s">
        <v>57</v>
      </c>
      <c r="F169" s="2">
        <v>35</v>
      </c>
      <c r="G169" s="22">
        <v>0.05</v>
      </c>
      <c r="H169" s="22" t="s">
        <v>61</v>
      </c>
      <c r="I169">
        <f>_xlfn.XLOOKUP(Orders[[#This Row],[Product_ID]],Products[Product_ID], Products[Unit_Price])</f>
        <v>2</v>
      </c>
      <c r="J169">
        <f>Orders[[#This Row],[Quantity]]*Orders[[#This Row],[Unit_Price]]</f>
        <v>70</v>
      </c>
      <c r="K169">
        <f>_xlfn.XLOOKUP(Orders[[#This Row],[Product_ID]], Products[Product_ID], Products[Cost_Price])</f>
        <v>1</v>
      </c>
      <c r="L169">
        <f>Orders[[#This Row],[Cost_Price]]*Orders[[#This Row],[Quantity]]</f>
        <v>35</v>
      </c>
      <c r="M169">
        <f>Orders[[#This Row],[Unit_Price]]*Orders[[#This Row],[Discount]]*Orders[[#This Row],[Quantity]]</f>
        <v>3.5</v>
      </c>
      <c r="N169" s="23">
        <f>Orders[[#This Row],[Gross_Sales]]-Orders[[#This Row],[Total_Cost]]-Orders[[#This Row],[Total_Discount]]</f>
        <v>31.5</v>
      </c>
      <c r="O169" s="23">
        <f>Orders[[#This Row],[Total_Cost]]+Orders[[#This Row],[Total_Discount]]</f>
        <v>38.5</v>
      </c>
      <c r="P169" t="str">
        <f>_xlfn.XLOOKUP(Orders[[#This Row],[Product_ID]], Products[Product_ID], Products[Product_Name])</f>
        <v xml:space="preserve">Mineral Water
</v>
      </c>
      <c r="Q169" t="str">
        <f>_xlfn.XLOOKUP(Orders[[#This Row],[Product_ID]], Products[Product_ID], Products[Category])</f>
        <v>Water</v>
      </c>
      <c r="R169" t="str">
        <f>_xlfn.XLOOKUP(Orders[[#This Row],[Customer_ID]], Customers[Customer_ID], Customers[County])</f>
        <v>Tipperary</v>
      </c>
      <c r="S169" t="str">
        <f>_xlfn.XLOOKUP(Orders[[#This Row],[Customer_ID]], Customers[Customer_ID], Customers[Customer_Type])</f>
        <v>Wholesaler</v>
      </c>
      <c r="T169" t="str">
        <f>_xlfn.XLOOKUP(Orders[[#This Row],[Customer_ID]], Customers[Customer_ID], Customers[Preferred_Channel])</f>
        <v>Email</v>
      </c>
      <c r="U169" t="str">
        <f>_xlfn.XLOOKUP(Orders[[#This Row],[Product_ID]], Products[Product_ID], Products[Bottle_Size])</f>
        <v>1.5L</v>
      </c>
    </row>
    <row r="170" spans="1:21" ht="15.75" customHeight="1">
      <c r="A170" s="2" t="s">
        <v>575</v>
      </c>
      <c r="B170" s="2">
        <f>DAY(Orders[[#This Row],[Order_Date]])</f>
        <v>24</v>
      </c>
      <c r="C170" s="20">
        <v>46197</v>
      </c>
      <c r="D170" s="2" t="s">
        <v>270</v>
      </c>
      <c r="E170" s="2" t="s">
        <v>199</v>
      </c>
      <c r="F170" s="2">
        <v>50</v>
      </c>
      <c r="G170" s="22">
        <v>0</v>
      </c>
      <c r="H170" s="22" t="s">
        <v>61</v>
      </c>
      <c r="I170">
        <f>_xlfn.XLOOKUP(Orders[[#This Row],[Product_ID]],Products[Product_ID], Products[Unit_Price])</f>
        <v>1.7</v>
      </c>
      <c r="J170">
        <f>Orders[[#This Row],[Quantity]]*Orders[[#This Row],[Unit_Price]]</f>
        <v>85</v>
      </c>
      <c r="K170">
        <f>_xlfn.XLOOKUP(Orders[[#This Row],[Product_ID]], Products[Product_ID], Products[Cost_Price])</f>
        <v>0.9</v>
      </c>
      <c r="L170">
        <f>Orders[[#This Row],[Cost_Price]]*Orders[[#This Row],[Quantity]]</f>
        <v>45</v>
      </c>
      <c r="M170">
        <f>Orders[[#This Row],[Unit_Price]]*Orders[[#This Row],[Discount]]*Orders[[#This Row],[Quantity]]</f>
        <v>0</v>
      </c>
      <c r="N170" s="23">
        <f>Orders[[#This Row],[Gross_Sales]]-Orders[[#This Row],[Total_Cost]]-Orders[[#This Row],[Total_Discount]]</f>
        <v>40</v>
      </c>
      <c r="O170" s="23">
        <f>Orders[[#This Row],[Total_Cost]]+Orders[[#This Row],[Total_Discount]]</f>
        <v>45</v>
      </c>
      <c r="P170" t="str">
        <f>_xlfn.XLOOKUP(Orders[[#This Row],[Product_ID]], Products[Product_ID], Products[Product_Name])</f>
        <v>Zero Cola</v>
      </c>
      <c r="Q170" t="str">
        <f>_xlfn.XLOOKUP(Orders[[#This Row],[Product_ID]], Products[Product_ID], Products[Category])</f>
        <v>Soft Drink</v>
      </c>
      <c r="R170" t="str">
        <f>_xlfn.XLOOKUP(Orders[[#This Row],[Customer_ID]], Customers[Customer_ID], Customers[County])</f>
        <v>Mayo</v>
      </c>
      <c r="S170" t="str">
        <f>_xlfn.XLOOKUP(Orders[[#This Row],[Customer_ID]], Customers[Customer_ID], Customers[Customer_Type])</f>
        <v>Wholesaler</v>
      </c>
      <c r="T170" t="str">
        <f>_xlfn.XLOOKUP(Orders[[#This Row],[Customer_ID]], Customers[Customer_ID], Customers[Preferred_Channel])</f>
        <v>Online</v>
      </c>
      <c r="U170" t="str">
        <f>_xlfn.XLOOKUP(Orders[[#This Row],[Product_ID]], Products[Product_ID], Products[Bottle_Size])</f>
        <v>330ml</v>
      </c>
    </row>
    <row r="171" spans="1:21" ht="15.75" customHeight="1">
      <c r="A171" s="2" t="s">
        <v>576</v>
      </c>
      <c r="B171" s="2">
        <f>DAY(Orders[[#This Row],[Order_Date]])</f>
        <v>13</v>
      </c>
      <c r="C171" s="20">
        <v>46186</v>
      </c>
      <c r="D171" s="2" t="s">
        <v>279</v>
      </c>
      <c r="E171" s="2" t="s">
        <v>57</v>
      </c>
      <c r="F171" s="2">
        <v>24</v>
      </c>
      <c r="G171" s="22">
        <v>0</v>
      </c>
      <c r="H171" s="22" t="s">
        <v>61</v>
      </c>
      <c r="I171">
        <f>_xlfn.XLOOKUP(Orders[[#This Row],[Product_ID]],Products[Product_ID], Products[Unit_Price])</f>
        <v>2</v>
      </c>
      <c r="J171">
        <f>Orders[[#This Row],[Quantity]]*Orders[[#This Row],[Unit_Price]]</f>
        <v>48</v>
      </c>
      <c r="K171">
        <f>_xlfn.XLOOKUP(Orders[[#This Row],[Product_ID]], Products[Product_ID], Products[Cost_Price])</f>
        <v>1</v>
      </c>
      <c r="L171">
        <f>Orders[[#This Row],[Cost_Price]]*Orders[[#This Row],[Quantity]]</f>
        <v>24</v>
      </c>
      <c r="M171">
        <f>Orders[[#This Row],[Unit_Price]]*Orders[[#This Row],[Discount]]*Orders[[#This Row],[Quantity]]</f>
        <v>0</v>
      </c>
      <c r="N171" s="23">
        <f>Orders[[#This Row],[Gross_Sales]]-Orders[[#This Row],[Total_Cost]]-Orders[[#This Row],[Total_Discount]]</f>
        <v>24</v>
      </c>
      <c r="O171" s="23">
        <f>Orders[[#This Row],[Total_Cost]]+Orders[[#This Row],[Total_Discount]]</f>
        <v>24</v>
      </c>
      <c r="P171" t="str">
        <f>_xlfn.XLOOKUP(Orders[[#This Row],[Product_ID]], Products[Product_ID], Products[Product_Name])</f>
        <v xml:space="preserve">Mineral Water
</v>
      </c>
      <c r="Q171" t="str">
        <f>_xlfn.XLOOKUP(Orders[[#This Row],[Product_ID]], Products[Product_ID], Products[Category])</f>
        <v>Water</v>
      </c>
      <c r="R171" t="str">
        <f>_xlfn.XLOOKUP(Orders[[#This Row],[Customer_ID]], Customers[Customer_ID], Customers[County])</f>
        <v>Tipperary</v>
      </c>
      <c r="S171" t="str">
        <f>_xlfn.XLOOKUP(Orders[[#This Row],[Customer_ID]], Customers[Customer_ID], Customers[Customer_Type])</f>
        <v>Retailer</v>
      </c>
      <c r="T171" t="str">
        <f>_xlfn.XLOOKUP(Orders[[#This Row],[Customer_ID]], Customers[Customer_ID], Customers[Preferred_Channel])</f>
        <v>Phone</v>
      </c>
      <c r="U171" t="str">
        <f>_xlfn.XLOOKUP(Orders[[#This Row],[Product_ID]], Products[Product_ID], Products[Bottle_Size])</f>
        <v>1.5L</v>
      </c>
    </row>
    <row r="172" spans="1:21" ht="15.75" customHeight="1">
      <c r="A172" s="2" t="s">
        <v>577</v>
      </c>
      <c r="B172" s="2">
        <f>DAY(Orders[[#This Row],[Order_Date]])</f>
        <v>25</v>
      </c>
      <c r="C172" s="20">
        <v>46198</v>
      </c>
      <c r="D172" s="2" t="s">
        <v>376</v>
      </c>
      <c r="E172" s="2" t="s">
        <v>125</v>
      </c>
      <c r="F172" s="2">
        <v>48</v>
      </c>
      <c r="G172" s="22">
        <v>0.05</v>
      </c>
      <c r="H172" s="22" t="s">
        <v>61</v>
      </c>
      <c r="I172">
        <f>_xlfn.XLOOKUP(Orders[[#This Row],[Product_ID]],Products[Product_ID], Products[Unit_Price])</f>
        <v>2.2000000000000002</v>
      </c>
      <c r="J172">
        <f>Orders[[#This Row],[Quantity]]*Orders[[#This Row],[Unit_Price]]</f>
        <v>105.60000000000001</v>
      </c>
      <c r="K172">
        <f>_xlfn.XLOOKUP(Orders[[#This Row],[Product_ID]], Products[Product_ID], Products[Cost_Price])</f>
        <v>1.3</v>
      </c>
      <c r="L172">
        <f>Orders[[#This Row],[Cost_Price]]*Orders[[#This Row],[Quantity]]</f>
        <v>62.400000000000006</v>
      </c>
      <c r="M172">
        <f>Orders[[#This Row],[Unit_Price]]*Orders[[#This Row],[Discount]]*Orders[[#This Row],[Quantity]]</f>
        <v>5.2800000000000011</v>
      </c>
      <c r="N172" s="23">
        <f>Orders[[#This Row],[Gross_Sales]]-Orders[[#This Row],[Total_Cost]]-Orders[[#This Row],[Total_Discount]]</f>
        <v>37.92</v>
      </c>
      <c r="O172" s="23">
        <f>Orders[[#This Row],[Total_Cost]]+Orders[[#This Row],[Total_Discount]]</f>
        <v>67.680000000000007</v>
      </c>
      <c r="P172" t="str">
        <f>_xlfn.XLOOKUP(Orders[[#This Row],[Product_ID]], Products[Product_ID], Products[Product_Name])</f>
        <v>Iced Tea</v>
      </c>
      <c r="Q172" t="str">
        <f>_xlfn.XLOOKUP(Orders[[#This Row],[Product_ID]], Products[Product_ID], Products[Category])</f>
        <v>Tea</v>
      </c>
      <c r="R172" t="str">
        <f>_xlfn.XLOOKUP(Orders[[#This Row],[Customer_ID]], Customers[Customer_ID], Customers[County])</f>
        <v>Waterford</v>
      </c>
      <c r="S172" t="str">
        <f>_xlfn.XLOOKUP(Orders[[#This Row],[Customer_ID]], Customers[Customer_ID], Customers[Customer_Type])</f>
        <v>Retailer</v>
      </c>
      <c r="T172" t="str">
        <f>_xlfn.XLOOKUP(Orders[[#This Row],[Customer_ID]], Customers[Customer_ID], Customers[Preferred_Channel])</f>
        <v>Online</v>
      </c>
      <c r="U172" t="str">
        <f>_xlfn.XLOOKUP(Orders[[#This Row],[Product_ID]], Products[Product_ID], Products[Bottle_Size])</f>
        <v>500ml</v>
      </c>
    </row>
    <row r="173" spans="1:21" ht="15.75" customHeight="1">
      <c r="A173" s="2" t="s">
        <v>578</v>
      </c>
      <c r="B173" s="2">
        <f>DAY(Orders[[#This Row],[Order_Date]])</f>
        <v>25</v>
      </c>
      <c r="C173" s="20">
        <v>46198</v>
      </c>
      <c r="D173" s="2" t="s">
        <v>283</v>
      </c>
      <c r="E173" s="2" t="s">
        <v>199</v>
      </c>
      <c r="F173" s="2">
        <v>7</v>
      </c>
      <c r="G173" s="22">
        <v>0</v>
      </c>
      <c r="H173" s="22" t="s">
        <v>61</v>
      </c>
      <c r="I173">
        <f>_xlfn.XLOOKUP(Orders[[#This Row],[Product_ID]],Products[Product_ID], Products[Unit_Price])</f>
        <v>1.7</v>
      </c>
      <c r="J173">
        <f>Orders[[#This Row],[Quantity]]*Orders[[#This Row],[Unit_Price]]</f>
        <v>11.9</v>
      </c>
      <c r="K173">
        <f>_xlfn.XLOOKUP(Orders[[#This Row],[Product_ID]], Products[Product_ID], Products[Cost_Price])</f>
        <v>0.9</v>
      </c>
      <c r="L173">
        <f>Orders[[#This Row],[Cost_Price]]*Orders[[#This Row],[Quantity]]</f>
        <v>6.3</v>
      </c>
      <c r="M173">
        <f>Orders[[#This Row],[Unit_Price]]*Orders[[#This Row],[Discount]]*Orders[[#This Row],[Quantity]]</f>
        <v>0</v>
      </c>
      <c r="N173" s="23">
        <f>Orders[[#This Row],[Gross_Sales]]-Orders[[#This Row],[Total_Cost]]-Orders[[#This Row],[Total_Discount]]</f>
        <v>5.6000000000000005</v>
      </c>
      <c r="O173" s="23">
        <f>Orders[[#This Row],[Total_Cost]]+Orders[[#This Row],[Total_Discount]]</f>
        <v>6.3</v>
      </c>
      <c r="P173" t="str">
        <f>_xlfn.XLOOKUP(Orders[[#This Row],[Product_ID]], Products[Product_ID], Products[Product_Name])</f>
        <v>Zero Cola</v>
      </c>
      <c r="Q173" t="str">
        <f>_xlfn.XLOOKUP(Orders[[#This Row],[Product_ID]], Products[Product_ID], Products[Category])</f>
        <v>Soft Drink</v>
      </c>
      <c r="R173" t="str">
        <f>_xlfn.XLOOKUP(Orders[[#This Row],[Customer_ID]], Customers[Customer_ID], Customers[County])</f>
        <v>Louth</v>
      </c>
      <c r="S173" t="str">
        <f>_xlfn.XLOOKUP(Orders[[#This Row],[Customer_ID]], Customers[Customer_ID], Customers[Customer_Type])</f>
        <v>Wholesaler</v>
      </c>
      <c r="T173" t="str">
        <f>_xlfn.XLOOKUP(Orders[[#This Row],[Customer_ID]], Customers[Customer_ID], Customers[Preferred_Channel])</f>
        <v>Phone</v>
      </c>
      <c r="U173" t="str">
        <f>_xlfn.XLOOKUP(Orders[[#This Row],[Product_ID]], Products[Product_ID], Products[Bottle_Size])</f>
        <v>330ml</v>
      </c>
    </row>
    <row r="174" spans="1:21" ht="15.75" customHeight="1">
      <c r="A174" s="2" t="s">
        <v>579</v>
      </c>
      <c r="B174" s="2">
        <f>DAY(Orders[[#This Row],[Order_Date]])</f>
        <v>6</v>
      </c>
      <c r="C174" s="20">
        <v>46179</v>
      </c>
      <c r="D174" s="2" t="s">
        <v>397</v>
      </c>
      <c r="E174" s="2" t="s">
        <v>69</v>
      </c>
      <c r="F174" s="2">
        <v>20</v>
      </c>
      <c r="G174" s="22">
        <v>0</v>
      </c>
      <c r="H174" s="22" t="s">
        <v>61</v>
      </c>
      <c r="I174">
        <f>_xlfn.XLOOKUP(Orders[[#This Row],[Product_ID]],Products[Product_ID], Products[Unit_Price])</f>
        <v>2</v>
      </c>
      <c r="J174">
        <f>Orders[[#This Row],[Quantity]]*Orders[[#This Row],[Unit_Price]]</f>
        <v>40</v>
      </c>
      <c r="K174">
        <f>_xlfn.XLOOKUP(Orders[[#This Row],[Product_ID]], Products[Product_ID], Products[Cost_Price])</f>
        <v>1.1000000000000001</v>
      </c>
      <c r="L174">
        <f>Orders[[#This Row],[Cost_Price]]*Orders[[#This Row],[Quantity]]</f>
        <v>22</v>
      </c>
      <c r="M174">
        <f>Orders[[#This Row],[Unit_Price]]*Orders[[#This Row],[Discount]]*Orders[[#This Row],[Quantity]]</f>
        <v>0</v>
      </c>
      <c r="N174" s="23">
        <f>Orders[[#This Row],[Gross_Sales]]-Orders[[#This Row],[Total_Cost]]-Orders[[#This Row],[Total_Discount]]</f>
        <v>18</v>
      </c>
      <c r="O174" s="23">
        <f>Orders[[#This Row],[Total_Cost]]+Orders[[#This Row],[Total_Discount]]</f>
        <v>22</v>
      </c>
      <c r="P174" t="str">
        <f>_xlfn.XLOOKUP(Orders[[#This Row],[Product_ID]], Products[Product_ID], Products[Product_Name])</f>
        <v>Apple Juice</v>
      </c>
      <c r="Q174" t="str">
        <f>_xlfn.XLOOKUP(Orders[[#This Row],[Product_ID]], Products[Product_ID], Products[Category])</f>
        <v>Juice</v>
      </c>
      <c r="R174" t="str">
        <f>_xlfn.XLOOKUP(Orders[[#This Row],[Customer_ID]], Customers[Customer_ID], Customers[County])</f>
        <v>Dublin</v>
      </c>
      <c r="S174" t="str">
        <f>_xlfn.XLOOKUP(Orders[[#This Row],[Customer_ID]], Customers[Customer_ID], Customers[Customer_Type])</f>
        <v>Wholesaler</v>
      </c>
      <c r="T174" t="str">
        <f>_xlfn.XLOOKUP(Orders[[#This Row],[Customer_ID]], Customers[Customer_ID], Customers[Preferred_Channel])</f>
        <v>Phone</v>
      </c>
      <c r="U174" t="str">
        <f>_xlfn.XLOOKUP(Orders[[#This Row],[Product_ID]], Products[Product_ID], Products[Bottle_Size])</f>
        <v>1L</v>
      </c>
    </row>
    <row r="175" spans="1:21" ht="15.75" customHeight="1">
      <c r="A175" s="2" t="s">
        <v>580</v>
      </c>
      <c r="B175" s="2">
        <f>DAY(Orders[[#This Row],[Order_Date]])</f>
        <v>17</v>
      </c>
      <c r="C175" s="20">
        <v>46190</v>
      </c>
      <c r="D175" s="2" t="s">
        <v>276</v>
      </c>
      <c r="E175" s="2" t="s">
        <v>95</v>
      </c>
      <c r="F175" s="2">
        <v>41</v>
      </c>
      <c r="G175" s="22">
        <v>0.05</v>
      </c>
      <c r="H175" s="22" t="s">
        <v>61</v>
      </c>
      <c r="I175">
        <f>_xlfn.XLOOKUP(Orders[[#This Row],[Product_ID]],Products[Product_ID], Products[Unit_Price])</f>
        <v>2.5</v>
      </c>
      <c r="J175">
        <f>Orders[[#This Row],[Quantity]]*Orders[[#This Row],[Unit_Price]]</f>
        <v>102.5</v>
      </c>
      <c r="K175">
        <f>_xlfn.XLOOKUP(Orders[[#This Row],[Product_ID]], Products[Product_ID], Products[Cost_Price])</f>
        <v>1.4</v>
      </c>
      <c r="L175">
        <f>Orders[[#This Row],[Cost_Price]]*Orders[[#This Row],[Quantity]]</f>
        <v>57.4</v>
      </c>
      <c r="M175">
        <f>Orders[[#This Row],[Unit_Price]]*Orders[[#This Row],[Discount]]*Orders[[#This Row],[Quantity]]</f>
        <v>5.125</v>
      </c>
      <c r="N175" s="23">
        <f>Orders[[#This Row],[Gross_Sales]]-Orders[[#This Row],[Total_Cost]]-Orders[[#This Row],[Total_Discount]]</f>
        <v>39.975000000000001</v>
      </c>
      <c r="O175" s="23">
        <f>Orders[[#This Row],[Total_Cost]]+Orders[[#This Row],[Total_Discount]]</f>
        <v>62.524999999999999</v>
      </c>
      <c r="P175" t="str">
        <f>_xlfn.XLOOKUP(Orders[[#This Row],[Product_ID]], Products[Product_ID], Products[Product_Name])</f>
        <v>Energy Boost</v>
      </c>
      <c r="Q175" t="str">
        <f>_xlfn.XLOOKUP(Orders[[#This Row],[Product_ID]], Products[Product_ID], Products[Category])</f>
        <v>Energy Drink</v>
      </c>
      <c r="R175" t="str">
        <f>_xlfn.XLOOKUP(Orders[[#This Row],[Customer_ID]], Customers[Customer_ID], Customers[County])</f>
        <v>Louth</v>
      </c>
      <c r="S175" t="str">
        <f>_xlfn.XLOOKUP(Orders[[#This Row],[Customer_ID]], Customers[Customer_ID], Customers[Customer_Type])</f>
        <v>Café</v>
      </c>
      <c r="T175" t="str">
        <f>_xlfn.XLOOKUP(Orders[[#This Row],[Customer_ID]], Customers[Customer_ID], Customers[Preferred_Channel])</f>
        <v>Phone</v>
      </c>
      <c r="U175" t="str">
        <f>_xlfn.XLOOKUP(Orders[[#This Row],[Product_ID]], Products[Product_ID], Products[Bottle_Size])</f>
        <v>250ml</v>
      </c>
    </row>
    <row r="176" spans="1:21" ht="15.75" customHeight="1">
      <c r="A176" s="2" t="s">
        <v>581</v>
      </c>
      <c r="B176" s="2">
        <f>DAY(Orders[[#This Row],[Order_Date]])</f>
        <v>8</v>
      </c>
      <c r="C176" s="20">
        <v>46181</v>
      </c>
      <c r="D176" s="2" t="s">
        <v>176</v>
      </c>
      <c r="E176" s="2" t="s">
        <v>172</v>
      </c>
      <c r="F176" s="2">
        <v>29</v>
      </c>
      <c r="G176" s="22">
        <v>0.05</v>
      </c>
      <c r="H176" s="22" t="s">
        <v>49</v>
      </c>
      <c r="I176">
        <f>_xlfn.XLOOKUP(Orders[[#This Row],[Product_ID]],Products[Product_ID], Products[Unit_Price])</f>
        <v>1.6</v>
      </c>
      <c r="J176">
        <f>Orders[[#This Row],[Quantity]]*Orders[[#This Row],[Unit_Price]]</f>
        <v>46.400000000000006</v>
      </c>
      <c r="K176">
        <f>_xlfn.XLOOKUP(Orders[[#This Row],[Product_ID]], Products[Product_ID], Products[Cost_Price])</f>
        <v>0.85</v>
      </c>
      <c r="L176">
        <f>Orders[[#This Row],[Cost_Price]]*Orders[[#This Row],[Quantity]]</f>
        <v>24.65</v>
      </c>
      <c r="M176">
        <f>Orders[[#This Row],[Unit_Price]]*Orders[[#This Row],[Discount]]*Orders[[#This Row],[Quantity]]</f>
        <v>2.3200000000000003</v>
      </c>
      <c r="N176" s="23">
        <f>Orders[[#This Row],[Gross_Sales]]-Orders[[#This Row],[Total_Cost]]-Orders[[#This Row],[Total_Discount]]</f>
        <v>19.430000000000007</v>
      </c>
      <c r="O176" s="23">
        <f>Orders[[#This Row],[Total_Cost]]+Orders[[#This Row],[Total_Discount]]</f>
        <v>26.97</v>
      </c>
      <c r="P176" t="str">
        <f>_xlfn.XLOOKUP(Orders[[#This Row],[Product_ID]], Products[Product_ID], Products[Product_Name])</f>
        <v>Grape Soda</v>
      </c>
      <c r="Q176" t="str">
        <f>_xlfn.XLOOKUP(Orders[[#This Row],[Product_ID]], Products[Product_ID], Products[Category])</f>
        <v>Soft Drink</v>
      </c>
      <c r="R176" t="str">
        <f>_xlfn.XLOOKUP(Orders[[#This Row],[Customer_ID]], Customers[Customer_ID], Customers[County])</f>
        <v>Wexford</v>
      </c>
      <c r="S176" t="str">
        <f>_xlfn.XLOOKUP(Orders[[#This Row],[Customer_ID]], Customers[Customer_ID], Customers[Customer_Type])</f>
        <v>Retailer</v>
      </c>
      <c r="T176" t="str">
        <f>_xlfn.XLOOKUP(Orders[[#This Row],[Customer_ID]], Customers[Customer_ID], Customers[Preferred_Channel])</f>
        <v>Phone</v>
      </c>
      <c r="U176" t="str">
        <f>_xlfn.XLOOKUP(Orders[[#This Row],[Product_ID]], Products[Product_ID], Products[Bottle_Size])</f>
        <v>330ml</v>
      </c>
    </row>
    <row r="177" spans="1:21" ht="15.75" customHeight="1">
      <c r="A177" s="2" t="s">
        <v>582</v>
      </c>
      <c r="B177" s="2">
        <f>DAY(Orders[[#This Row],[Order_Date]])</f>
        <v>20</v>
      </c>
      <c r="C177" s="20">
        <v>46193</v>
      </c>
      <c r="D177" s="2" t="s">
        <v>204</v>
      </c>
      <c r="E177" s="2" t="s">
        <v>151</v>
      </c>
      <c r="F177" s="2">
        <v>26</v>
      </c>
      <c r="G177" s="22">
        <v>0</v>
      </c>
      <c r="H177" s="22" t="s">
        <v>61</v>
      </c>
      <c r="I177">
        <f>_xlfn.XLOOKUP(Orders[[#This Row],[Product_ID]],Products[Product_ID], Products[Unit_Price])</f>
        <v>1.5</v>
      </c>
      <c r="J177">
        <f>Orders[[#This Row],[Quantity]]*Orders[[#This Row],[Unit_Price]]</f>
        <v>39</v>
      </c>
      <c r="K177">
        <f>_xlfn.XLOOKUP(Orders[[#This Row],[Product_ID]], Products[Product_ID], Products[Cost_Price])</f>
        <v>0.8</v>
      </c>
      <c r="L177">
        <f>Orders[[#This Row],[Cost_Price]]*Orders[[#This Row],[Quantity]]</f>
        <v>20.8</v>
      </c>
      <c r="M177">
        <f>Orders[[#This Row],[Unit_Price]]*Orders[[#This Row],[Discount]]*Orders[[#This Row],[Quantity]]</f>
        <v>0</v>
      </c>
      <c r="N177" s="23">
        <f>Orders[[#This Row],[Gross_Sales]]-Orders[[#This Row],[Total_Cost]]-Orders[[#This Row],[Total_Discount]]</f>
        <v>18.2</v>
      </c>
      <c r="O177" s="23">
        <f>Orders[[#This Row],[Total_Cost]]+Orders[[#This Row],[Total_Discount]]</f>
        <v>20.8</v>
      </c>
      <c r="P177" t="str">
        <f>_xlfn.XLOOKUP(Orders[[#This Row],[Product_ID]], Products[Product_ID], Products[Product_Name])</f>
        <v>Kids Juice</v>
      </c>
      <c r="Q177" t="str">
        <f>_xlfn.XLOOKUP(Orders[[#This Row],[Product_ID]], Products[Product_ID], Products[Category])</f>
        <v>Juice</v>
      </c>
      <c r="R177" t="str">
        <f>_xlfn.XLOOKUP(Orders[[#This Row],[Customer_ID]], Customers[Customer_ID], Customers[County])</f>
        <v>Kerry</v>
      </c>
      <c r="S177" t="str">
        <f>_xlfn.XLOOKUP(Orders[[#This Row],[Customer_ID]], Customers[Customer_ID], Customers[Customer_Type])</f>
        <v>Restaurant</v>
      </c>
      <c r="T177" t="str">
        <f>_xlfn.XLOOKUP(Orders[[#This Row],[Customer_ID]], Customers[Customer_ID], Customers[Preferred_Channel])</f>
        <v>Sales Rep</v>
      </c>
      <c r="U177" t="str">
        <f>_xlfn.XLOOKUP(Orders[[#This Row],[Product_ID]], Products[Product_ID], Products[Bottle_Size])</f>
        <v>250ml</v>
      </c>
    </row>
    <row r="178" spans="1:21" ht="15.75" customHeight="1">
      <c r="A178" s="2" t="s">
        <v>583</v>
      </c>
      <c r="B178" s="2">
        <f>DAY(Orders[[#This Row],[Order_Date]])</f>
        <v>30</v>
      </c>
      <c r="C178" s="20">
        <v>46203</v>
      </c>
      <c r="D178" s="2" t="s">
        <v>261</v>
      </c>
      <c r="E178" s="2" t="s">
        <v>172</v>
      </c>
      <c r="F178" s="2">
        <v>14</v>
      </c>
      <c r="G178" s="22">
        <v>0</v>
      </c>
      <c r="H178" s="22" t="s">
        <v>61</v>
      </c>
      <c r="I178">
        <f>_xlfn.XLOOKUP(Orders[[#This Row],[Product_ID]],Products[Product_ID], Products[Unit_Price])</f>
        <v>1.6</v>
      </c>
      <c r="J178">
        <f>Orders[[#This Row],[Quantity]]*Orders[[#This Row],[Unit_Price]]</f>
        <v>22.400000000000002</v>
      </c>
      <c r="K178">
        <f>_xlfn.XLOOKUP(Orders[[#This Row],[Product_ID]], Products[Product_ID], Products[Cost_Price])</f>
        <v>0.85</v>
      </c>
      <c r="L178">
        <f>Orders[[#This Row],[Cost_Price]]*Orders[[#This Row],[Quantity]]</f>
        <v>11.9</v>
      </c>
      <c r="M178">
        <f>Orders[[#This Row],[Unit_Price]]*Orders[[#This Row],[Discount]]*Orders[[#This Row],[Quantity]]</f>
        <v>0</v>
      </c>
      <c r="N178" s="23">
        <f>Orders[[#This Row],[Gross_Sales]]-Orders[[#This Row],[Total_Cost]]-Orders[[#This Row],[Total_Discount]]</f>
        <v>10.500000000000002</v>
      </c>
      <c r="O178" s="23">
        <f>Orders[[#This Row],[Total_Cost]]+Orders[[#This Row],[Total_Discount]]</f>
        <v>11.9</v>
      </c>
      <c r="P178" t="str">
        <f>_xlfn.XLOOKUP(Orders[[#This Row],[Product_ID]], Products[Product_ID], Products[Product_Name])</f>
        <v>Grape Soda</v>
      </c>
      <c r="Q178" t="str">
        <f>_xlfn.XLOOKUP(Orders[[#This Row],[Product_ID]], Products[Product_ID], Products[Category])</f>
        <v>Soft Drink</v>
      </c>
      <c r="R178" t="str">
        <f>_xlfn.XLOOKUP(Orders[[#This Row],[Customer_ID]], Customers[Customer_ID], Customers[County])</f>
        <v>Sligo</v>
      </c>
      <c r="S178" t="str">
        <f>_xlfn.XLOOKUP(Orders[[#This Row],[Customer_ID]], Customers[Customer_ID], Customers[Customer_Type])</f>
        <v>Hotel</v>
      </c>
      <c r="T178" t="str">
        <f>_xlfn.XLOOKUP(Orders[[#This Row],[Customer_ID]], Customers[Customer_ID], Customers[Preferred_Channel])</f>
        <v>Distributor</v>
      </c>
      <c r="U178" t="str">
        <f>_xlfn.XLOOKUP(Orders[[#This Row],[Product_ID]], Products[Product_ID], Products[Bottle_Size])</f>
        <v>330ml</v>
      </c>
    </row>
    <row r="179" spans="1:21" ht="15.75" customHeight="1">
      <c r="A179" s="2" t="s">
        <v>584</v>
      </c>
      <c r="B179" s="2">
        <f>DAY(Orders[[#This Row],[Order_Date]])</f>
        <v>5</v>
      </c>
      <c r="C179" s="20">
        <v>46178</v>
      </c>
      <c r="D179" s="2" t="s">
        <v>165</v>
      </c>
      <c r="E179" s="2" t="s">
        <v>84</v>
      </c>
      <c r="F179" s="2">
        <v>9</v>
      </c>
      <c r="G179" s="22">
        <v>0</v>
      </c>
      <c r="H179" s="22" t="s">
        <v>61</v>
      </c>
      <c r="I179">
        <f>_xlfn.XLOOKUP(Orders[[#This Row],[Product_ID]],Products[Product_ID], Products[Unit_Price])</f>
        <v>1.7</v>
      </c>
      <c r="J179">
        <f>Orders[[#This Row],[Quantity]]*Orders[[#This Row],[Unit_Price]]</f>
        <v>15.299999999999999</v>
      </c>
      <c r="K179">
        <f>_xlfn.XLOOKUP(Orders[[#This Row],[Product_ID]], Products[Product_ID], Products[Cost_Price])</f>
        <v>0.9</v>
      </c>
      <c r="L179">
        <f>Orders[[#This Row],[Cost_Price]]*Orders[[#This Row],[Quantity]]</f>
        <v>8.1</v>
      </c>
      <c r="M179">
        <f>Orders[[#This Row],[Unit_Price]]*Orders[[#This Row],[Discount]]*Orders[[#This Row],[Quantity]]</f>
        <v>0</v>
      </c>
      <c r="N179" s="23">
        <f>Orders[[#This Row],[Gross_Sales]]-Orders[[#This Row],[Total_Cost]]-Orders[[#This Row],[Total_Discount]]</f>
        <v>7.1999999999999993</v>
      </c>
      <c r="O179" s="23">
        <f>Orders[[#This Row],[Total_Cost]]+Orders[[#This Row],[Total_Discount]]</f>
        <v>8.1</v>
      </c>
      <c r="P179" t="str">
        <f>_xlfn.XLOOKUP(Orders[[#This Row],[Product_ID]], Products[Product_ID], Products[Product_Name])</f>
        <v>Lemon Lime</v>
      </c>
      <c r="Q179" t="str">
        <f>_xlfn.XLOOKUP(Orders[[#This Row],[Product_ID]], Products[Product_ID], Products[Category])</f>
        <v>Soft Drink</v>
      </c>
      <c r="R179" t="str">
        <f>_xlfn.XLOOKUP(Orders[[#This Row],[Customer_ID]], Customers[Customer_ID], Customers[County])</f>
        <v>Clare</v>
      </c>
      <c r="S179" t="str">
        <f>_xlfn.XLOOKUP(Orders[[#This Row],[Customer_ID]], Customers[Customer_ID], Customers[Customer_Type])</f>
        <v>Restaurant</v>
      </c>
      <c r="T179" t="str">
        <f>_xlfn.XLOOKUP(Orders[[#This Row],[Customer_ID]], Customers[Customer_ID], Customers[Preferred_Channel])</f>
        <v>Sales Rep</v>
      </c>
      <c r="U179" t="str">
        <f>_xlfn.XLOOKUP(Orders[[#This Row],[Product_ID]], Products[Product_ID], Products[Bottle_Size])</f>
        <v>500ml</v>
      </c>
    </row>
    <row r="180" spans="1:21" ht="15.75" customHeight="1">
      <c r="A180" s="2" t="s">
        <v>585</v>
      </c>
      <c r="B180" s="2">
        <f>DAY(Orders[[#This Row],[Order_Date]])</f>
        <v>20</v>
      </c>
      <c r="C180" s="20">
        <v>46193</v>
      </c>
      <c r="D180" s="2" t="s">
        <v>120</v>
      </c>
      <c r="E180" s="2" t="s">
        <v>139</v>
      </c>
      <c r="F180" s="2">
        <v>29</v>
      </c>
      <c r="G180" s="22">
        <v>0</v>
      </c>
      <c r="H180" s="22" t="s">
        <v>61</v>
      </c>
      <c r="I180">
        <f>_xlfn.XLOOKUP(Orders[[#This Row],[Product_ID]],Products[Product_ID], Products[Unit_Price])</f>
        <v>2.2999999999999998</v>
      </c>
      <c r="J180">
        <f>Orders[[#This Row],[Quantity]]*Orders[[#This Row],[Unit_Price]]</f>
        <v>66.699999999999989</v>
      </c>
      <c r="K180">
        <f>_xlfn.XLOOKUP(Orders[[#This Row],[Product_ID]], Products[Product_ID], Products[Cost_Price])</f>
        <v>1.25</v>
      </c>
      <c r="L180">
        <f>Orders[[#This Row],[Cost_Price]]*Orders[[#This Row],[Quantity]]</f>
        <v>36.25</v>
      </c>
      <c r="M180">
        <f>Orders[[#This Row],[Unit_Price]]*Orders[[#This Row],[Discount]]*Orders[[#This Row],[Quantity]]</f>
        <v>0</v>
      </c>
      <c r="N180" s="23">
        <f>Orders[[#This Row],[Gross_Sales]]-Orders[[#This Row],[Total_Cost]]-Orders[[#This Row],[Total_Discount]]</f>
        <v>30.449999999999989</v>
      </c>
      <c r="O180" s="23">
        <f>Orders[[#This Row],[Total_Cost]]+Orders[[#This Row],[Total_Discount]]</f>
        <v>36.25</v>
      </c>
      <c r="P180" t="str">
        <f>_xlfn.XLOOKUP(Orders[[#This Row],[Product_ID]], Products[Product_ID], Products[Product_Name])</f>
        <v>Mango Juice</v>
      </c>
      <c r="Q180" t="str">
        <f>_xlfn.XLOOKUP(Orders[[#This Row],[Product_ID]], Products[Product_ID], Products[Category])</f>
        <v>Juice</v>
      </c>
      <c r="R180" t="str">
        <f>_xlfn.XLOOKUP(Orders[[#This Row],[Customer_ID]], Customers[Customer_ID], Customers[County])</f>
        <v>Donegal</v>
      </c>
      <c r="S180" t="str">
        <f>_xlfn.XLOOKUP(Orders[[#This Row],[Customer_ID]], Customers[Customer_ID], Customers[Customer_Type])</f>
        <v>Wholesaler</v>
      </c>
      <c r="T180" t="str">
        <f>_xlfn.XLOOKUP(Orders[[#This Row],[Customer_ID]], Customers[Customer_ID], Customers[Preferred_Channel])</f>
        <v>Sales Rep</v>
      </c>
      <c r="U180" t="str">
        <f>_xlfn.XLOOKUP(Orders[[#This Row],[Product_ID]], Products[Product_ID], Products[Bottle_Size])</f>
        <v>1L</v>
      </c>
    </row>
    <row r="181" spans="1:21" ht="15.75" customHeight="1">
      <c r="A181" s="2" t="s">
        <v>586</v>
      </c>
      <c r="B181" s="2">
        <f>DAY(Orders[[#This Row],[Order_Date]])</f>
        <v>14</v>
      </c>
      <c r="C181" s="20">
        <v>46187</v>
      </c>
      <c r="D181" s="2" t="s">
        <v>277</v>
      </c>
      <c r="E181" s="2" t="s">
        <v>38</v>
      </c>
      <c r="F181" s="2">
        <v>7</v>
      </c>
      <c r="G181" s="22">
        <v>0</v>
      </c>
      <c r="H181" s="22" t="s">
        <v>61</v>
      </c>
      <c r="I181">
        <f>_xlfn.XLOOKUP(Orders[[#This Row],[Product_ID]],Products[Product_ID], Products[Unit_Price])</f>
        <v>1.5</v>
      </c>
      <c r="J181">
        <f>Orders[[#This Row],[Quantity]]*Orders[[#This Row],[Unit_Price]]</f>
        <v>10.5</v>
      </c>
      <c r="K181">
        <f>_xlfn.XLOOKUP(Orders[[#This Row],[Product_ID]], Products[Product_ID], Products[Cost_Price])</f>
        <v>0.8</v>
      </c>
      <c r="L181">
        <f>Orders[[#This Row],[Cost_Price]]*Orders[[#This Row],[Quantity]]</f>
        <v>5.6000000000000005</v>
      </c>
      <c r="M181">
        <f>Orders[[#This Row],[Unit_Price]]*Orders[[#This Row],[Discount]]*Orders[[#This Row],[Quantity]]</f>
        <v>0</v>
      </c>
      <c r="N181" s="23">
        <f>Orders[[#This Row],[Gross_Sales]]-Orders[[#This Row],[Total_Cost]]-Orders[[#This Row],[Total_Discount]]</f>
        <v>4.8999999999999995</v>
      </c>
      <c r="O181" s="23">
        <f>Orders[[#This Row],[Total_Cost]]+Orders[[#This Row],[Total_Discount]]</f>
        <v>5.6000000000000005</v>
      </c>
      <c r="P181" t="str">
        <f>_xlfn.XLOOKUP(Orders[[#This Row],[Product_ID]], Products[Product_ID], Products[Product_Name])</f>
        <v>Cola</v>
      </c>
      <c r="Q181" t="str">
        <f>_xlfn.XLOOKUP(Orders[[#This Row],[Product_ID]], Products[Product_ID], Products[Category])</f>
        <v>Soft Drink</v>
      </c>
      <c r="R181" t="str">
        <f>_xlfn.XLOOKUP(Orders[[#This Row],[Customer_ID]], Customers[Customer_ID], Customers[County])</f>
        <v>Clare</v>
      </c>
      <c r="S181" t="str">
        <f>_xlfn.XLOOKUP(Orders[[#This Row],[Customer_ID]], Customers[Customer_ID], Customers[Customer_Type])</f>
        <v>Wholesaler</v>
      </c>
      <c r="T181" t="str">
        <f>_xlfn.XLOOKUP(Orders[[#This Row],[Customer_ID]], Customers[Customer_ID], Customers[Preferred_Channel])</f>
        <v>Phone</v>
      </c>
      <c r="U181" t="str">
        <f>_xlfn.XLOOKUP(Orders[[#This Row],[Product_ID]], Products[Product_ID], Products[Bottle_Size])</f>
        <v>330ml</v>
      </c>
    </row>
    <row r="182" spans="1:21" ht="15.75" customHeight="1">
      <c r="A182" s="2" t="s">
        <v>587</v>
      </c>
      <c r="B182" s="2">
        <f>DAY(Orders[[#This Row],[Order_Date]])</f>
        <v>20</v>
      </c>
      <c r="C182" s="20">
        <v>46193</v>
      </c>
      <c r="D182" s="2" t="s">
        <v>276</v>
      </c>
      <c r="E182" s="2" t="s">
        <v>95</v>
      </c>
      <c r="F182" s="2">
        <v>48</v>
      </c>
      <c r="G182" s="22">
        <v>0</v>
      </c>
      <c r="H182" s="22" t="s">
        <v>61</v>
      </c>
      <c r="I182">
        <f>_xlfn.XLOOKUP(Orders[[#This Row],[Product_ID]],Products[Product_ID], Products[Unit_Price])</f>
        <v>2.5</v>
      </c>
      <c r="J182">
        <f>Orders[[#This Row],[Quantity]]*Orders[[#This Row],[Unit_Price]]</f>
        <v>120</v>
      </c>
      <c r="K182">
        <f>_xlfn.XLOOKUP(Orders[[#This Row],[Product_ID]], Products[Product_ID], Products[Cost_Price])</f>
        <v>1.4</v>
      </c>
      <c r="L182">
        <f>Orders[[#This Row],[Cost_Price]]*Orders[[#This Row],[Quantity]]</f>
        <v>67.199999999999989</v>
      </c>
      <c r="M182">
        <f>Orders[[#This Row],[Unit_Price]]*Orders[[#This Row],[Discount]]*Orders[[#This Row],[Quantity]]</f>
        <v>0</v>
      </c>
      <c r="N182" s="23">
        <f>Orders[[#This Row],[Gross_Sales]]-Orders[[#This Row],[Total_Cost]]-Orders[[#This Row],[Total_Discount]]</f>
        <v>52.800000000000011</v>
      </c>
      <c r="O182" s="23">
        <f>Orders[[#This Row],[Total_Cost]]+Orders[[#This Row],[Total_Discount]]</f>
        <v>67.199999999999989</v>
      </c>
      <c r="P182" t="str">
        <f>_xlfn.XLOOKUP(Orders[[#This Row],[Product_ID]], Products[Product_ID], Products[Product_Name])</f>
        <v>Energy Boost</v>
      </c>
      <c r="Q182" t="str">
        <f>_xlfn.XLOOKUP(Orders[[#This Row],[Product_ID]], Products[Product_ID], Products[Category])</f>
        <v>Energy Drink</v>
      </c>
      <c r="R182" t="str">
        <f>_xlfn.XLOOKUP(Orders[[#This Row],[Customer_ID]], Customers[Customer_ID], Customers[County])</f>
        <v>Louth</v>
      </c>
      <c r="S182" t="str">
        <f>_xlfn.XLOOKUP(Orders[[#This Row],[Customer_ID]], Customers[Customer_ID], Customers[Customer_Type])</f>
        <v>Café</v>
      </c>
      <c r="T182" t="str">
        <f>_xlfn.XLOOKUP(Orders[[#This Row],[Customer_ID]], Customers[Customer_ID], Customers[Preferred_Channel])</f>
        <v>Phone</v>
      </c>
      <c r="U182" t="str">
        <f>_xlfn.XLOOKUP(Orders[[#This Row],[Product_ID]], Products[Product_ID], Products[Bottle_Size])</f>
        <v>250ml</v>
      </c>
    </row>
    <row r="183" spans="1:21" ht="15.75" customHeight="1">
      <c r="A183" s="2" t="s">
        <v>588</v>
      </c>
      <c r="B183" s="2">
        <f>DAY(Orders[[#This Row],[Order_Date]])</f>
        <v>18</v>
      </c>
      <c r="C183" s="20">
        <v>46191</v>
      </c>
      <c r="D183" s="2" t="s">
        <v>143</v>
      </c>
      <c r="E183" s="2" t="s">
        <v>125</v>
      </c>
      <c r="F183" s="2">
        <v>39</v>
      </c>
      <c r="G183" s="22">
        <v>0</v>
      </c>
      <c r="H183" s="22" t="s">
        <v>61</v>
      </c>
      <c r="I183">
        <f>_xlfn.XLOOKUP(Orders[[#This Row],[Product_ID]],Products[Product_ID], Products[Unit_Price])</f>
        <v>2.2000000000000002</v>
      </c>
      <c r="J183">
        <f>Orders[[#This Row],[Quantity]]*Orders[[#This Row],[Unit_Price]]</f>
        <v>85.800000000000011</v>
      </c>
      <c r="K183">
        <f>_xlfn.XLOOKUP(Orders[[#This Row],[Product_ID]], Products[Product_ID], Products[Cost_Price])</f>
        <v>1.3</v>
      </c>
      <c r="L183">
        <f>Orders[[#This Row],[Cost_Price]]*Orders[[#This Row],[Quantity]]</f>
        <v>50.7</v>
      </c>
      <c r="M183">
        <f>Orders[[#This Row],[Unit_Price]]*Orders[[#This Row],[Discount]]*Orders[[#This Row],[Quantity]]</f>
        <v>0</v>
      </c>
      <c r="N183" s="23">
        <f>Orders[[#This Row],[Gross_Sales]]-Orders[[#This Row],[Total_Cost]]-Orders[[#This Row],[Total_Discount]]</f>
        <v>35.100000000000009</v>
      </c>
      <c r="O183" s="23">
        <f>Orders[[#This Row],[Total_Cost]]+Orders[[#This Row],[Total_Discount]]</f>
        <v>50.7</v>
      </c>
      <c r="P183" t="str">
        <f>_xlfn.XLOOKUP(Orders[[#This Row],[Product_ID]], Products[Product_ID], Products[Product_Name])</f>
        <v>Iced Tea</v>
      </c>
      <c r="Q183" t="str">
        <f>_xlfn.XLOOKUP(Orders[[#This Row],[Product_ID]], Products[Product_ID], Products[Category])</f>
        <v>Tea</v>
      </c>
      <c r="R183" t="str">
        <f>_xlfn.XLOOKUP(Orders[[#This Row],[Customer_ID]], Customers[Customer_ID], Customers[County])</f>
        <v>Wexford</v>
      </c>
      <c r="S183" t="str">
        <f>_xlfn.XLOOKUP(Orders[[#This Row],[Customer_ID]], Customers[Customer_ID], Customers[Customer_Type])</f>
        <v>Restaurant</v>
      </c>
      <c r="T183" t="str">
        <f>_xlfn.XLOOKUP(Orders[[#This Row],[Customer_ID]], Customers[Customer_ID], Customers[Preferred_Channel])</f>
        <v>Distributor</v>
      </c>
      <c r="U183" t="str">
        <f>_xlfn.XLOOKUP(Orders[[#This Row],[Product_ID]], Products[Product_ID], Products[Bottle_Size])</f>
        <v>500ml</v>
      </c>
    </row>
    <row r="184" spans="1:21" ht="15.75" customHeight="1">
      <c r="A184" s="2" t="s">
        <v>589</v>
      </c>
      <c r="B184" s="2">
        <f>DAY(Orders[[#This Row],[Order_Date]])</f>
        <v>19</v>
      </c>
      <c r="C184" s="20">
        <v>46192</v>
      </c>
      <c r="D184" s="2" t="s">
        <v>40</v>
      </c>
      <c r="E184" s="2" t="s">
        <v>38</v>
      </c>
      <c r="F184" s="2">
        <v>25</v>
      </c>
      <c r="G184" s="22">
        <v>0</v>
      </c>
      <c r="H184" s="22" t="s">
        <v>49</v>
      </c>
      <c r="I184">
        <f>_xlfn.XLOOKUP(Orders[[#This Row],[Product_ID]],Products[Product_ID], Products[Unit_Price])</f>
        <v>1.5</v>
      </c>
      <c r="J184">
        <f>Orders[[#This Row],[Quantity]]*Orders[[#This Row],[Unit_Price]]</f>
        <v>37.5</v>
      </c>
      <c r="K184">
        <f>_xlfn.XLOOKUP(Orders[[#This Row],[Product_ID]], Products[Product_ID], Products[Cost_Price])</f>
        <v>0.8</v>
      </c>
      <c r="L184">
        <f>Orders[[#This Row],[Cost_Price]]*Orders[[#This Row],[Quantity]]</f>
        <v>20</v>
      </c>
      <c r="M184">
        <f>Orders[[#This Row],[Unit_Price]]*Orders[[#This Row],[Discount]]*Orders[[#This Row],[Quantity]]</f>
        <v>0</v>
      </c>
      <c r="N184" s="23">
        <f>Orders[[#This Row],[Gross_Sales]]-Orders[[#This Row],[Total_Cost]]-Orders[[#This Row],[Total_Discount]]</f>
        <v>17.5</v>
      </c>
      <c r="O184" s="23">
        <f>Orders[[#This Row],[Total_Cost]]+Orders[[#This Row],[Total_Discount]]</f>
        <v>20</v>
      </c>
      <c r="P184" t="str">
        <f>_xlfn.XLOOKUP(Orders[[#This Row],[Product_ID]], Products[Product_ID], Products[Product_Name])</f>
        <v>Cola</v>
      </c>
      <c r="Q184" t="str">
        <f>_xlfn.XLOOKUP(Orders[[#This Row],[Product_ID]], Products[Product_ID], Products[Category])</f>
        <v>Soft Drink</v>
      </c>
      <c r="R184" t="str">
        <f>_xlfn.XLOOKUP(Orders[[#This Row],[Customer_ID]], Customers[Customer_ID], Customers[County])</f>
        <v>Kildare</v>
      </c>
      <c r="S184" t="str">
        <f>_xlfn.XLOOKUP(Orders[[#This Row],[Customer_ID]], Customers[Customer_ID], Customers[Customer_Type])</f>
        <v>Retailer</v>
      </c>
      <c r="T184" t="str">
        <f>_xlfn.XLOOKUP(Orders[[#This Row],[Customer_ID]], Customers[Customer_ID], Customers[Preferred_Channel])</f>
        <v>Sales Rep</v>
      </c>
      <c r="U184" t="str">
        <f>_xlfn.XLOOKUP(Orders[[#This Row],[Product_ID]], Products[Product_ID], Products[Bottle_Size])</f>
        <v>330ml</v>
      </c>
    </row>
    <row r="185" spans="1:21" ht="15.75" customHeight="1">
      <c r="A185" s="2" t="s">
        <v>590</v>
      </c>
      <c r="B185" s="2">
        <f>DAY(Orders[[#This Row],[Order_Date]])</f>
        <v>2</v>
      </c>
      <c r="C185" s="20">
        <v>46175</v>
      </c>
      <c r="D185" s="2" t="s">
        <v>239</v>
      </c>
      <c r="E185" s="2" t="s">
        <v>41</v>
      </c>
      <c r="F185" s="2">
        <v>40</v>
      </c>
      <c r="G185" s="22">
        <v>0</v>
      </c>
      <c r="H185" s="22" t="s">
        <v>49</v>
      </c>
      <c r="I185">
        <f>_xlfn.XLOOKUP(Orders[[#This Row],[Product_ID]],Products[Product_ID], Products[Unit_Price])</f>
        <v>2.2000000000000002</v>
      </c>
      <c r="J185">
        <f>Orders[[#This Row],[Quantity]]*Orders[[#This Row],[Unit_Price]]</f>
        <v>88</v>
      </c>
      <c r="K185">
        <f>_xlfn.XLOOKUP(Orders[[#This Row],[Product_ID]], Products[Product_ID], Products[Cost_Price])</f>
        <v>1.2</v>
      </c>
      <c r="L185">
        <f>Orders[[#This Row],[Cost_Price]]*Orders[[#This Row],[Quantity]]</f>
        <v>48</v>
      </c>
      <c r="M185">
        <f>Orders[[#This Row],[Unit_Price]]*Orders[[#This Row],[Discount]]*Orders[[#This Row],[Quantity]]</f>
        <v>0</v>
      </c>
      <c r="N185" s="23">
        <f>Orders[[#This Row],[Gross_Sales]]-Orders[[#This Row],[Total_Cost]]-Orders[[#This Row],[Total_Discount]]</f>
        <v>40</v>
      </c>
      <c r="O185" s="23">
        <f>Orders[[#This Row],[Total_Cost]]+Orders[[#This Row],[Total_Discount]]</f>
        <v>48</v>
      </c>
      <c r="P185" t="str">
        <f>_xlfn.XLOOKUP(Orders[[#This Row],[Product_ID]], Products[Product_ID], Products[Product_Name])</f>
        <v>Peach Tea</v>
      </c>
      <c r="Q185" t="str">
        <f>_xlfn.XLOOKUP(Orders[[#This Row],[Product_ID]], Products[Product_ID], Products[Category])</f>
        <v>Tea</v>
      </c>
      <c r="R185" t="str">
        <f>_xlfn.XLOOKUP(Orders[[#This Row],[Customer_ID]], Customers[Customer_ID], Customers[County])</f>
        <v>Waterford</v>
      </c>
      <c r="S185" t="str">
        <f>_xlfn.XLOOKUP(Orders[[#This Row],[Customer_ID]], Customers[Customer_ID], Customers[Customer_Type])</f>
        <v>Hotel</v>
      </c>
      <c r="T185" t="str">
        <f>_xlfn.XLOOKUP(Orders[[#This Row],[Customer_ID]], Customers[Customer_ID], Customers[Preferred_Channel])</f>
        <v>Distributor</v>
      </c>
      <c r="U185" t="str">
        <f>_xlfn.XLOOKUP(Orders[[#This Row],[Product_ID]], Products[Product_ID], Products[Bottle_Size])</f>
        <v>500ml</v>
      </c>
    </row>
    <row r="186" spans="1:21" ht="15.75" customHeight="1">
      <c r="A186" s="2" t="s">
        <v>591</v>
      </c>
      <c r="B186" s="2">
        <f>DAY(Orders[[#This Row],[Order_Date]])</f>
        <v>28</v>
      </c>
      <c r="C186" s="20">
        <v>46201</v>
      </c>
      <c r="D186" s="2" t="s">
        <v>12</v>
      </c>
      <c r="E186" s="2" t="s">
        <v>217</v>
      </c>
      <c r="F186" s="2">
        <v>10</v>
      </c>
      <c r="G186" s="22">
        <v>0.05</v>
      </c>
      <c r="H186" s="22" t="s">
        <v>49</v>
      </c>
      <c r="I186">
        <f>_xlfn.XLOOKUP(Orders[[#This Row],[Product_ID]],Products[Product_ID], Products[Unit_Price])</f>
        <v>1.4</v>
      </c>
      <c r="J186">
        <f>Orders[[#This Row],[Quantity]]*Orders[[#This Row],[Unit_Price]]</f>
        <v>14</v>
      </c>
      <c r="K186">
        <f>_xlfn.XLOOKUP(Orders[[#This Row],[Product_ID]], Products[Product_ID], Products[Cost_Price])</f>
        <v>0.7</v>
      </c>
      <c r="L186">
        <f>Orders[[#This Row],[Cost_Price]]*Orders[[#This Row],[Quantity]]</f>
        <v>7</v>
      </c>
      <c r="M186">
        <f>Orders[[#This Row],[Unit_Price]]*Orders[[#This Row],[Discount]]*Orders[[#This Row],[Quantity]]</f>
        <v>0.7</v>
      </c>
      <c r="N186" s="23">
        <f>Orders[[#This Row],[Gross_Sales]]-Orders[[#This Row],[Total_Cost]]-Orders[[#This Row],[Total_Discount]]</f>
        <v>6.3</v>
      </c>
      <c r="O186" s="23">
        <f>Orders[[#This Row],[Total_Cost]]+Orders[[#This Row],[Total_Discount]]</f>
        <v>7.7</v>
      </c>
      <c r="P186" t="str">
        <f>_xlfn.XLOOKUP(Orders[[#This Row],[Product_ID]], Products[Product_ID], Products[Product_Name])</f>
        <v>Spring Water</v>
      </c>
      <c r="Q186" t="str">
        <f>_xlfn.XLOOKUP(Orders[[#This Row],[Product_ID]], Products[Product_ID], Products[Category])</f>
        <v>Water</v>
      </c>
      <c r="R186" t="str">
        <f>_xlfn.XLOOKUP(Orders[[#This Row],[Customer_ID]], Customers[Customer_ID], Customers[County])</f>
        <v>Limerick</v>
      </c>
      <c r="S186" t="str">
        <f>_xlfn.XLOOKUP(Orders[[#This Row],[Customer_ID]], Customers[Customer_ID], Customers[Customer_Type])</f>
        <v>Café</v>
      </c>
      <c r="T186" t="str">
        <f>_xlfn.XLOOKUP(Orders[[#This Row],[Customer_ID]], Customers[Customer_ID], Customers[Preferred_Channel])</f>
        <v>Online</v>
      </c>
      <c r="U186" t="str">
        <f>_xlfn.XLOOKUP(Orders[[#This Row],[Product_ID]], Products[Product_ID], Products[Bottle_Size])</f>
        <v>500ml</v>
      </c>
    </row>
    <row r="187" spans="1:21" ht="15.75" customHeight="1">
      <c r="A187" s="2" t="s">
        <v>592</v>
      </c>
      <c r="B187" s="2">
        <f>DAY(Orders[[#This Row],[Order_Date]])</f>
        <v>12</v>
      </c>
      <c r="C187" s="20">
        <v>46185</v>
      </c>
      <c r="D187" s="2" t="s">
        <v>76</v>
      </c>
      <c r="E187" s="2" t="s">
        <v>180</v>
      </c>
      <c r="F187" s="2">
        <v>27</v>
      </c>
      <c r="G187" s="22">
        <v>0.05</v>
      </c>
      <c r="H187" s="22" t="s">
        <v>61</v>
      </c>
      <c r="I187">
        <f>_xlfn.XLOOKUP(Orders[[#This Row],[Product_ID]],Products[Product_ID], Products[Unit_Price])</f>
        <v>2.4</v>
      </c>
      <c r="J187">
        <f>Orders[[#This Row],[Quantity]]*Orders[[#This Row],[Unit_Price]]</f>
        <v>64.8</v>
      </c>
      <c r="K187">
        <f>_xlfn.XLOOKUP(Orders[[#This Row],[Product_ID]], Products[Product_ID], Products[Cost_Price])</f>
        <v>1.35</v>
      </c>
      <c r="L187">
        <f>Orders[[#This Row],[Cost_Price]]*Orders[[#This Row],[Quantity]]</f>
        <v>36.450000000000003</v>
      </c>
      <c r="M187">
        <f>Orders[[#This Row],[Unit_Price]]*Orders[[#This Row],[Discount]]*Orders[[#This Row],[Quantity]]</f>
        <v>3.2399999999999998</v>
      </c>
      <c r="N187" s="23">
        <f>Orders[[#This Row],[Gross_Sales]]-Orders[[#This Row],[Total_Cost]]-Orders[[#This Row],[Total_Discount]]</f>
        <v>25.109999999999996</v>
      </c>
      <c r="O187" s="23">
        <f>Orders[[#This Row],[Total_Cost]]+Orders[[#This Row],[Total_Discount]]</f>
        <v>39.690000000000005</v>
      </c>
      <c r="P187" t="str">
        <f>_xlfn.XLOOKUP(Orders[[#This Row],[Product_ID]], Products[Product_ID], Products[Product_Name])</f>
        <v>Pineapple Juice</v>
      </c>
      <c r="Q187" t="str">
        <f>_xlfn.XLOOKUP(Orders[[#This Row],[Product_ID]], Products[Product_ID], Products[Category])</f>
        <v>Juice</v>
      </c>
      <c r="R187" t="str">
        <f>_xlfn.XLOOKUP(Orders[[#This Row],[Customer_ID]], Customers[Customer_ID], Customers[County])</f>
        <v>Kerry</v>
      </c>
      <c r="S187" t="str">
        <f>_xlfn.XLOOKUP(Orders[[#This Row],[Customer_ID]], Customers[Customer_ID], Customers[Customer_Type])</f>
        <v>Restaurant</v>
      </c>
      <c r="T187" t="str">
        <f>_xlfn.XLOOKUP(Orders[[#This Row],[Customer_ID]], Customers[Customer_ID], Customers[Preferred_Channel])</f>
        <v>Distributor</v>
      </c>
      <c r="U187" t="str">
        <f>_xlfn.XLOOKUP(Orders[[#This Row],[Product_ID]], Products[Product_ID], Products[Bottle_Size])</f>
        <v>1L</v>
      </c>
    </row>
    <row r="188" spans="1:21" ht="15.75" customHeight="1">
      <c r="A188" s="2" t="s">
        <v>593</v>
      </c>
      <c r="B188" s="2">
        <f>DAY(Orders[[#This Row],[Order_Date]])</f>
        <v>21</v>
      </c>
      <c r="C188" s="20">
        <v>46194</v>
      </c>
      <c r="D188" s="2" t="s">
        <v>22</v>
      </c>
      <c r="E188" s="2" t="s">
        <v>17</v>
      </c>
      <c r="F188" s="2">
        <v>31</v>
      </c>
      <c r="G188" s="22">
        <v>0</v>
      </c>
      <c r="H188" s="22" t="s">
        <v>49</v>
      </c>
      <c r="I188">
        <f>_xlfn.XLOOKUP(Orders[[#This Row],[Product_ID]],Products[Product_ID], Products[Unit_Price])</f>
        <v>1.2</v>
      </c>
      <c r="J188">
        <f>Orders[[#This Row],[Quantity]]*Orders[[#This Row],[Unit_Price]]</f>
        <v>37.199999999999996</v>
      </c>
      <c r="K188">
        <f>_xlfn.XLOOKUP(Orders[[#This Row],[Product_ID]], Products[Product_ID], Products[Cost_Price])</f>
        <v>0.6</v>
      </c>
      <c r="L188">
        <f>Orders[[#This Row],[Cost_Price]]*Orders[[#This Row],[Quantity]]</f>
        <v>18.599999999999998</v>
      </c>
      <c r="M188">
        <f>Orders[[#This Row],[Unit_Price]]*Orders[[#This Row],[Discount]]*Orders[[#This Row],[Quantity]]</f>
        <v>0</v>
      </c>
      <c r="N188" s="23">
        <f>Orders[[#This Row],[Gross_Sales]]-Orders[[#This Row],[Total_Cost]]-Orders[[#This Row],[Total_Discount]]</f>
        <v>18.599999999999998</v>
      </c>
      <c r="O188" s="23">
        <f>Orders[[#This Row],[Total_Cost]]+Orders[[#This Row],[Total_Discount]]</f>
        <v>18.599999999999998</v>
      </c>
      <c r="P188" t="str">
        <f>_xlfn.XLOOKUP(Orders[[#This Row],[Product_ID]], Products[Product_ID], Products[Product_Name])</f>
        <v>Still Water</v>
      </c>
      <c r="Q188" t="str">
        <f>_xlfn.XLOOKUP(Orders[[#This Row],[Product_ID]], Products[Product_ID], Products[Category])</f>
        <v>Water</v>
      </c>
      <c r="R188" t="str">
        <f>_xlfn.XLOOKUP(Orders[[#This Row],[Customer_ID]], Customers[Customer_ID], Customers[County])</f>
        <v>Tipperary</v>
      </c>
      <c r="S188" t="str">
        <f>_xlfn.XLOOKUP(Orders[[#This Row],[Customer_ID]], Customers[Customer_ID], Customers[Customer_Type])</f>
        <v>Wholesaler</v>
      </c>
      <c r="T188" t="str">
        <f>_xlfn.XLOOKUP(Orders[[#This Row],[Customer_ID]], Customers[Customer_ID], Customers[Preferred_Channel])</f>
        <v>Online</v>
      </c>
      <c r="U188" t="str">
        <f>_xlfn.XLOOKUP(Orders[[#This Row],[Product_ID]], Products[Product_ID], Products[Bottle_Size])</f>
        <v>500ml</v>
      </c>
    </row>
    <row r="189" spans="1:21" ht="15.75" customHeight="1">
      <c r="A189" s="2" t="s">
        <v>594</v>
      </c>
      <c r="B189" s="2">
        <f>DAY(Orders[[#This Row],[Order_Date]])</f>
        <v>23</v>
      </c>
      <c r="C189" s="20">
        <v>46196</v>
      </c>
      <c r="D189" s="2" t="s">
        <v>106</v>
      </c>
      <c r="E189" s="2" t="s">
        <v>125</v>
      </c>
      <c r="F189" s="2">
        <v>17</v>
      </c>
      <c r="G189" s="22">
        <v>0.05</v>
      </c>
      <c r="H189" s="22" t="s">
        <v>179</v>
      </c>
      <c r="I189">
        <f>_xlfn.XLOOKUP(Orders[[#This Row],[Product_ID]],Products[Product_ID], Products[Unit_Price])</f>
        <v>2.2000000000000002</v>
      </c>
      <c r="J189">
        <f>Orders[[#This Row],[Quantity]]*Orders[[#This Row],[Unit_Price]]</f>
        <v>37.400000000000006</v>
      </c>
      <c r="K189">
        <f>_xlfn.XLOOKUP(Orders[[#This Row],[Product_ID]], Products[Product_ID], Products[Cost_Price])</f>
        <v>1.3</v>
      </c>
      <c r="L189">
        <f>Orders[[#This Row],[Cost_Price]]*Orders[[#This Row],[Quantity]]</f>
        <v>22.1</v>
      </c>
      <c r="M189">
        <f>Orders[[#This Row],[Unit_Price]]*Orders[[#This Row],[Discount]]*Orders[[#This Row],[Quantity]]</f>
        <v>1.8700000000000003</v>
      </c>
      <c r="N189" s="23">
        <f>Orders[[#This Row],[Gross_Sales]]-Orders[[#This Row],[Total_Cost]]-Orders[[#This Row],[Total_Discount]]</f>
        <v>13.430000000000003</v>
      </c>
      <c r="O189" s="23">
        <f>Orders[[#This Row],[Total_Cost]]+Orders[[#This Row],[Total_Discount]]</f>
        <v>23.970000000000002</v>
      </c>
      <c r="P189" t="str">
        <f>_xlfn.XLOOKUP(Orders[[#This Row],[Product_ID]], Products[Product_ID], Products[Product_Name])</f>
        <v>Iced Tea</v>
      </c>
      <c r="Q189" t="str">
        <f>_xlfn.XLOOKUP(Orders[[#This Row],[Product_ID]], Products[Product_ID], Products[Category])</f>
        <v>Tea</v>
      </c>
      <c r="R189" t="str">
        <f>_xlfn.XLOOKUP(Orders[[#This Row],[Customer_ID]], Customers[Customer_ID], Customers[County])</f>
        <v>Clare</v>
      </c>
      <c r="S189" t="str">
        <f>_xlfn.XLOOKUP(Orders[[#This Row],[Customer_ID]], Customers[Customer_ID], Customers[Customer_Type])</f>
        <v>Supermarket</v>
      </c>
      <c r="T189" t="str">
        <f>_xlfn.XLOOKUP(Orders[[#This Row],[Customer_ID]], Customers[Customer_ID], Customers[Preferred_Channel])</f>
        <v>Email</v>
      </c>
      <c r="U189" t="str">
        <f>_xlfn.XLOOKUP(Orders[[#This Row],[Product_ID]], Products[Product_ID], Products[Bottle_Size])</f>
        <v>500ml</v>
      </c>
    </row>
    <row r="190" spans="1:21" ht="15.75" customHeight="1">
      <c r="A190" s="2" t="s">
        <v>595</v>
      </c>
      <c r="B190" s="2">
        <f>DAY(Orders[[#This Row],[Order_Date]])</f>
        <v>7</v>
      </c>
      <c r="C190" s="20">
        <v>46180</v>
      </c>
      <c r="D190" s="2" t="s">
        <v>306</v>
      </c>
      <c r="E190" s="2" t="s">
        <v>170</v>
      </c>
      <c r="F190" s="2">
        <v>6</v>
      </c>
      <c r="G190" s="22">
        <v>0.05</v>
      </c>
      <c r="H190" s="22" t="s">
        <v>61</v>
      </c>
      <c r="I190">
        <f>_xlfn.XLOOKUP(Orders[[#This Row],[Product_ID]],Products[Product_ID], Products[Unit_Price])</f>
        <v>1.9</v>
      </c>
      <c r="J190">
        <f>Orders[[#This Row],[Quantity]]*Orders[[#This Row],[Unit_Price]]</f>
        <v>11.399999999999999</v>
      </c>
      <c r="K190">
        <f>_xlfn.XLOOKUP(Orders[[#This Row],[Product_ID]], Products[Product_ID], Products[Cost_Price])</f>
        <v>0.95</v>
      </c>
      <c r="L190">
        <f>Orders[[#This Row],[Cost_Price]]*Orders[[#This Row],[Quantity]]</f>
        <v>5.6999999999999993</v>
      </c>
      <c r="M190">
        <f>Orders[[#This Row],[Unit_Price]]*Orders[[#This Row],[Discount]]*Orders[[#This Row],[Quantity]]</f>
        <v>0.57000000000000006</v>
      </c>
      <c r="N190" s="23">
        <f>Orders[[#This Row],[Gross_Sales]]-Orders[[#This Row],[Total_Cost]]-Orders[[#This Row],[Total_Discount]]</f>
        <v>5.129999999999999</v>
      </c>
      <c r="O190" s="23">
        <f>Orders[[#This Row],[Total_Cost]]+Orders[[#This Row],[Total_Discount]]</f>
        <v>6.27</v>
      </c>
      <c r="P190" t="str">
        <f>_xlfn.XLOOKUP(Orders[[#This Row],[Product_ID]], Products[Product_ID], Products[Product_Name])</f>
        <v>Vitamin Water</v>
      </c>
      <c r="Q190" t="str">
        <f>_xlfn.XLOOKUP(Orders[[#This Row],[Product_ID]], Products[Product_ID], Products[Category])</f>
        <v>Water</v>
      </c>
      <c r="R190" t="str">
        <f>_xlfn.XLOOKUP(Orders[[#This Row],[Customer_ID]], Customers[Customer_ID], Customers[County])</f>
        <v>Wexford</v>
      </c>
      <c r="S190" t="str">
        <f>_xlfn.XLOOKUP(Orders[[#This Row],[Customer_ID]], Customers[Customer_ID], Customers[Customer_Type])</f>
        <v>Hotel</v>
      </c>
      <c r="T190" t="str">
        <f>_xlfn.XLOOKUP(Orders[[#This Row],[Customer_ID]], Customers[Customer_ID], Customers[Preferred_Channel])</f>
        <v>Online</v>
      </c>
      <c r="U190" t="str">
        <f>_xlfn.XLOOKUP(Orders[[#This Row],[Product_ID]], Products[Product_ID], Products[Bottle_Size])</f>
        <v>500ml</v>
      </c>
    </row>
    <row r="191" spans="1:21" ht="15.75" customHeight="1">
      <c r="A191" s="2" t="s">
        <v>596</v>
      </c>
      <c r="B191" s="2">
        <f>DAY(Orders[[#This Row],[Order_Date]])</f>
        <v>6</v>
      </c>
      <c r="C191" s="20">
        <v>46179</v>
      </c>
      <c r="D191" s="2" t="s">
        <v>241</v>
      </c>
      <c r="E191" s="2" t="s">
        <v>69</v>
      </c>
      <c r="F191" s="2">
        <v>37</v>
      </c>
      <c r="G191" s="22">
        <v>0</v>
      </c>
      <c r="H191" s="22" t="s">
        <v>61</v>
      </c>
      <c r="I191">
        <f>_xlfn.XLOOKUP(Orders[[#This Row],[Product_ID]],Products[Product_ID], Products[Unit_Price])</f>
        <v>2</v>
      </c>
      <c r="J191">
        <f>Orders[[#This Row],[Quantity]]*Orders[[#This Row],[Unit_Price]]</f>
        <v>74</v>
      </c>
      <c r="K191">
        <f>_xlfn.XLOOKUP(Orders[[#This Row],[Product_ID]], Products[Product_ID], Products[Cost_Price])</f>
        <v>1.1000000000000001</v>
      </c>
      <c r="L191">
        <f>Orders[[#This Row],[Cost_Price]]*Orders[[#This Row],[Quantity]]</f>
        <v>40.700000000000003</v>
      </c>
      <c r="M191">
        <f>Orders[[#This Row],[Unit_Price]]*Orders[[#This Row],[Discount]]*Orders[[#This Row],[Quantity]]</f>
        <v>0</v>
      </c>
      <c r="N191" s="23">
        <f>Orders[[#This Row],[Gross_Sales]]-Orders[[#This Row],[Total_Cost]]-Orders[[#This Row],[Total_Discount]]</f>
        <v>33.299999999999997</v>
      </c>
      <c r="O191" s="23">
        <f>Orders[[#This Row],[Total_Cost]]+Orders[[#This Row],[Total_Discount]]</f>
        <v>40.700000000000003</v>
      </c>
      <c r="P191" t="str">
        <f>_xlfn.XLOOKUP(Orders[[#This Row],[Product_ID]], Products[Product_ID], Products[Product_Name])</f>
        <v>Apple Juice</v>
      </c>
      <c r="Q191" t="str">
        <f>_xlfn.XLOOKUP(Orders[[#This Row],[Product_ID]], Products[Product_ID], Products[Category])</f>
        <v>Juice</v>
      </c>
      <c r="R191" t="str">
        <f>_xlfn.XLOOKUP(Orders[[#This Row],[Customer_ID]], Customers[Customer_ID], Customers[County])</f>
        <v>Kildare</v>
      </c>
      <c r="S191" t="str">
        <f>_xlfn.XLOOKUP(Orders[[#This Row],[Customer_ID]], Customers[Customer_ID], Customers[Customer_Type])</f>
        <v>Retailer</v>
      </c>
      <c r="T191" t="str">
        <f>_xlfn.XLOOKUP(Orders[[#This Row],[Customer_ID]], Customers[Customer_ID], Customers[Preferred_Channel])</f>
        <v>Online</v>
      </c>
      <c r="U191" t="str">
        <f>_xlfn.XLOOKUP(Orders[[#This Row],[Product_ID]], Products[Product_ID], Products[Bottle_Size])</f>
        <v>1L</v>
      </c>
    </row>
    <row r="192" spans="1:21" ht="15.75" customHeight="1">
      <c r="A192" s="2" t="s">
        <v>597</v>
      </c>
      <c r="B192" s="2">
        <f>DAY(Orders[[#This Row],[Order_Date]])</f>
        <v>13</v>
      </c>
      <c r="C192" s="20">
        <v>46186</v>
      </c>
      <c r="D192" s="2" t="s">
        <v>267</v>
      </c>
      <c r="E192" s="2" t="s">
        <v>50</v>
      </c>
      <c r="F192" s="2">
        <v>10</v>
      </c>
      <c r="G192" s="22">
        <v>0</v>
      </c>
      <c r="H192" s="22" t="s">
        <v>61</v>
      </c>
      <c r="I192">
        <f>_xlfn.XLOOKUP(Orders[[#This Row],[Product_ID]],Products[Product_ID], Products[Unit_Price])</f>
        <v>1.6</v>
      </c>
      <c r="J192">
        <f>Orders[[#This Row],[Quantity]]*Orders[[#This Row],[Unit_Price]]</f>
        <v>16</v>
      </c>
      <c r="K192">
        <f>_xlfn.XLOOKUP(Orders[[#This Row],[Product_ID]], Products[Product_ID], Products[Cost_Price])</f>
        <v>0.85</v>
      </c>
      <c r="L192">
        <f>Orders[[#This Row],[Cost_Price]]*Orders[[#This Row],[Quantity]]</f>
        <v>8.5</v>
      </c>
      <c r="M192">
        <f>Orders[[#This Row],[Unit_Price]]*Orders[[#This Row],[Discount]]*Orders[[#This Row],[Quantity]]</f>
        <v>0</v>
      </c>
      <c r="N192" s="23">
        <f>Orders[[#This Row],[Gross_Sales]]-Orders[[#This Row],[Total_Cost]]-Orders[[#This Row],[Total_Discount]]</f>
        <v>7.5</v>
      </c>
      <c r="O192" s="23">
        <f>Orders[[#This Row],[Total_Cost]]+Orders[[#This Row],[Total_Discount]]</f>
        <v>8.5</v>
      </c>
      <c r="P192" t="str">
        <f>_xlfn.XLOOKUP(Orders[[#This Row],[Product_ID]], Products[Product_ID], Products[Product_Name])</f>
        <v>Orange Soda</v>
      </c>
      <c r="Q192" t="str">
        <f>_xlfn.XLOOKUP(Orders[[#This Row],[Product_ID]], Products[Product_ID], Products[Category])</f>
        <v>Soft Drink</v>
      </c>
      <c r="R192" t="str">
        <f>_xlfn.XLOOKUP(Orders[[#This Row],[Customer_ID]], Customers[Customer_ID], Customers[County])</f>
        <v>Meath</v>
      </c>
      <c r="S192" t="str">
        <f>_xlfn.XLOOKUP(Orders[[#This Row],[Customer_ID]], Customers[Customer_ID], Customers[Customer_Type])</f>
        <v>Café</v>
      </c>
      <c r="T192" t="str">
        <f>_xlfn.XLOOKUP(Orders[[#This Row],[Customer_ID]], Customers[Customer_ID], Customers[Preferred_Channel])</f>
        <v>Phone</v>
      </c>
      <c r="U192" t="str">
        <f>_xlfn.XLOOKUP(Orders[[#This Row],[Product_ID]], Products[Product_ID], Products[Bottle_Size])</f>
        <v>500ml</v>
      </c>
    </row>
    <row r="193" spans="1:21" ht="15.75" customHeight="1">
      <c r="A193" s="2" t="s">
        <v>598</v>
      </c>
      <c r="B193" s="2">
        <f>DAY(Orders[[#This Row],[Order_Date]])</f>
        <v>14</v>
      </c>
      <c r="C193" s="20">
        <v>46187</v>
      </c>
      <c r="D193" s="2" t="s">
        <v>30</v>
      </c>
      <c r="E193" s="2" t="s">
        <v>28</v>
      </c>
      <c r="F193" s="2">
        <v>19</v>
      </c>
      <c r="G193" s="22">
        <v>0</v>
      </c>
      <c r="H193" s="22" t="s">
        <v>61</v>
      </c>
      <c r="I193">
        <f>_xlfn.XLOOKUP(Orders[[#This Row],[Product_ID]],Products[Product_ID], Products[Unit_Price])</f>
        <v>1.8</v>
      </c>
      <c r="J193">
        <f>Orders[[#This Row],[Quantity]]*Orders[[#This Row],[Unit_Price]]</f>
        <v>34.200000000000003</v>
      </c>
      <c r="K193">
        <f>_xlfn.XLOOKUP(Orders[[#This Row],[Product_ID]], Products[Product_ID], Products[Cost_Price])</f>
        <v>0.9</v>
      </c>
      <c r="L193">
        <f>Orders[[#This Row],[Cost_Price]]*Orders[[#This Row],[Quantity]]</f>
        <v>17.100000000000001</v>
      </c>
      <c r="M193">
        <f>Orders[[#This Row],[Unit_Price]]*Orders[[#This Row],[Discount]]*Orders[[#This Row],[Quantity]]</f>
        <v>0</v>
      </c>
      <c r="N193" s="23">
        <f>Orders[[#This Row],[Gross_Sales]]-Orders[[#This Row],[Total_Cost]]-Orders[[#This Row],[Total_Discount]]</f>
        <v>17.100000000000001</v>
      </c>
      <c r="O193" s="23">
        <f>Orders[[#This Row],[Total_Cost]]+Orders[[#This Row],[Total_Discount]]</f>
        <v>17.100000000000001</v>
      </c>
      <c r="P193" t="str">
        <f>_xlfn.XLOOKUP(Orders[[#This Row],[Product_ID]], Products[Product_ID], Products[Product_Name])</f>
        <v>Sparkling Water</v>
      </c>
      <c r="Q193" t="str">
        <f>_xlfn.XLOOKUP(Orders[[#This Row],[Product_ID]], Products[Product_ID], Products[Category])</f>
        <v>Water</v>
      </c>
      <c r="R193" t="str">
        <f>_xlfn.XLOOKUP(Orders[[#This Row],[Customer_ID]], Customers[Customer_ID], Customers[County])</f>
        <v>Kerry</v>
      </c>
      <c r="S193" t="str">
        <f>_xlfn.XLOOKUP(Orders[[#This Row],[Customer_ID]], Customers[Customer_ID], Customers[Customer_Type])</f>
        <v>Wholesaler</v>
      </c>
      <c r="T193" t="str">
        <f>_xlfn.XLOOKUP(Orders[[#This Row],[Customer_ID]], Customers[Customer_ID], Customers[Preferred_Channel])</f>
        <v>Online</v>
      </c>
      <c r="U193" t="str">
        <f>_xlfn.XLOOKUP(Orders[[#This Row],[Product_ID]], Products[Product_ID], Products[Bottle_Size])</f>
        <v>1L</v>
      </c>
    </row>
    <row r="194" spans="1:21" ht="15.75" customHeight="1">
      <c r="A194" s="2" t="s">
        <v>599</v>
      </c>
      <c r="B194" s="2">
        <f>DAY(Orders[[#This Row],[Order_Date]])</f>
        <v>24</v>
      </c>
      <c r="C194" s="20">
        <v>46197</v>
      </c>
      <c r="D194" s="2" t="s">
        <v>352</v>
      </c>
      <c r="E194" s="2" t="s">
        <v>57</v>
      </c>
      <c r="F194" s="2">
        <v>49</v>
      </c>
      <c r="G194" s="22">
        <v>0</v>
      </c>
      <c r="H194" s="22" t="s">
        <v>61</v>
      </c>
      <c r="I194">
        <f>_xlfn.XLOOKUP(Orders[[#This Row],[Product_ID]],Products[Product_ID], Products[Unit_Price])</f>
        <v>2</v>
      </c>
      <c r="J194">
        <f>Orders[[#This Row],[Quantity]]*Orders[[#This Row],[Unit_Price]]</f>
        <v>98</v>
      </c>
      <c r="K194">
        <f>_xlfn.XLOOKUP(Orders[[#This Row],[Product_ID]], Products[Product_ID], Products[Cost_Price])</f>
        <v>1</v>
      </c>
      <c r="L194">
        <f>Orders[[#This Row],[Cost_Price]]*Orders[[#This Row],[Quantity]]</f>
        <v>49</v>
      </c>
      <c r="M194">
        <f>Orders[[#This Row],[Unit_Price]]*Orders[[#This Row],[Discount]]*Orders[[#This Row],[Quantity]]</f>
        <v>0</v>
      </c>
      <c r="N194" s="23">
        <f>Orders[[#This Row],[Gross_Sales]]-Orders[[#This Row],[Total_Cost]]-Orders[[#This Row],[Total_Discount]]</f>
        <v>49</v>
      </c>
      <c r="O194" s="23">
        <f>Orders[[#This Row],[Total_Cost]]+Orders[[#This Row],[Total_Discount]]</f>
        <v>49</v>
      </c>
      <c r="P194" t="str">
        <f>_xlfn.XLOOKUP(Orders[[#This Row],[Product_ID]], Products[Product_ID], Products[Product_Name])</f>
        <v xml:space="preserve">Mineral Water
</v>
      </c>
      <c r="Q194" t="str">
        <f>_xlfn.XLOOKUP(Orders[[#This Row],[Product_ID]], Products[Product_ID], Products[Category])</f>
        <v>Water</v>
      </c>
      <c r="R194" t="str">
        <f>_xlfn.XLOOKUP(Orders[[#This Row],[Customer_ID]], Customers[Customer_ID], Customers[County])</f>
        <v>Offaly</v>
      </c>
      <c r="S194" t="str">
        <f>_xlfn.XLOOKUP(Orders[[#This Row],[Customer_ID]], Customers[Customer_ID], Customers[Customer_Type])</f>
        <v>Café</v>
      </c>
      <c r="T194" t="str">
        <f>_xlfn.XLOOKUP(Orders[[#This Row],[Customer_ID]], Customers[Customer_ID], Customers[Preferred_Channel])</f>
        <v>Distributor</v>
      </c>
      <c r="U194" t="str">
        <f>_xlfn.XLOOKUP(Orders[[#This Row],[Product_ID]], Products[Product_ID], Products[Bottle_Size])</f>
        <v>1.5L</v>
      </c>
    </row>
    <row r="195" spans="1:21" ht="15.75" customHeight="1">
      <c r="A195" s="2" t="s">
        <v>600</v>
      </c>
      <c r="B195" s="2">
        <f>DAY(Orders[[#This Row],[Order_Date]])</f>
        <v>8</v>
      </c>
      <c r="C195" s="20">
        <v>46181</v>
      </c>
      <c r="D195" s="2" t="s">
        <v>40</v>
      </c>
      <c r="E195" s="2" t="s">
        <v>84</v>
      </c>
      <c r="F195" s="2">
        <v>38</v>
      </c>
      <c r="G195" s="22">
        <v>0</v>
      </c>
      <c r="H195" s="22" t="s">
        <v>61</v>
      </c>
      <c r="I195">
        <f>_xlfn.XLOOKUP(Orders[[#This Row],[Product_ID]],Products[Product_ID], Products[Unit_Price])</f>
        <v>1.7</v>
      </c>
      <c r="J195">
        <f>Orders[[#This Row],[Quantity]]*Orders[[#This Row],[Unit_Price]]</f>
        <v>64.599999999999994</v>
      </c>
      <c r="K195">
        <f>_xlfn.XLOOKUP(Orders[[#This Row],[Product_ID]], Products[Product_ID], Products[Cost_Price])</f>
        <v>0.9</v>
      </c>
      <c r="L195">
        <f>Orders[[#This Row],[Cost_Price]]*Orders[[#This Row],[Quantity]]</f>
        <v>34.200000000000003</v>
      </c>
      <c r="M195">
        <f>Orders[[#This Row],[Unit_Price]]*Orders[[#This Row],[Discount]]*Orders[[#This Row],[Quantity]]</f>
        <v>0</v>
      </c>
      <c r="N195" s="23">
        <f>Orders[[#This Row],[Gross_Sales]]-Orders[[#This Row],[Total_Cost]]-Orders[[#This Row],[Total_Discount]]</f>
        <v>30.399999999999991</v>
      </c>
      <c r="O195" s="23">
        <f>Orders[[#This Row],[Total_Cost]]+Orders[[#This Row],[Total_Discount]]</f>
        <v>34.200000000000003</v>
      </c>
      <c r="P195" t="str">
        <f>_xlfn.XLOOKUP(Orders[[#This Row],[Product_ID]], Products[Product_ID], Products[Product_Name])</f>
        <v>Lemon Lime</v>
      </c>
      <c r="Q195" t="str">
        <f>_xlfn.XLOOKUP(Orders[[#This Row],[Product_ID]], Products[Product_ID], Products[Category])</f>
        <v>Soft Drink</v>
      </c>
      <c r="R195" t="str">
        <f>_xlfn.XLOOKUP(Orders[[#This Row],[Customer_ID]], Customers[Customer_ID], Customers[County])</f>
        <v>Kildare</v>
      </c>
      <c r="S195" t="str">
        <f>_xlfn.XLOOKUP(Orders[[#This Row],[Customer_ID]], Customers[Customer_ID], Customers[Customer_Type])</f>
        <v>Retailer</v>
      </c>
      <c r="T195" t="str">
        <f>_xlfn.XLOOKUP(Orders[[#This Row],[Customer_ID]], Customers[Customer_ID], Customers[Preferred_Channel])</f>
        <v>Sales Rep</v>
      </c>
      <c r="U195" t="str">
        <f>_xlfn.XLOOKUP(Orders[[#This Row],[Product_ID]], Products[Product_ID], Products[Bottle_Size])</f>
        <v>500ml</v>
      </c>
    </row>
    <row r="196" spans="1:21" ht="15.75" customHeight="1">
      <c r="A196" s="2" t="s">
        <v>601</v>
      </c>
      <c r="B196" s="2">
        <f>DAY(Orders[[#This Row],[Order_Date]])</f>
        <v>19</v>
      </c>
      <c r="C196" s="20">
        <v>46192</v>
      </c>
      <c r="D196" s="2" t="s">
        <v>267</v>
      </c>
      <c r="E196" s="2" t="s">
        <v>117</v>
      </c>
      <c r="F196" s="2">
        <v>5</v>
      </c>
      <c r="G196" s="22">
        <v>0</v>
      </c>
      <c r="H196" s="22" t="s">
        <v>61</v>
      </c>
      <c r="I196">
        <f>_xlfn.XLOOKUP(Orders[[#This Row],[Product_ID]],Products[Product_ID], Products[Unit_Price])</f>
        <v>1.9</v>
      </c>
      <c r="J196">
        <f>Orders[[#This Row],[Quantity]]*Orders[[#This Row],[Unit_Price]]</f>
        <v>9.5</v>
      </c>
      <c r="K196">
        <f>_xlfn.XLOOKUP(Orders[[#This Row],[Product_ID]], Products[Product_ID], Products[Cost_Price])</f>
        <v>1</v>
      </c>
      <c r="L196">
        <f>Orders[[#This Row],[Cost_Price]]*Orders[[#This Row],[Quantity]]</f>
        <v>5</v>
      </c>
      <c r="M196">
        <f>Orders[[#This Row],[Unit_Price]]*Orders[[#This Row],[Discount]]*Orders[[#This Row],[Quantity]]</f>
        <v>0</v>
      </c>
      <c r="N196" s="23">
        <f>Orders[[#This Row],[Gross_Sales]]-Orders[[#This Row],[Total_Cost]]-Orders[[#This Row],[Total_Discount]]</f>
        <v>4.5</v>
      </c>
      <c r="O196" s="23">
        <f>Orders[[#This Row],[Total_Cost]]+Orders[[#This Row],[Total_Discount]]</f>
        <v>5</v>
      </c>
      <c r="P196" t="str">
        <f>_xlfn.XLOOKUP(Orders[[#This Row],[Product_ID]], Products[Product_ID], Products[Product_Name])</f>
        <v>Tonic Water</v>
      </c>
      <c r="Q196" t="str">
        <f>_xlfn.XLOOKUP(Orders[[#This Row],[Product_ID]], Products[Product_ID], Products[Category])</f>
        <v>Water</v>
      </c>
      <c r="R196" t="str">
        <f>_xlfn.XLOOKUP(Orders[[#This Row],[Customer_ID]], Customers[Customer_ID], Customers[County])</f>
        <v>Meath</v>
      </c>
      <c r="S196" t="str">
        <f>_xlfn.XLOOKUP(Orders[[#This Row],[Customer_ID]], Customers[Customer_ID], Customers[Customer_Type])</f>
        <v>Café</v>
      </c>
      <c r="T196" t="str">
        <f>_xlfn.XLOOKUP(Orders[[#This Row],[Customer_ID]], Customers[Customer_ID], Customers[Preferred_Channel])</f>
        <v>Phone</v>
      </c>
      <c r="U196" t="str">
        <f>_xlfn.XLOOKUP(Orders[[#This Row],[Product_ID]], Products[Product_ID], Products[Bottle_Size])</f>
        <v>1L</v>
      </c>
    </row>
    <row r="197" spans="1:21" ht="15.75" customHeight="1">
      <c r="A197" s="2" t="s">
        <v>602</v>
      </c>
      <c r="B197" s="2">
        <f>DAY(Orders[[#This Row],[Order_Date]])</f>
        <v>26</v>
      </c>
      <c r="C197" s="20">
        <v>46199</v>
      </c>
      <c r="D197" s="2" t="s">
        <v>93</v>
      </c>
      <c r="E197" s="2" t="s">
        <v>50</v>
      </c>
      <c r="F197" s="2">
        <v>26</v>
      </c>
      <c r="G197" s="22">
        <v>0</v>
      </c>
      <c r="H197" s="22" t="s">
        <v>61</v>
      </c>
      <c r="I197">
        <f>_xlfn.XLOOKUP(Orders[[#This Row],[Product_ID]],Products[Product_ID], Products[Unit_Price])</f>
        <v>1.6</v>
      </c>
      <c r="J197">
        <f>Orders[[#This Row],[Quantity]]*Orders[[#This Row],[Unit_Price]]</f>
        <v>41.6</v>
      </c>
      <c r="K197">
        <f>_xlfn.XLOOKUP(Orders[[#This Row],[Product_ID]], Products[Product_ID], Products[Cost_Price])</f>
        <v>0.85</v>
      </c>
      <c r="L197">
        <f>Orders[[#This Row],[Cost_Price]]*Orders[[#This Row],[Quantity]]</f>
        <v>22.099999999999998</v>
      </c>
      <c r="M197">
        <f>Orders[[#This Row],[Unit_Price]]*Orders[[#This Row],[Discount]]*Orders[[#This Row],[Quantity]]</f>
        <v>0</v>
      </c>
      <c r="N197" s="23">
        <f>Orders[[#This Row],[Gross_Sales]]-Orders[[#This Row],[Total_Cost]]-Orders[[#This Row],[Total_Discount]]</f>
        <v>19.500000000000004</v>
      </c>
      <c r="O197" s="23">
        <f>Orders[[#This Row],[Total_Cost]]+Orders[[#This Row],[Total_Discount]]</f>
        <v>22.099999999999998</v>
      </c>
      <c r="P197" t="str">
        <f>_xlfn.XLOOKUP(Orders[[#This Row],[Product_ID]], Products[Product_ID], Products[Product_Name])</f>
        <v>Orange Soda</v>
      </c>
      <c r="Q197" t="str">
        <f>_xlfn.XLOOKUP(Orders[[#This Row],[Product_ID]], Products[Product_ID], Products[Category])</f>
        <v>Soft Drink</v>
      </c>
      <c r="R197" t="str">
        <f>_xlfn.XLOOKUP(Orders[[#This Row],[Customer_ID]], Customers[Customer_ID], Customers[County])</f>
        <v>Meath</v>
      </c>
      <c r="S197" t="str">
        <f>_xlfn.XLOOKUP(Orders[[#This Row],[Customer_ID]], Customers[Customer_ID], Customers[Customer_Type])</f>
        <v>Restaurant</v>
      </c>
      <c r="T197" t="str">
        <f>_xlfn.XLOOKUP(Orders[[#This Row],[Customer_ID]], Customers[Customer_ID], Customers[Preferred_Channel])</f>
        <v>Online</v>
      </c>
      <c r="U197" t="str">
        <f>_xlfn.XLOOKUP(Orders[[#This Row],[Product_ID]], Products[Product_ID], Products[Bottle_Size])</f>
        <v>500ml</v>
      </c>
    </row>
    <row r="198" spans="1:21" ht="15.75" customHeight="1">
      <c r="A198" s="2" t="s">
        <v>603</v>
      </c>
      <c r="B198" s="2">
        <f>DAY(Orders[[#This Row],[Order_Date]])</f>
        <v>25</v>
      </c>
      <c r="C198" s="20">
        <v>46198</v>
      </c>
      <c r="D198" s="2" t="s">
        <v>93</v>
      </c>
      <c r="E198" s="2" t="s">
        <v>95</v>
      </c>
      <c r="F198" s="2">
        <v>23</v>
      </c>
      <c r="G198" s="22">
        <v>0</v>
      </c>
      <c r="H198" s="22" t="s">
        <v>61</v>
      </c>
      <c r="I198">
        <f>_xlfn.XLOOKUP(Orders[[#This Row],[Product_ID]],Products[Product_ID], Products[Unit_Price])</f>
        <v>2.5</v>
      </c>
      <c r="J198">
        <f>Orders[[#This Row],[Quantity]]*Orders[[#This Row],[Unit_Price]]</f>
        <v>57.5</v>
      </c>
      <c r="K198">
        <f>_xlfn.XLOOKUP(Orders[[#This Row],[Product_ID]], Products[Product_ID], Products[Cost_Price])</f>
        <v>1.4</v>
      </c>
      <c r="L198">
        <f>Orders[[#This Row],[Cost_Price]]*Orders[[#This Row],[Quantity]]</f>
        <v>32.199999999999996</v>
      </c>
      <c r="M198">
        <f>Orders[[#This Row],[Unit_Price]]*Orders[[#This Row],[Discount]]*Orders[[#This Row],[Quantity]]</f>
        <v>0</v>
      </c>
      <c r="N198" s="23">
        <f>Orders[[#This Row],[Gross_Sales]]-Orders[[#This Row],[Total_Cost]]-Orders[[#This Row],[Total_Discount]]</f>
        <v>25.300000000000004</v>
      </c>
      <c r="O198" s="23">
        <f>Orders[[#This Row],[Total_Cost]]+Orders[[#This Row],[Total_Discount]]</f>
        <v>32.199999999999996</v>
      </c>
      <c r="P198" t="str">
        <f>_xlfn.XLOOKUP(Orders[[#This Row],[Product_ID]], Products[Product_ID], Products[Product_Name])</f>
        <v>Energy Boost</v>
      </c>
      <c r="Q198" t="str">
        <f>_xlfn.XLOOKUP(Orders[[#This Row],[Product_ID]], Products[Product_ID], Products[Category])</f>
        <v>Energy Drink</v>
      </c>
      <c r="R198" t="str">
        <f>_xlfn.XLOOKUP(Orders[[#This Row],[Customer_ID]], Customers[Customer_ID], Customers[County])</f>
        <v>Meath</v>
      </c>
      <c r="S198" t="str">
        <f>_xlfn.XLOOKUP(Orders[[#This Row],[Customer_ID]], Customers[Customer_ID], Customers[Customer_Type])</f>
        <v>Restaurant</v>
      </c>
      <c r="T198" t="str">
        <f>_xlfn.XLOOKUP(Orders[[#This Row],[Customer_ID]], Customers[Customer_ID], Customers[Preferred_Channel])</f>
        <v>Online</v>
      </c>
      <c r="U198" t="str">
        <f>_xlfn.XLOOKUP(Orders[[#This Row],[Product_ID]], Products[Product_ID], Products[Bottle_Size])</f>
        <v>250ml</v>
      </c>
    </row>
    <row r="199" spans="1:21" ht="15.75" customHeight="1">
      <c r="A199" s="2" t="s">
        <v>604</v>
      </c>
      <c r="B199" s="2">
        <f>DAY(Orders[[#This Row],[Order_Date]])</f>
        <v>22</v>
      </c>
      <c r="C199" s="20">
        <v>46195</v>
      </c>
      <c r="D199" s="2" t="s">
        <v>12</v>
      </c>
      <c r="E199" s="2" t="s">
        <v>172</v>
      </c>
      <c r="F199" s="2">
        <v>12</v>
      </c>
      <c r="G199" s="22">
        <v>0</v>
      </c>
      <c r="H199" s="22" t="s">
        <v>61</v>
      </c>
      <c r="I199">
        <f>_xlfn.XLOOKUP(Orders[[#This Row],[Product_ID]],Products[Product_ID], Products[Unit_Price])</f>
        <v>1.6</v>
      </c>
      <c r="J199">
        <f>Orders[[#This Row],[Quantity]]*Orders[[#This Row],[Unit_Price]]</f>
        <v>19.200000000000003</v>
      </c>
      <c r="K199">
        <f>_xlfn.XLOOKUP(Orders[[#This Row],[Product_ID]], Products[Product_ID], Products[Cost_Price])</f>
        <v>0.85</v>
      </c>
      <c r="L199">
        <f>Orders[[#This Row],[Cost_Price]]*Orders[[#This Row],[Quantity]]</f>
        <v>10.199999999999999</v>
      </c>
      <c r="M199">
        <f>Orders[[#This Row],[Unit_Price]]*Orders[[#This Row],[Discount]]*Orders[[#This Row],[Quantity]]</f>
        <v>0</v>
      </c>
      <c r="N199" s="23">
        <f>Orders[[#This Row],[Gross_Sales]]-Orders[[#This Row],[Total_Cost]]-Orders[[#This Row],[Total_Discount]]</f>
        <v>9.0000000000000036</v>
      </c>
      <c r="O199" s="23">
        <f>Orders[[#This Row],[Total_Cost]]+Orders[[#This Row],[Total_Discount]]</f>
        <v>10.199999999999999</v>
      </c>
      <c r="P199" t="str">
        <f>_xlfn.XLOOKUP(Orders[[#This Row],[Product_ID]], Products[Product_ID], Products[Product_Name])</f>
        <v>Grape Soda</v>
      </c>
      <c r="Q199" t="str">
        <f>_xlfn.XLOOKUP(Orders[[#This Row],[Product_ID]], Products[Product_ID], Products[Category])</f>
        <v>Soft Drink</v>
      </c>
      <c r="R199" t="str">
        <f>_xlfn.XLOOKUP(Orders[[#This Row],[Customer_ID]], Customers[Customer_ID], Customers[County])</f>
        <v>Limerick</v>
      </c>
      <c r="S199" t="str">
        <f>_xlfn.XLOOKUP(Orders[[#This Row],[Customer_ID]], Customers[Customer_ID], Customers[Customer_Type])</f>
        <v>Café</v>
      </c>
      <c r="T199" t="str">
        <f>_xlfn.XLOOKUP(Orders[[#This Row],[Customer_ID]], Customers[Customer_ID], Customers[Preferred_Channel])</f>
        <v>Online</v>
      </c>
      <c r="U199" t="str">
        <f>_xlfn.XLOOKUP(Orders[[#This Row],[Product_ID]], Products[Product_ID], Products[Bottle_Size])</f>
        <v>330ml</v>
      </c>
    </row>
    <row r="200" spans="1:21" ht="15.75" customHeight="1">
      <c r="A200" s="2" t="s">
        <v>605</v>
      </c>
      <c r="B200" s="2">
        <f>DAY(Orders[[#This Row],[Order_Date]])</f>
        <v>25</v>
      </c>
      <c r="C200" s="20">
        <v>46198</v>
      </c>
      <c r="D200" s="2" t="s">
        <v>192</v>
      </c>
      <c r="E200" s="2" t="s">
        <v>28</v>
      </c>
      <c r="F200" s="2">
        <v>50</v>
      </c>
      <c r="G200" s="22">
        <v>0.05</v>
      </c>
      <c r="H200" s="22" t="s">
        <v>179</v>
      </c>
      <c r="I200">
        <f>_xlfn.XLOOKUP(Orders[[#This Row],[Product_ID]],Products[Product_ID], Products[Unit_Price])</f>
        <v>1.8</v>
      </c>
      <c r="J200">
        <f>Orders[[#This Row],[Quantity]]*Orders[[#This Row],[Unit_Price]]</f>
        <v>90</v>
      </c>
      <c r="K200">
        <f>_xlfn.XLOOKUP(Orders[[#This Row],[Product_ID]], Products[Product_ID], Products[Cost_Price])</f>
        <v>0.9</v>
      </c>
      <c r="L200">
        <f>Orders[[#This Row],[Cost_Price]]*Orders[[#This Row],[Quantity]]</f>
        <v>45</v>
      </c>
      <c r="M200">
        <f>Orders[[#This Row],[Unit_Price]]*Orders[[#This Row],[Discount]]*Orders[[#This Row],[Quantity]]</f>
        <v>4.5000000000000009</v>
      </c>
      <c r="N200" s="23">
        <f>Orders[[#This Row],[Gross_Sales]]-Orders[[#This Row],[Total_Cost]]-Orders[[#This Row],[Total_Discount]]</f>
        <v>40.5</v>
      </c>
      <c r="O200" s="23">
        <f>Orders[[#This Row],[Total_Cost]]+Orders[[#This Row],[Total_Discount]]</f>
        <v>49.5</v>
      </c>
      <c r="P200" t="str">
        <f>_xlfn.XLOOKUP(Orders[[#This Row],[Product_ID]], Products[Product_ID], Products[Product_Name])</f>
        <v>Sparkling Water</v>
      </c>
      <c r="Q200" t="str">
        <f>_xlfn.XLOOKUP(Orders[[#This Row],[Product_ID]], Products[Product_ID], Products[Category])</f>
        <v>Water</v>
      </c>
      <c r="R200" t="str">
        <f>_xlfn.XLOOKUP(Orders[[#This Row],[Customer_ID]], Customers[Customer_ID], Customers[County])</f>
        <v>Offaly</v>
      </c>
      <c r="S200" t="str">
        <f>_xlfn.XLOOKUP(Orders[[#This Row],[Customer_ID]], Customers[Customer_ID], Customers[Customer_Type])</f>
        <v>Wholesaler</v>
      </c>
      <c r="T200" t="str">
        <f>_xlfn.XLOOKUP(Orders[[#This Row],[Customer_ID]], Customers[Customer_ID], Customers[Preferred_Channel])</f>
        <v>Online</v>
      </c>
      <c r="U200" t="str">
        <f>_xlfn.XLOOKUP(Orders[[#This Row],[Product_ID]], Products[Product_ID], Products[Bottle_Size])</f>
        <v>1L</v>
      </c>
    </row>
    <row r="201" spans="1:21" ht="15.75" customHeight="1">
      <c r="A201" s="2" t="s">
        <v>607</v>
      </c>
      <c r="B201" s="2">
        <f>DAY(Orders[[#This Row],[Order_Date]])</f>
        <v>12</v>
      </c>
      <c r="C201" s="20">
        <v>46185</v>
      </c>
      <c r="D201" s="2" t="s">
        <v>257</v>
      </c>
      <c r="E201" s="2" t="s">
        <v>17</v>
      </c>
      <c r="F201" s="2">
        <v>19</v>
      </c>
      <c r="G201" s="22">
        <v>0.1</v>
      </c>
      <c r="H201" s="22" t="s">
        <v>49</v>
      </c>
      <c r="I201">
        <f>_xlfn.XLOOKUP(Orders[[#This Row],[Product_ID]],Products[Product_ID], Products[Unit_Price])</f>
        <v>1.2</v>
      </c>
      <c r="J201">
        <f>Orders[[#This Row],[Quantity]]*Orders[[#This Row],[Unit_Price]]</f>
        <v>22.8</v>
      </c>
      <c r="K201">
        <f>_xlfn.XLOOKUP(Orders[[#This Row],[Product_ID]], Products[Product_ID], Products[Cost_Price])</f>
        <v>0.6</v>
      </c>
      <c r="L201">
        <f>Orders[[#This Row],[Cost_Price]]*Orders[[#This Row],[Quantity]]</f>
        <v>11.4</v>
      </c>
      <c r="M201">
        <f>Orders[[#This Row],[Unit_Price]]*Orders[[#This Row],[Discount]]*Orders[[#This Row],[Quantity]]</f>
        <v>2.2799999999999998</v>
      </c>
      <c r="N201" s="23">
        <f>Orders[[#This Row],[Gross_Sales]]-Orders[[#This Row],[Total_Cost]]-Orders[[#This Row],[Total_Discount]]</f>
        <v>9.120000000000001</v>
      </c>
      <c r="O201" s="23">
        <f>Orders[[#This Row],[Total_Cost]]+Orders[[#This Row],[Total_Discount]]</f>
        <v>13.68</v>
      </c>
      <c r="P201" t="str">
        <f>_xlfn.XLOOKUP(Orders[[#This Row],[Product_ID]], Products[Product_ID], Products[Product_Name])</f>
        <v>Still Water</v>
      </c>
      <c r="Q201" t="str">
        <f>_xlfn.XLOOKUP(Orders[[#This Row],[Product_ID]], Products[Product_ID], Products[Category])</f>
        <v>Water</v>
      </c>
      <c r="R201" t="str">
        <f>_xlfn.XLOOKUP(Orders[[#This Row],[Customer_ID]], Customers[Customer_ID], Customers[County])</f>
        <v>Wexford</v>
      </c>
      <c r="S201" t="str">
        <f>_xlfn.XLOOKUP(Orders[[#This Row],[Customer_ID]], Customers[Customer_ID], Customers[Customer_Type])</f>
        <v>Café</v>
      </c>
      <c r="T201" t="str">
        <f>_xlfn.XLOOKUP(Orders[[#This Row],[Customer_ID]], Customers[Customer_ID], Customers[Preferred_Channel])</f>
        <v>Phone</v>
      </c>
      <c r="U201" t="str">
        <f>_xlfn.XLOOKUP(Orders[[#This Row],[Product_ID]], Products[Product_ID], Products[Bottle_Size])</f>
        <v>500ml</v>
      </c>
    </row>
    <row r="202" spans="1:21" ht="15.75" customHeight="1">
      <c r="A202" s="2" t="s">
        <v>608</v>
      </c>
      <c r="B202" s="2">
        <f>DAY(Orders[[#This Row],[Order_Date]])</f>
        <v>30</v>
      </c>
      <c r="C202" s="20">
        <v>46203</v>
      </c>
      <c r="D202" s="2" t="s">
        <v>371</v>
      </c>
      <c r="E202" s="2" t="s">
        <v>170</v>
      </c>
      <c r="F202" s="2">
        <v>22</v>
      </c>
      <c r="G202" s="22">
        <v>0</v>
      </c>
      <c r="H202" s="22" t="s">
        <v>49</v>
      </c>
      <c r="I202">
        <f>_xlfn.XLOOKUP(Orders[[#This Row],[Product_ID]],Products[Product_ID], Products[Unit_Price])</f>
        <v>1.9</v>
      </c>
      <c r="J202">
        <f>Orders[[#This Row],[Quantity]]*Orders[[#This Row],[Unit_Price]]</f>
        <v>41.8</v>
      </c>
      <c r="K202">
        <f>_xlfn.XLOOKUP(Orders[[#This Row],[Product_ID]], Products[Product_ID], Products[Cost_Price])</f>
        <v>0.95</v>
      </c>
      <c r="L202">
        <f>Orders[[#This Row],[Cost_Price]]*Orders[[#This Row],[Quantity]]</f>
        <v>20.9</v>
      </c>
      <c r="M202">
        <f>Orders[[#This Row],[Unit_Price]]*Orders[[#This Row],[Discount]]*Orders[[#This Row],[Quantity]]</f>
        <v>0</v>
      </c>
      <c r="N202" s="23">
        <f>Orders[[#This Row],[Gross_Sales]]-Orders[[#This Row],[Total_Cost]]-Orders[[#This Row],[Total_Discount]]</f>
        <v>20.9</v>
      </c>
      <c r="O202" s="23">
        <f>Orders[[#This Row],[Total_Cost]]+Orders[[#This Row],[Total_Discount]]</f>
        <v>20.9</v>
      </c>
      <c r="P202" t="str">
        <f>_xlfn.XLOOKUP(Orders[[#This Row],[Product_ID]], Products[Product_ID], Products[Product_Name])</f>
        <v>Vitamin Water</v>
      </c>
      <c r="Q202" t="str">
        <f>_xlfn.XLOOKUP(Orders[[#This Row],[Product_ID]], Products[Product_ID], Products[Category])</f>
        <v>Water</v>
      </c>
      <c r="R202" t="str">
        <f>_xlfn.XLOOKUP(Orders[[#This Row],[Customer_ID]], Customers[Customer_ID], Customers[County])</f>
        <v>Waterford</v>
      </c>
      <c r="S202" t="str">
        <f>_xlfn.XLOOKUP(Orders[[#This Row],[Customer_ID]], Customers[Customer_ID], Customers[Customer_Type])</f>
        <v>Hotel</v>
      </c>
      <c r="T202" t="str">
        <f>_xlfn.XLOOKUP(Orders[[#This Row],[Customer_ID]], Customers[Customer_ID], Customers[Preferred_Channel])</f>
        <v>Email</v>
      </c>
      <c r="U202" t="str">
        <f>_xlfn.XLOOKUP(Orders[[#This Row],[Product_ID]], Products[Product_ID], Products[Bottle_Size])</f>
        <v>500ml</v>
      </c>
    </row>
    <row r="203" spans="1:21" ht="15.75" customHeight="1">
      <c r="A203" s="2" t="s">
        <v>609</v>
      </c>
      <c r="B203" s="2">
        <f>DAY(Orders[[#This Row],[Order_Date]])</f>
        <v>17</v>
      </c>
      <c r="C203" s="20">
        <v>46190</v>
      </c>
      <c r="D203" s="2" t="s">
        <v>306</v>
      </c>
      <c r="E203" s="2" t="s">
        <v>17</v>
      </c>
      <c r="F203" s="2">
        <v>50</v>
      </c>
      <c r="G203" s="22">
        <v>0</v>
      </c>
      <c r="H203" s="22" t="s">
        <v>61</v>
      </c>
      <c r="I203">
        <f>_xlfn.XLOOKUP(Orders[[#This Row],[Product_ID]],Products[Product_ID], Products[Unit_Price])</f>
        <v>1.2</v>
      </c>
      <c r="J203">
        <f>Orders[[#This Row],[Quantity]]*Orders[[#This Row],[Unit_Price]]</f>
        <v>60</v>
      </c>
      <c r="K203">
        <f>_xlfn.XLOOKUP(Orders[[#This Row],[Product_ID]], Products[Product_ID], Products[Cost_Price])</f>
        <v>0.6</v>
      </c>
      <c r="L203">
        <f>Orders[[#This Row],[Cost_Price]]*Orders[[#This Row],[Quantity]]</f>
        <v>30</v>
      </c>
      <c r="M203">
        <f>Orders[[#This Row],[Unit_Price]]*Orders[[#This Row],[Discount]]*Orders[[#This Row],[Quantity]]</f>
        <v>0</v>
      </c>
      <c r="N203" s="23">
        <f>Orders[[#This Row],[Gross_Sales]]-Orders[[#This Row],[Total_Cost]]-Orders[[#This Row],[Total_Discount]]</f>
        <v>30</v>
      </c>
      <c r="O203" s="23">
        <f>Orders[[#This Row],[Total_Cost]]+Orders[[#This Row],[Total_Discount]]</f>
        <v>30</v>
      </c>
      <c r="P203" t="str">
        <f>_xlfn.XLOOKUP(Orders[[#This Row],[Product_ID]], Products[Product_ID], Products[Product_Name])</f>
        <v>Still Water</v>
      </c>
      <c r="Q203" t="str">
        <f>_xlfn.XLOOKUP(Orders[[#This Row],[Product_ID]], Products[Product_ID], Products[Category])</f>
        <v>Water</v>
      </c>
      <c r="R203" t="str">
        <f>_xlfn.XLOOKUP(Orders[[#This Row],[Customer_ID]], Customers[Customer_ID], Customers[County])</f>
        <v>Wexford</v>
      </c>
      <c r="S203" t="str">
        <f>_xlfn.XLOOKUP(Orders[[#This Row],[Customer_ID]], Customers[Customer_ID], Customers[Customer_Type])</f>
        <v>Hotel</v>
      </c>
      <c r="T203" t="str">
        <f>_xlfn.XLOOKUP(Orders[[#This Row],[Customer_ID]], Customers[Customer_ID], Customers[Preferred_Channel])</f>
        <v>Online</v>
      </c>
      <c r="U203" t="str">
        <f>_xlfn.XLOOKUP(Orders[[#This Row],[Product_ID]], Products[Product_ID], Products[Bottle_Size])</f>
        <v>500ml</v>
      </c>
    </row>
    <row r="204" spans="1:21" ht="15.75" customHeight="1">
      <c r="A204" s="2" t="s">
        <v>610</v>
      </c>
      <c r="B204" s="2">
        <f>DAY(Orders[[#This Row],[Order_Date]])</f>
        <v>20</v>
      </c>
      <c r="C204" s="20">
        <v>46193</v>
      </c>
      <c r="D204" s="2" t="s">
        <v>114</v>
      </c>
      <c r="E204" s="2" t="s">
        <v>108</v>
      </c>
      <c r="F204" s="2">
        <v>27</v>
      </c>
      <c r="G204" s="22">
        <v>0</v>
      </c>
      <c r="H204" s="22" t="s">
        <v>61</v>
      </c>
      <c r="I204">
        <f>_xlfn.XLOOKUP(Orders[[#This Row],[Product_ID]],Products[Product_ID], Products[Unit_Price])</f>
        <v>2.1</v>
      </c>
      <c r="J204">
        <f>Orders[[#This Row],[Quantity]]*Orders[[#This Row],[Unit_Price]]</f>
        <v>56.7</v>
      </c>
      <c r="K204">
        <f>_xlfn.XLOOKUP(Orders[[#This Row],[Product_ID]], Products[Product_ID], Products[Cost_Price])</f>
        <v>1.2</v>
      </c>
      <c r="L204">
        <f>Orders[[#This Row],[Cost_Price]]*Orders[[#This Row],[Quantity]]</f>
        <v>32.4</v>
      </c>
      <c r="M204">
        <f>Orders[[#This Row],[Unit_Price]]*Orders[[#This Row],[Discount]]*Orders[[#This Row],[Quantity]]</f>
        <v>0</v>
      </c>
      <c r="N204" s="23">
        <f>Orders[[#This Row],[Gross_Sales]]-Orders[[#This Row],[Total_Cost]]-Orders[[#This Row],[Total_Discount]]</f>
        <v>24.300000000000004</v>
      </c>
      <c r="O204" s="23">
        <f>Orders[[#This Row],[Total_Cost]]+Orders[[#This Row],[Total_Discount]]</f>
        <v>32.4</v>
      </c>
      <c r="P204" t="str">
        <f>_xlfn.XLOOKUP(Orders[[#This Row],[Product_ID]], Products[Product_ID], Products[Product_Name])</f>
        <v>Berry Splash</v>
      </c>
      <c r="Q204" t="str">
        <f>_xlfn.XLOOKUP(Orders[[#This Row],[Product_ID]], Products[Product_ID], Products[Category])</f>
        <v>Juice</v>
      </c>
      <c r="R204" t="str">
        <f>_xlfn.XLOOKUP(Orders[[#This Row],[Customer_ID]], Customers[Customer_ID], Customers[County])</f>
        <v>Clare</v>
      </c>
      <c r="S204" t="str">
        <f>_xlfn.XLOOKUP(Orders[[#This Row],[Customer_ID]], Customers[Customer_ID], Customers[Customer_Type])</f>
        <v>Café</v>
      </c>
      <c r="T204" t="str">
        <f>_xlfn.XLOOKUP(Orders[[#This Row],[Customer_ID]], Customers[Customer_ID], Customers[Preferred_Channel])</f>
        <v>Phone</v>
      </c>
      <c r="U204" t="str">
        <f>_xlfn.XLOOKUP(Orders[[#This Row],[Product_ID]], Products[Product_ID], Products[Bottle_Size])</f>
        <v>500ml</v>
      </c>
    </row>
    <row r="205" spans="1:21" ht="15.75" customHeight="1">
      <c r="A205" s="2" t="s">
        <v>611</v>
      </c>
      <c r="B205" s="2">
        <f>DAY(Orders[[#This Row],[Order_Date]])</f>
        <v>6</v>
      </c>
      <c r="C205" s="20">
        <v>46179</v>
      </c>
      <c r="D205" s="2" t="s">
        <v>362</v>
      </c>
      <c r="E205" s="2" t="s">
        <v>95</v>
      </c>
      <c r="F205" s="2">
        <v>44</v>
      </c>
      <c r="G205" s="22">
        <v>0</v>
      </c>
      <c r="H205" s="22" t="s">
        <v>49</v>
      </c>
      <c r="I205">
        <f>_xlfn.XLOOKUP(Orders[[#This Row],[Product_ID]],Products[Product_ID], Products[Unit_Price])</f>
        <v>2.5</v>
      </c>
      <c r="J205">
        <f>Orders[[#This Row],[Quantity]]*Orders[[#This Row],[Unit_Price]]</f>
        <v>110</v>
      </c>
      <c r="K205">
        <f>_xlfn.XLOOKUP(Orders[[#This Row],[Product_ID]], Products[Product_ID], Products[Cost_Price])</f>
        <v>1.4</v>
      </c>
      <c r="L205">
        <f>Orders[[#This Row],[Cost_Price]]*Orders[[#This Row],[Quantity]]</f>
        <v>61.599999999999994</v>
      </c>
      <c r="M205">
        <f>Orders[[#This Row],[Unit_Price]]*Orders[[#This Row],[Discount]]*Orders[[#This Row],[Quantity]]</f>
        <v>0</v>
      </c>
      <c r="N205" s="23">
        <f>Orders[[#This Row],[Gross_Sales]]-Orders[[#This Row],[Total_Cost]]-Orders[[#This Row],[Total_Discount]]</f>
        <v>48.400000000000006</v>
      </c>
      <c r="O205" s="23">
        <f>Orders[[#This Row],[Total_Cost]]+Orders[[#This Row],[Total_Discount]]</f>
        <v>61.599999999999994</v>
      </c>
      <c r="P205" t="str">
        <f>_xlfn.XLOOKUP(Orders[[#This Row],[Product_ID]], Products[Product_ID], Products[Product_Name])</f>
        <v>Energy Boost</v>
      </c>
      <c r="Q205" t="str">
        <f>_xlfn.XLOOKUP(Orders[[#This Row],[Product_ID]], Products[Product_ID], Products[Category])</f>
        <v>Energy Drink</v>
      </c>
      <c r="R205" t="str">
        <f>_xlfn.XLOOKUP(Orders[[#This Row],[Customer_ID]], Customers[Customer_ID], Customers[County])</f>
        <v>Louth</v>
      </c>
      <c r="S205" t="str">
        <f>_xlfn.XLOOKUP(Orders[[#This Row],[Customer_ID]], Customers[Customer_ID], Customers[Customer_Type])</f>
        <v>Supermarket</v>
      </c>
      <c r="T205" t="str">
        <f>_xlfn.XLOOKUP(Orders[[#This Row],[Customer_ID]], Customers[Customer_ID], Customers[Preferred_Channel])</f>
        <v>Sales Rep</v>
      </c>
      <c r="U205" t="str">
        <f>_xlfn.XLOOKUP(Orders[[#This Row],[Product_ID]], Products[Product_ID], Products[Bottle_Size])</f>
        <v>250ml</v>
      </c>
    </row>
    <row r="206" spans="1:21" ht="15.75" customHeight="1">
      <c r="A206" s="2" t="s">
        <v>612</v>
      </c>
      <c r="B206" s="2">
        <f>DAY(Orders[[#This Row],[Order_Date]])</f>
        <v>21</v>
      </c>
      <c r="C206" s="20">
        <v>46194</v>
      </c>
      <c r="D206" s="2" t="s">
        <v>65</v>
      </c>
      <c r="E206" s="2" t="s">
        <v>108</v>
      </c>
      <c r="F206" s="2">
        <v>21</v>
      </c>
      <c r="G206" s="22">
        <v>0.1</v>
      </c>
      <c r="H206" s="22" t="s">
        <v>61</v>
      </c>
      <c r="I206">
        <f>_xlfn.XLOOKUP(Orders[[#This Row],[Product_ID]],Products[Product_ID], Products[Unit_Price])</f>
        <v>2.1</v>
      </c>
      <c r="J206">
        <f>Orders[[#This Row],[Quantity]]*Orders[[#This Row],[Unit_Price]]</f>
        <v>44.1</v>
      </c>
      <c r="K206">
        <f>_xlfn.XLOOKUP(Orders[[#This Row],[Product_ID]], Products[Product_ID], Products[Cost_Price])</f>
        <v>1.2</v>
      </c>
      <c r="L206">
        <f>Orders[[#This Row],[Cost_Price]]*Orders[[#This Row],[Quantity]]</f>
        <v>25.2</v>
      </c>
      <c r="M206">
        <f>Orders[[#This Row],[Unit_Price]]*Orders[[#This Row],[Discount]]*Orders[[#This Row],[Quantity]]</f>
        <v>4.41</v>
      </c>
      <c r="N206" s="23">
        <f>Orders[[#This Row],[Gross_Sales]]-Orders[[#This Row],[Total_Cost]]-Orders[[#This Row],[Total_Discount]]</f>
        <v>14.490000000000002</v>
      </c>
      <c r="O206" s="23">
        <f>Orders[[#This Row],[Total_Cost]]+Orders[[#This Row],[Total_Discount]]</f>
        <v>29.61</v>
      </c>
      <c r="P206" t="str">
        <f>_xlfn.XLOOKUP(Orders[[#This Row],[Product_ID]], Products[Product_ID], Products[Product_Name])</f>
        <v>Berry Splash</v>
      </c>
      <c r="Q206" t="str">
        <f>_xlfn.XLOOKUP(Orders[[#This Row],[Product_ID]], Products[Product_ID], Products[Category])</f>
        <v>Juice</v>
      </c>
      <c r="R206" t="str">
        <f>_xlfn.XLOOKUP(Orders[[#This Row],[Customer_ID]], Customers[Customer_ID], Customers[County])</f>
        <v>Waterford</v>
      </c>
      <c r="S206" t="str">
        <f>_xlfn.XLOOKUP(Orders[[#This Row],[Customer_ID]], Customers[Customer_ID], Customers[Customer_Type])</f>
        <v>Restaurant</v>
      </c>
      <c r="T206" t="str">
        <f>_xlfn.XLOOKUP(Orders[[#This Row],[Customer_ID]], Customers[Customer_ID], Customers[Preferred_Channel])</f>
        <v>Phone</v>
      </c>
      <c r="U206" t="str">
        <f>_xlfn.XLOOKUP(Orders[[#This Row],[Product_ID]], Products[Product_ID], Products[Bottle_Size])</f>
        <v>500ml</v>
      </c>
    </row>
    <row r="207" spans="1:21" ht="15.75" customHeight="1">
      <c r="A207" s="2" t="s">
        <v>613</v>
      </c>
      <c r="B207" s="2">
        <f>DAY(Orders[[#This Row],[Order_Date]])</f>
        <v>24</v>
      </c>
      <c r="C207" s="20">
        <v>46197</v>
      </c>
      <c r="D207" s="2" t="s">
        <v>246</v>
      </c>
      <c r="E207" s="2" t="s">
        <v>17</v>
      </c>
      <c r="F207" s="2">
        <v>23</v>
      </c>
      <c r="G207" s="22">
        <v>0</v>
      </c>
      <c r="H207" s="22" t="s">
        <v>61</v>
      </c>
      <c r="I207">
        <f>_xlfn.XLOOKUP(Orders[[#This Row],[Product_ID]],Products[Product_ID], Products[Unit_Price])</f>
        <v>1.2</v>
      </c>
      <c r="J207">
        <f>Orders[[#This Row],[Quantity]]*Orders[[#This Row],[Unit_Price]]</f>
        <v>27.599999999999998</v>
      </c>
      <c r="K207">
        <f>_xlfn.XLOOKUP(Orders[[#This Row],[Product_ID]], Products[Product_ID], Products[Cost_Price])</f>
        <v>0.6</v>
      </c>
      <c r="L207">
        <f>Orders[[#This Row],[Cost_Price]]*Orders[[#This Row],[Quantity]]</f>
        <v>13.799999999999999</v>
      </c>
      <c r="M207">
        <f>Orders[[#This Row],[Unit_Price]]*Orders[[#This Row],[Discount]]*Orders[[#This Row],[Quantity]]</f>
        <v>0</v>
      </c>
      <c r="N207" s="23">
        <f>Orders[[#This Row],[Gross_Sales]]-Orders[[#This Row],[Total_Cost]]-Orders[[#This Row],[Total_Discount]]</f>
        <v>13.799999999999999</v>
      </c>
      <c r="O207" s="23">
        <f>Orders[[#This Row],[Total_Cost]]+Orders[[#This Row],[Total_Discount]]</f>
        <v>13.799999999999999</v>
      </c>
      <c r="P207" t="str">
        <f>_xlfn.XLOOKUP(Orders[[#This Row],[Product_ID]], Products[Product_ID], Products[Product_Name])</f>
        <v>Still Water</v>
      </c>
      <c r="Q207" t="str">
        <f>_xlfn.XLOOKUP(Orders[[#This Row],[Product_ID]], Products[Product_ID], Products[Category])</f>
        <v>Water</v>
      </c>
      <c r="R207" t="str">
        <f>_xlfn.XLOOKUP(Orders[[#This Row],[Customer_ID]], Customers[Customer_ID], Customers[County])</f>
        <v>Wexford</v>
      </c>
      <c r="S207" t="str">
        <f>_xlfn.XLOOKUP(Orders[[#This Row],[Customer_ID]], Customers[Customer_ID], Customers[Customer_Type])</f>
        <v>Retailer</v>
      </c>
      <c r="T207" t="str">
        <f>_xlfn.XLOOKUP(Orders[[#This Row],[Customer_ID]], Customers[Customer_ID], Customers[Preferred_Channel])</f>
        <v>Phone</v>
      </c>
      <c r="U207" t="str">
        <f>_xlfn.XLOOKUP(Orders[[#This Row],[Product_ID]], Products[Product_ID], Products[Bottle_Size])</f>
        <v>500ml</v>
      </c>
    </row>
    <row r="208" spans="1:21" ht="15.75" customHeight="1">
      <c r="A208" s="2" t="s">
        <v>614</v>
      </c>
      <c r="B208" s="2">
        <f>DAY(Orders[[#This Row],[Order_Date]])</f>
        <v>12</v>
      </c>
      <c r="C208" s="20">
        <v>46185</v>
      </c>
      <c r="D208" s="2" t="s">
        <v>261</v>
      </c>
      <c r="E208" s="2" t="s">
        <v>151</v>
      </c>
      <c r="F208" s="2">
        <v>38</v>
      </c>
      <c r="G208" s="22">
        <v>0.05</v>
      </c>
      <c r="H208" s="22" t="s">
        <v>61</v>
      </c>
      <c r="I208">
        <f>_xlfn.XLOOKUP(Orders[[#This Row],[Product_ID]],Products[Product_ID], Products[Unit_Price])</f>
        <v>1.5</v>
      </c>
      <c r="J208">
        <f>Orders[[#This Row],[Quantity]]*Orders[[#This Row],[Unit_Price]]</f>
        <v>57</v>
      </c>
      <c r="K208">
        <f>_xlfn.XLOOKUP(Orders[[#This Row],[Product_ID]], Products[Product_ID], Products[Cost_Price])</f>
        <v>0.8</v>
      </c>
      <c r="L208">
        <f>Orders[[#This Row],[Cost_Price]]*Orders[[#This Row],[Quantity]]</f>
        <v>30.400000000000002</v>
      </c>
      <c r="M208">
        <f>Orders[[#This Row],[Unit_Price]]*Orders[[#This Row],[Discount]]*Orders[[#This Row],[Quantity]]</f>
        <v>2.8500000000000005</v>
      </c>
      <c r="N208" s="23">
        <f>Orders[[#This Row],[Gross_Sales]]-Orders[[#This Row],[Total_Cost]]-Orders[[#This Row],[Total_Discount]]</f>
        <v>23.749999999999996</v>
      </c>
      <c r="O208" s="23">
        <f>Orders[[#This Row],[Total_Cost]]+Orders[[#This Row],[Total_Discount]]</f>
        <v>33.25</v>
      </c>
      <c r="P208" t="str">
        <f>_xlfn.XLOOKUP(Orders[[#This Row],[Product_ID]], Products[Product_ID], Products[Product_Name])</f>
        <v>Kids Juice</v>
      </c>
      <c r="Q208" t="str">
        <f>_xlfn.XLOOKUP(Orders[[#This Row],[Product_ID]], Products[Product_ID], Products[Category])</f>
        <v>Juice</v>
      </c>
      <c r="R208" t="str">
        <f>_xlfn.XLOOKUP(Orders[[#This Row],[Customer_ID]], Customers[Customer_ID], Customers[County])</f>
        <v>Sligo</v>
      </c>
      <c r="S208" t="str">
        <f>_xlfn.XLOOKUP(Orders[[#This Row],[Customer_ID]], Customers[Customer_ID], Customers[Customer_Type])</f>
        <v>Hotel</v>
      </c>
      <c r="T208" t="str">
        <f>_xlfn.XLOOKUP(Orders[[#This Row],[Customer_ID]], Customers[Customer_ID], Customers[Preferred_Channel])</f>
        <v>Distributor</v>
      </c>
      <c r="U208" t="str">
        <f>_xlfn.XLOOKUP(Orders[[#This Row],[Product_ID]], Products[Product_ID], Products[Bottle_Size])</f>
        <v>250ml</v>
      </c>
    </row>
    <row r="209" spans="1:21" ht="15.75" customHeight="1">
      <c r="A209" s="2" t="s">
        <v>615</v>
      </c>
      <c r="B209" s="2">
        <f>DAY(Orders[[#This Row],[Order_Date]])</f>
        <v>24</v>
      </c>
      <c r="C209" s="20">
        <v>46197</v>
      </c>
      <c r="D209" s="2" t="s">
        <v>352</v>
      </c>
      <c r="E209" s="2" t="s">
        <v>69</v>
      </c>
      <c r="F209" s="2">
        <v>46</v>
      </c>
      <c r="G209" s="22">
        <v>0</v>
      </c>
      <c r="H209" s="22" t="s">
        <v>49</v>
      </c>
      <c r="I209">
        <f>_xlfn.XLOOKUP(Orders[[#This Row],[Product_ID]],Products[Product_ID], Products[Unit_Price])</f>
        <v>2</v>
      </c>
      <c r="J209">
        <f>Orders[[#This Row],[Quantity]]*Orders[[#This Row],[Unit_Price]]</f>
        <v>92</v>
      </c>
      <c r="K209">
        <f>_xlfn.XLOOKUP(Orders[[#This Row],[Product_ID]], Products[Product_ID], Products[Cost_Price])</f>
        <v>1.1000000000000001</v>
      </c>
      <c r="L209">
        <f>Orders[[#This Row],[Cost_Price]]*Orders[[#This Row],[Quantity]]</f>
        <v>50.6</v>
      </c>
      <c r="M209">
        <f>Orders[[#This Row],[Unit_Price]]*Orders[[#This Row],[Discount]]*Orders[[#This Row],[Quantity]]</f>
        <v>0</v>
      </c>
      <c r="N209" s="23">
        <f>Orders[[#This Row],[Gross_Sales]]-Orders[[#This Row],[Total_Cost]]-Orders[[#This Row],[Total_Discount]]</f>
        <v>41.4</v>
      </c>
      <c r="O209" s="23">
        <f>Orders[[#This Row],[Total_Cost]]+Orders[[#This Row],[Total_Discount]]</f>
        <v>50.6</v>
      </c>
      <c r="P209" t="str">
        <f>_xlfn.XLOOKUP(Orders[[#This Row],[Product_ID]], Products[Product_ID], Products[Product_Name])</f>
        <v>Apple Juice</v>
      </c>
      <c r="Q209" t="str">
        <f>_xlfn.XLOOKUP(Orders[[#This Row],[Product_ID]], Products[Product_ID], Products[Category])</f>
        <v>Juice</v>
      </c>
      <c r="R209" t="str">
        <f>_xlfn.XLOOKUP(Orders[[#This Row],[Customer_ID]], Customers[Customer_ID], Customers[County])</f>
        <v>Offaly</v>
      </c>
      <c r="S209" t="str">
        <f>_xlfn.XLOOKUP(Orders[[#This Row],[Customer_ID]], Customers[Customer_ID], Customers[Customer_Type])</f>
        <v>Café</v>
      </c>
      <c r="T209" t="str">
        <f>_xlfn.XLOOKUP(Orders[[#This Row],[Customer_ID]], Customers[Customer_ID], Customers[Preferred_Channel])</f>
        <v>Distributor</v>
      </c>
      <c r="U209" t="str">
        <f>_xlfn.XLOOKUP(Orders[[#This Row],[Product_ID]], Products[Product_ID], Products[Bottle_Size])</f>
        <v>1L</v>
      </c>
    </row>
    <row r="210" spans="1:21" ht="15.75" customHeight="1">
      <c r="A210" s="2" t="s">
        <v>616</v>
      </c>
      <c r="B210" s="2">
        <f>DAY(Orders[[#This Row],[Order_Date]])</f>
        <v>29</v>
      </c>
      <c r="C210" s="20">
        <v>46202</v>
      </c>
      <c r="D210" s="2" t="s">
        <v>371</v>
      </c>
      <c r="E210" s="2" t="s">
        <v>57</v>
      </c>
      <c r="F210" s="2">
        <v>39</v>
      </c>
      <c r="G210" s="22">
        <v>0</v>
      </c>
      <c r="H210" s="22" t="s">
        <v>61</v>
      </c>
      <c r="I210">
        <f>_xlfn.XLOOKUP(Orders[[#This Row],[Product_ID]],Products[Product_ID], Products[Unit_Price])</f>
        <v>2</v>
      </c>
      <c r="J210">
        <f>Orders[[#This Row],[Quantity]]*Orders[[#This Row],[Unit_Price]]</f>
        <v>78</v>
      </c>
      <c r="K210">
        <f>_xlfn.XLOOKUP(Orders[[#This Row],[Product_ID]], Products[Product_ID], Products[Cost_Price])</f>
        <v>1</v>
      </c>
      <c r="L210">
        <f>Orders[[#This Row],[Cost_Price]]*Orders[[#This Row],[Quantity]]</f>
        <v>39</v>
      </c>
      <c r="M210">
        <f>Orders[[#This Row],[Unit_Price]]*Orders[[#This Row],[Discount]]*Orders[[#This Row],[Quantity]]</f>
        <v>0</v>
      </c>
      <c r="N210" s="23">
        <f>Orders[[#This Row],[Gross_Sales]]-Orders[[#This Row],[Total_Cost]]-Orders[[#This Row],[Total_Discount]]</f>
        <v>39</v>
      </c>
      <c r="O210" s="23">
        <f>Orders[[#This Row],[Total_Cost]]+Orders[[#This Row],[Total_Discount]]</f>
        <v>39</v>
      </c>
      <c r="P210" t="str">
        <f>_xlfn.XLOOKUP(Orders[[#This Row],[Product_ID]], Products[Product_ID], Products[Product_Name])</f>
        <v xml:space="preserve">Mineral Water
</v>
      </c>
      <c r="Q210" t="str">
        <f>_xlfn.XLOOKUP(Orders[[#This Row],[Product_ID]], Products[Product_ID], Products[Category])</f>
        <v>Water</v>
      </c>
      <c r="R210" t="str">
        <f>_xlfn.XLOOKUP(Orders[[#This Row],[Customer_ID]], Customers[Customer_ID], Customers[County])</f>
        <v>Waterford</v>
      </c>
      <c r="S210" t="str">
        <f>_xlfn.XLOOKUP(Orders[[#This Row],[Customer_ID]], Customers[Customer_ID], Customers[Customer_Type])</f>
        <v>Hotel</v>
      </c>
      <c r="T210" t="str">
        <f>_xlfn.XLOOKUP(Orders[[#This Row],[Customer_ID]], Customers[Customer_ID], Customers[Preferred_Channel])</f>
        <v>Email</v>
      </c>
      <c r="U210" t="str">
        <f>_xlfn.XLOOKUP(Orders[[#This Row],[Product_ID]], Products[Product_ID], Products[Bottle_Size])</f>
        <v>1.5L</v>
      </c>
    </row>
    <row r="211" spans="1:21" ht="15.75" customHeight="1">
      <c r="A211" s="2" t="s">
        <v>617</v>
      </c>
      <c r="B211" s="2">
        <f>DAY(Orders[[#This Row],[Order_Date]])</f>
        <v>25</v>
      </c>
      <c r="C211" s="20">
        <v>46198</v>
      </c>
      <c r="D211" s="2" t="s">
        <v>246</v>
      </c>
      <c r="E211" s="2" t="s">
        <v>95</v>
      </c>
      <c r="F211" s="2">
        <v>18</v>
      </c>
      <c r="G211" s="22">
        <v>0</v>
      </c>
      <c r="H211" s="22" t="s">
        <v>61</v>
      </c>
      <c r="I211">
        <f>_xlfn.XLOOKUP(Orders[[#This Row],[Product_ID]],Products[Product_ID], Products[Unit_Price])</f>
        <v>2.5</v>
      </c>
      <c r="J211">
        <f>Orders[[#This Row],[Quantity]]*Orders[[#This Row],[Unit_Price]]</f>
        <v>45</v>
      </c>
      <c r="K211">
        <f>_xlfn.XLOOKUP(Orders[[#This Row],[Product_ID]], Products[Product_ID], Products[Cost_Price])</f>
        <v>1.4</v>
      </c>
      <c r="L211">
        <f>Orders[[#This Row],[Cost_Price]]*Orders[[#This Row],[Quantity]]</f>
        <v>25.2</v>
      </c>
      <c r="M211">
        <f>Orders[[#This Row],[Unit_Price]]*Orders[[#This Row],[Discount]]*Orders[[#This Row],[Quantity]]</f>
        <v>0</v>
      </c>
      <c r="N211" s="23">
        <f>Orders[[#This Row],[Gross_Sales]]-Orders[[#This Row],[Total_Cost]]-Orders[[#This Row],[Total_Discount]]</f>
        <v>19.8</v>
      </c>
      <c r="O211" s="23">
        <f>Orders[[#This Row],[Total_Cost]]+Orders[[#This Row],[Total_Discount]]</f>
        <v>25.2</v>
      </c>
      <c r="P211" t="str">
        <f>_xlfn.XLOOKUP(Orders[[#This Row],[Product_ID]], Products[Product_ID], Products[Product_Name])</f>
        <v>Energy Boost</v>
      </c>
      <c r="Q211" t="str">
        <f>_xlfn.XLOOKUP(Orders[[#This Row],[Product_ID]], Products[Product_ID], Products[Category])</f>
        <v>Energy Drink</v>
      </c>
      <c r="R211" t="str">
        <f>_xlfn.XLOOKUP(Orders[[#This Row],[Customer_ID]], Customers[Customer_ID], Customers[County])</f>
        <v>Wexford</v>
      </c>
      <c r="S211" t="str">
        <f>_xlfn.XLOOKUP(Orders[[#This Row],[Customer_ID]], Customers[Customer_ID], Customers[Customer_Type])</f>
        <v>Retailer</v>
      </c>
      <c r="T211" t="str">
        <f>_xlfn.XLOOKUP(Orders[[#This Row],[Customer_ID]], Customers[Customer_ID], Customers[Preferred_Channel])</f>
        <v>Phone</v>
      </c>
      <c r="U211" t="str">
        <f>_xlfn.XLOOKUP(Orders[[#This Row],[Product_ID]], Products[Product_ID], Products[Bottle_Size])</f>
        <v>250ml</v>
      </c>
    </row>
    <row r="212" spans="1:21" ht="15.75" customHeight="1">
      <c r="A212" s="2" t="s">
        <v>618</v>
      </c>
      <c r="B212" s="2">
        <f>DAY(Orders[[#This Row],[Order_Date]])</f>
        <v>18</v>
      </c>
      <c r="C212" s="20">
        <v>46191</v>
      </c>
      <c r="D212" s="2" t="s">
        <v>133</v>
      </c>
      <c r="E212" s="2" t="s">
        <v>134</v>
      </c>
      <c r="F212" s="2">
        <v>34</v>
      </c>
      <c r="G212" s="22">
        <v>0</v>
      </c>
      <c r="H212" s="22" t="s">
        <v>61</v>
      </c>
      <c r="I212">
        <f>_xlfn.XLOOKUP(Orders[[#This Row],[Product_ID]],Products[Product_ID], Products[Unit_Price])</f>
        <v>1.8</v>
      </c>
      <c r="J212">
        <f>Orders[[#This Row],[Quantity]]*Orders[[#This Row],[Unit_Price]]</f>
        <v>61.2</v>
      </c>
      <c r="K212">
        <f>_xlfn.XLOOKUP(Orders[[#This Row],[Product_ID]], Products[Product_ID], Products[Cost_Price])</f>
        <v>0.95</v>
      </c>
      <c r="L212">
        <f>Orders[[#This Row],[Cost_Price]]*Orders[[#This Row],[Quantity]]</f>
        <v>32.299999999999997</v>
      </c>
      <c r="M212">
        <f>Orders[[#This Row],[Unit_Price]]*Orders[[#This Row],[Discount]]*Orders[[#This Row],[Quantity]]</f>
        <v>0</v>
      </c>
      <c r="N212" s="23">
        <f>Orders[[#This Row],[Gross_Sales]]-Orders[[#This Row],[Total_Cost]]-Orders[[#This Row],[Total_Discount]]</f>
        <v>28.900000000000006</v>
      </c>
      <c r="O212" s="23">
        <f>Orders[[#This Row],[Total_Cost]]+Orders[[#This Row],[Total_Discount]]</f>
        <v>32.299999999999997</v>
      </c>
      <c r="P212" t="str">
        <f>_xlfn.XLOOKUP(Orders[[#This Row],[Product_ID]], Products[Product_ID], Products[Product_Name])</f>
        <v>Sparkling Citrus</v>
      </c>
      <c r="Q212" t="str">
        <f>_xlfn.XLOOKUP(Orders[[#This Row],[Product_ID]], Products[Product_ID], Products[Category])</f>
        <v>Water</v>
      </c>
      <c r="R212" t="str">
        <f>_xlfn.XLOOKUP(Orders[[#This Row],[Customer_ID]], Customers[Customer_ID], Customers[County])</f>
        <v>Meath</v>
      </c>
      <c r="S212" t="str">
        <f>_xlfn.XLOOKUP(Orders[[#This Row],[Customer_ID]], Customers[Customer_ID], Customers[Customer_Type])</f>
        <v>Restaurant</v>
      </c>
      <c r="T212" t="str">
        <f>_xlfn.XLOOKUP(Orders[[#This Row],[Customer_ID]], Customers[Customer_ID], Customers[Preferred_Channel])</f>
        <v>Phone</v>
      </c>
      <c r="U212" t="str">
        <f>_xlfn.XLOOKUP(Orders[[#This Row],[Product_ID]], Products[Product_ID], Products[Bottle_Size])</f>
        <v>330ml</v>
      </c>
    </row>
    <row r="213" spans="1:21" ht="15.75" customHeight="1">
      <c r="A213" s="2" t="s">
        <v>619</v>
      </c>
      <c r="B213" s="2">
        <f>DAY(Orders[[#This Row],[Order_Date]])</f>
        <v>30</v>
      </c>
      <c r="C213" s="20">
        <v>46203</v>
      </c>
      <c r="D213" s="2" t="s">
        <v>190</v>
      </c>
      <c r="E213" s="2" t="s">
        <v>95</v>
      </c>
      <c r="F213" s="2">
        <v>24</v>
      </c>
      <c r="G213" s="22">
        <v>0</v>
      </c>
      <c r="H213" s="22" t="s">
        <v>61</v>
      </c>
      <c r="I213">
        <f>_xlfn.XLOOKUP(Orders[[#This Row],[Product_ID]],Products[Product_ID], Products[Unit_Price])</f>
        <v>2.5</v>
      </c>
      <c r="J213">
        <f>Orders[[#This Row],[Quantity]]*Orders[[#This Row],[Unit_Price]]</f>
        <v>60</v>
      </c>
      <c r="K213">
        <f>_xlfn.XLOOKUP(Orders[[#This Row],[Product_ID]], Products[Product_ID], Products[Cost_Price])</f>
        <v>1.4</v>
      </c>
      <c r="L213">
        <f>Orders[[#This Row],[Cost_Price]]*Orders[[#This Row],[Quantity]]</f>
        <v>33.599999999999994</v>
      </c>
      <c r="M213">
        <f>Orders[[#This Row],[Unit_Price]]*Orders[[#This Row],[Discount]]*Orders[[#This Row],[Quantity]]</f>
        <v>0</v>
      </c>
      <c r="N213" s="23">
        <f>Orders[[#This Row],[Gross_Sales]]-Orders[[#This Row],[Total_Cost]]-Orders[[#This Row],[Total_Discount]]</f>
        <v>26.400000000000006</v>
      </c>
      <c r="O213" s="23">
        <f>Orders[[#This Row],[Total_Cost]]+Orders[[#This Row],[Total_Discount]]</f>
        <v>33.599999999999994</v>
      </c>
      <c r="P213" t="str">
        <f>_xlfn.XLOOKUP(Orders[[#This Row],[Product_ID]], Products[Product_ID], Products[Product_Name])</f>
        <v>Energy Boost</v>
      </c>
      <c r="Q213" t="str">
        <f>_xlfn.XLOOKUP(Orders[[#This Row],[Product_ID]], Products[Product_ID], Products[Category])</f>
        <v>Energy Drink</v>
      </c>
      <c r="R213" t="str">
        <f>_xlfn.XLOOKUP(Orders[[#This Row],[Customer_ID]], Customers[Customer_ID], Customers[County])</f>
        <v>Galway</v>
      </c>
      <c r="S213" t="str">
        <f>_xlfn.XLOOKUP(Orders[[#This Row],[Customer_ID]], Customers[Customer_ID], Customers[Customer_Type])</f>
        <v>Wholesaler</v>
      </c>
      <c r="T213" t="str">
        <f>_xlfn.XLOOKUP(Orders[[#This Row],[Customer_ID]], Customers[Customer_ID], Customers[Preferred_Channel])</f>
        <v>Phone</v>
      </c>
      <c r="U213" t="str">
        <f>_xlfn.XLOOKUP(Orders[[#This Row],[Product_ID]], Products[Product_ID], Products[Bottle_Size])</f>
        <v>250ml</v>
      </c>
    </row>
    <row r="214" spans="1:21" ht="15.75" customHeight="1">
      <c r="A214" s="2" t="s">
        <v>620</v>
      </c>
      <c r="B214" s="2">
        <f>DAY(Orders[[#This Row],[Order_Date]])</f>
        <v>10</v>
      </c>
      <c r="C214" s="20">
        <v>46183</v>
      </c>
      <c r="D214" s="2" t="s">
        <v>299</v>
      </c>
      <c r="E214" s="2" t="s">
        <v>134</v>
      </c>
      <c r="F214" s="2">
        <v>47</v>
      </c>
      <c r="G214" s="22">
        <v>0</v>
      </c>
      <c r="H214" s="22" t="s">
        <v>61</v>
      </c>
      <c r="I214">
        <f>_xlfn.XLOOKUP(Orders[[#This Row],[Product_ID]],Products[Product_ID], Products[Unit_Price])</f>
        <v>1.8</v>
      </c>
      <c r="J214">
        <f>Orders[[#This Row],[Quantity]]*Orders[[#This Row],[Unit_Price]]</f>
        <v>84.600000000000009</v>
      </c>
      <c r="K214">
        <f>_xlfn.XLOOKUP(Orders[[#This Row],[Product_ID]], Products[Product_ID], Products[Cost_Price])</f>
        <v>0.95</v>
      </c>
      <c r="L214">
        <f>Orders[[#This Row],[Cost_Price]]*Orders[[#This Row],[Quantity]]</f>
        <v>44.65</v>
      </c>
      <c r="M214">
        <f>Orders[[#This Row],[Unit_Price]]*Orders[[#This Row],[Discount]]*Orders[[#This Row],[Quantity]]</f>
        <v>0</v>
      </c>
      <c r="N214" s="23">
        <f>Orders[[#This Row],[Gross_Sales]]-Orders[[#This Row],[Total_Cost]]-Orders[[#This Row],[Total_Discount]]</f>
        <v>39.95000000000001</v>
      </c>
      <c r="O214" s="23">
        <f>Orders[[#This Row],[Total_Cost]]+Orders[[#This Row],[Total_Discount]]</f>
        <v>44.65</v>
      </c>
      <c r="P214" t="str">
        <f>_xlfn.XLOOKUP(Orders[[#This Row],[Product_ID]], Products[Product_ID], Products[Product_Name])</f>
        <v>Sparkling Citrus</v>
      </c>
      <c r="Q214" t="str">
        <f>_xlfn.XLOOKUP(Orders[[#This Row],[Product_ID]], Products[Product_ID], Products[Category])</f>
        <v>Water</v>
      </c>
      <c r="R214" t="str">
        <f>_xlfn.XLOOKUP(Orders[[#This Row],[Customer_ID]], Customers[Customer_ID], Customers[County])</f>
        <v>Tipperary</v>
      </c>
      <c r="S214" t="str">
        <f>_xlfn.XLOOKUP(Orders[[#This Row],[Customer_ID]], Customers[Customer_ID], Customers[Customer_Type])</f>
        <v>Restaurant</v>
      </c>
      <c r="T214" t="str">
        <f>_xlfn.XLOOKUP(Orders[[#This Row],[Customer_ID]], Customers[Customer_ID], Customers[Preferred_Channel])</f>
        <v>Phone</v>
      </c>
      <c r="U214" t="str">
        <f>_xlfn.XLOOKUP(Orders[[#This Row],[Product_ID]], Products[Product_ID], Products[Bottle_Size])</f>
        <v>330ml</v>
      </c>
    </row>
    <row r="215" spans="1:21" ht="15.75" customHeight="1">
      <c r="A215" s="2" t="s">
        <v>621</v>
      </c>
      <c r="B215" s="2">
        <f>DAY(Orders[[#This Row],[Order_Date]])</f>
        <v>4</v>
      </c>
      <c r="C215" s="20">
        <v>46177</v>
      </c>
      <c r="D215" s="2" t="s">
        <v>64</v>
      </c>
      <c r="E215" s="2" t="s">
        <v>50</v>
      </c>
      <c r="F215" s="2">
        <v>17</v>
      </c>
      <c r="G215" s="22">
        <v>0</v>
      </c>
      <c r="H215" s="22" t="s">
        <v>61</v>
      </c>
      <c r="I215">
        <f>_xlfn.XLOOKUP(Orders[[#This Row],[Product_ID]],Products[Product_ID], Products[Unit_Price])</f>
        <v>1.6</v>
      </c>
      <c r="J215">
        <f>Orders[[#This Row],[Quantity]]*Orders[[#This Row],[Unit_Price]]</f>
        <v>27.200000000000003</v>
      </c>
      <c r="K215">
        <f>_xlfn.XLOOKUP(Orders[[#This Row],[Product_ID]], Products[Product_ID], Products[Cost_Price])</f>
        <v>0.85</v>
      </c>
      <c r="L215">
        <f>Orders[[#This Row],[Cost_Price]]*Orders[[#This Row],[Quantity]]</f>
        <v>14.45</v>
      </c>
      <c r="M215">
        <f>Orders[[#This Row],[Unit_Price]]*Orders[[#This Row],[Discount]]*Orders[[#This Row],[Quantity]]</f>
        <v>0</v>
      </c>
      <c r="N215" s="23">
        <f>Orders[[#This Row],[Gross_Sales]]-Orders[[#This Row],[Total_Cost]]-Orders[[#This Row],[Total_Discount]]</f>
        <v>12.750000000000004</v>
      </c>
      <c r="O215" s="23">
        <f>Orders[[#This Row],[Total_Cost]]+Orders[[#This Row],[Total_Discount]]</f>
        <v>14.45</v>
      </c>
      <c r="P215" t="str">
        <f>_xlfn.XLOOKUP(Orders[[#This Row],[Product_ID]], Products[Product_ID], Products[Product_Name])</f>
        <v>Orange Soda</v>
      </c>
      <c r="Q215" t="str">
        <f>_xlfn.XLOOKUP(Orders[[#This Row],[Product_ID]], Products[Product_ID], Products[Category])</f>
        <v>Soft Drink</v>
      </c>
      <c r="R215" t="str">
        <f>_xlfn.XLOOKUP(Orders[[#This Row],[Customer_ID]], Customers[Customer_ID], Customers[County])</f>
        <v>Galway</v>
      </c>
      <c r="S215" t="str">
        <f>_xlfn.XLOOKUP(Orders[[#This Row],[Customer_ID]], Customers[Customer_ID], Customers[Customer_Type])</f>
        <v>Restaurant</v>
      </c>
      <c r="T215" t="str">
        <f>_xlfn.XLOOKUP(Orders[[#This Row],[Customer_ID]], Customers[Customer_ID], Customers[Preferred_Channel])</f>
        <v>Email</v>
      </c>
      <c r="U215" t="str">
        <f>_xlfn.XLOOKUP(Orders[[#This Row],[Product_ID]], Products[Product_ID], Products[Bottle_Size])</f>
        <v>500ml</v>
      </c>
    </row>
    <row r="216" spans="1:21" ht="15.75" customHeight="1">
      <c r="A216" s="2" t="s">
        <v>622</v>
      </c>
      <c r="B216" s="2">
        <f>DAY(Orders[[#This Row],[Order_Date]])</f>
        <v>13</v>
      </c>
      <c r="C216" s="20">
        <v>46186</v>
      </c>
      <c r="D216" s="2" t="s">
        <v>312</v>
      </c>
      <c r="E216" s="2" t="s">
        <v>41</v>
      </c>
      <c r="F216" s="2">
        <v>11</v>
      </c>
      <c r="G216" s="22">
        <v>0</v>
      </c>
      <c r="H216" s="22" t="s">
        <v>61</v>
      </c>
      <c r="I216">
        <f>_xlfn.XLOOKUP(Orders[[#This Row],[Product_ID]],Products[Product_ID], Products[Unit_Price])</f>
        <v>2.2000000000000002</v>
      </c>
      <c r="J216">
        <f>Orders[[#This Row],[Quantity]]*Orders[[#This Row],[Unit_Price]]</f>
        <v>24.200000000000003</v>
      </c>
      <c r="K216">
        <f>_xlfn.XLOOKUP(Orders[[#This Row],[Product_ID]], Products[Product_ID], Products[Cost_Price])</f>
        <v>1.2</v>
      </c>
      <c r="L216">
        <f>Orders[[#This Row],[Cost_Price]]*Orders[[#This Row],[Quantity]]</f>
        <v>13.2</v>
      </c>
      <c r="M216">
        <f>Orders[[#This Row],[Unit_Price]]*Orders[[#This Row],[Discount]]*Orders[[#This Row],[Quantity]]</f>
        <v>0</v>
      </c>
      <c r="N216" s="23">
        <f>Orders[[#This Row],[Gross_Sales]]-Orders[[#This Row],[Total_Cost]]-Orders[[#This Row],[Total_Discount]]</f>
        <v>11.000000000000004</v>
      </c>
      <c r="O216" s="23">
        <f>Orders[[#This Row],[Total_Cost]]+Orders[[#This Row],[Total_Discount]]</f>
        <v>13.2</v>
      </c>
      <c r="P216" t="str">
        <f>_xlfn.XLOOKUP(Orders[[#This Row],[Product_ID]], Products[Product_ID], Products[Product_Name])</f>
        <v>Peach Tea</v>
      </c>
      <c r="Q216" t="str">
        <f>_xlfn.XLOOKUP(Orders[[#This Row],[Product_ID]], Products[Product_ID], Products[Category])</f>
        <v>Tea</v>
      </c>
      <c r="R216" t="str">
        <f>_xlfn.XLOOKUP(Orders[[#This Row],[Customer_ID]], Customers[Customer_ID], Customers[County])</f>
        <v>Offaly</v>
      </c>
      <c r="S216" t="str">
        <f>_xlfn.XLOOKUP(Orders[[#This Row],[Customer_ID]], Customers[Customer_ID], Customers[Customer_Type])</f>
        <v>Restaurant</v>
      </c>
      <c r="T216" t="str">
        <f>_xlfn.XLOOKUP(Orders[[#This Row],[Customer_ID]], Customers[Customer_ID], Customers[Preferred_Channel])</f>
        <v>Sales Rep</v>
      </c>
      <c r="U216" t="str">
        <f>_xlfn.XLOOKUP(Orders[[#This Row],[Product_ID]], Products[Product_ID], Products[Bottle_Size])</f>
        <v>500ml</v>
      </c>
    </row>
    <row r="217" spans="1:21" ht="15.75" customHeight="1">
      <c r="A217" s="2" t="s">
        <v>623</v>
      </c>
      <c r="B217" s="2">
        <f>DAY(Orders[[#This Row],[Order_Date]])</f>
        <v>17</v>
      </c>
      <c r="C217" s="20">
        <v>46190</v>
      </c>
      <c r="D217" s="2" t="s">
        <v>267</v>
      </c>
      <c r="E217" s="2" t="s">
        <v>151</v>
      </c>
      <c r="F217" s="2">
        <v>30</v>
      </c>
      <c r="G217" s="22">
        <v>0</v>
      </c>
      <c r="H217" s="22" t="s">
        <v>49</v>
      </c>
      <c r="I217">
        <f>_xlfn.XLOOKUP(Orders[[#This Row],[Product_ID]],Products[Product_ID], Products[Unit_Price])</f>
        <v>1.5</v>
      </c>
      <c r="J217">
        <f>Orders[[#This Row],[Quantity]]*Orders[[#This Row],[Unit_Price]]</f>
        <v>45</v>
      </c>
      <c r="K217">
        <f>_xlfn.XLOOKUP(Orders[[#This Row],[Product_ID]], Products[Product_ID], Products[Cost_Price])</f>
        <v>0.8</v>
      </c>
      <c r="L217">
        <f>Orders[[#This Row],[Cost_Price]]*Orders[[#This Row],[Quantity]]</f>
        <v>24</v>
      </c>
      <c r="M217">
        <f>Orders[[#This Row],[Unit_Price]]*Orders[[#This Row],[Discount]]*Orders[[#This Row],[Quantity]]</f>
        <v>0</v>
      </c>
      <c r="N217" s="23">
        <f>Orders[[#This Row],[Gross_Sales]]-Orders[[#This Row],[Total_Cost]]-Orders[[#This Row],[Total_Discount]]</f>
        <v>21</v>
      </c>
      <c r="O217" s="23">
        <f>Orders[[#This Row],[Total_Cost]]+Orders[[#This Row],[Total_Discount]]</f>
        <v>24</v>
      </c>
      <c r="P217" t="str">
        <f>_xlfn.XLOOKUP(Orders[[#This Row],[Product_ID]], Products[Product_ID], Products[Product_Name])</f>
        <v>Kids Juice</v>
      </c>
      <c r="Q217" t="str">
        <f>_xlfn.XLOOKUP(Orders[[#This Row],[Product_ID]], Products[Product_ID], Products[Category])</f>
        <v>Juice</v>
      </c>
      <c r="R217" t="str">
        <f>_xlfn.XLOOKUP(Orders[[#This Row],[Customer_ID]], Customers[Customer_ID], Customers[County])</f>
        <v>Meath</v>
      </c>
      <c r="S217" t="str">
        <f>_xlfn.XLOOKUP(Orders[[#This Row],[Customer_ID]], Customers[Customer_ID], Customers[Customer_Type])</f>
        <v>Café</v>
      </c>
      <c r="T217" t="str">
        <f>_xlfn.XLOOKUP(Orders[[#This Row],[Customer_ID]], Customers[Customer_ID], Customers[Preferred_Channel])</f>
        <v>Phone</v>
      </c>
      <c r="U217" t="str">
        <f>_xlfn.XLOOKUP(Orders[[#This Row],[Product_ID]], Products[Product_ID], Products[Bottle_Size])</f>
        <v>250ml</v>
      </c>
    </row>
    <row r="218" spans="1:21" ht="15.75" customHeight="1">
      <c r="A218" s="2" t="s">
        <v>624</v>
      </c>
      <c r="B218" s="2">
        <f>DAY(Orders[[#This Row],[Order_Date]])</f>
        <v>10</v>
      </c>
      <c r="C218" s="20">
        <v>46183</v>
      </c>
      <c r="D218" s="2" t="s">
        <v>306</v>
      </c>
      <c r="E218" s="2" t="s">
        <v>95</v>
      </c>
      <c r="F218" s="2">
        <v>47</v>
      </c>
      <c r="G218" s="22">
        <v>0.05</v>
      </c>
      <c r="H218" s="22" t="s">
        <v>61</v>
      </c>
      <c r="I218">
        <f>_xlfn.XLOOKUP(Orders[[#This Row],[Product_ID]],Products[Product_ID], Products[Unit_Price])</f>
        <v>2.5</v>
      </c>
      <c r="J218">
        <f>Orders[[#This Row],[Quantity]]*Orders[[#This Row],[Unit_Price]]</f>
        <v>117.5</v>
      </c>
      <c r="K218">
        <f>_xlfn.XLOOKUP(Orders[[#This Row],[Product_ID]], Products[Product_ID], Products[Cost_Price])</f>
        <v>1.4</v>
      </c>
      <c r="L218">
        <f>Orders[[#This Row],[Cost_Price]]*Orders[[#This Row],[Quantity]]</f>
        <v>65.8</v>
      </c>
      <c r="M218">
        <f>Orders[[#This Row],[Unit_Price]]*Orders[[#This Row],[Discount]]*Orders[[#This Row],[Quantity]]</f>
        <v>5.875</v>
      </c>
      <c r="N218" s="23">
        <f>Orders[[#This Row],[Gross_Sales]]-Orders[[#This Row],[Total_Cost]]-Orders[[#This Row],[Total_Discount]]</f>
        <v>45.825000000000003</v>
      </c>
      <c r="O218" s="23">
        <f>Orders[[#This Row],[Total_Cost]]+Orders[[#This Row],[Total_Discount]]</f>
        <v>71.674999999999997</v>
      </c>
      <c r="P218" t="str">
        <f>_xlfn.XLOOKUP(Orders[[#This Row],[Product_ID]], Products[Product_ID], Products[Product_Name])</f>
        <v>Energy Boost</v>
      </c>
      <c r="Q218" t="str">
        <f>_xlfn.XLOOKUP(Orders[[#This Row],[Product_ID]], Products[Product_ID], Products[Category])</f>
        <v>Energy Drink</v>
      </c>
      <c r="R218" t="str">
        <f>_xlfn.XLOOKUP(Orders[[#This Row],[Customer_ID]], Customers[Customer_ID], Customers[County])</f>
        <v>Wexford</v>
      </c>
      <c r="S218" t="str">
        <f>_xlfn.XLOOKUP(Orders[[#This Row],[Customer_ID]], Customers[Customer_ID], Customers[Customer_Type])</f>
        <v>Hotel</v>
      </c>
      <c r="T218" t="str">
        <f>_xlfn.XLOOKUP(Orders[[#This Row],[Customer_ID]], Customers[Customer_ID], Customers[Preferred_Channel])</f>
        <v>Online</v>
      </c>
      <c r="U218" t="str">
        <f>_xlfn.XLOOKUP(Orders[[#This Row],[Product_ID]], Products[Product_ID], Products[Bottle_Size])</f>
        <v>250ml</v>
      </c>
    </row>
    <row r="219" spans="1:21" ht="15.75" customHeight="1">
      <c r="A219" s="2" t="s">
        <v>625</v>
      </c>
      <c r="B219" s="2">
        <f>DAY(Orders[[#This Row],[Order_Date]])</f>
        <v>26</v>
      </c>
      <c r="C219" s="20">
        <v>46199</v>
      </c>
      <c r="D219" s="2" t="s">
        <v>388</v>
      </c>
      <c r="E219" s="2" t="s">
        <v>117</v>
      </c>
      <c r="F219" s="2">
        <v>29</v>
      </c>
      <c r="G219" s="22">
        <v>0</v>
      </c>
      <c r="H219" s="22" t="s">
        <v>61</v>
      </c>
      <c r="I219">
        <f>_xlfn.XLOOKUP(Orders[[#This Row],[Product_ID]],Products[Product_ID], Products[Unit_Price])</f>
        <v>1.9</v>
      </c>
      <c r="J219">
        <f>Orders[[#This Row],[Quantity]]*Orders[[#This Row],[Unit_Price]]</f>
        <v>55.099999999999994</v>
      </c>
      <c r="K219">
        <f>_xlfn.XLOOKUP(Orders[[#This Row],[Product_ID]], Products[Product_ID], Products[Cost_Price])</f>
        <v>1</v>
      </c>
      <c r="L219">
        <f>Orders[[#This Row],[Cost_Price]]*Orders[[#This Row],[Quantity]]</f>
        <v>29</v>
      </c>
      <c r="M219">
        <f>Orders[[#This Row],[Unit_Price]]*Orders[[#This Row],[Discount]]*Orders[[#This Row],[Quantity]]</f>
        <v>0</v>
      </c>
      <c r="N219" s="23">
        <f>Orders[[#This Row],[Gross_Sales]]-Orders[[#This Row],[Total_Cost]]-Orders[[#This Row],[Total_Discount]]</f>
        <v>26.099999999999994</v>
      </c>
      <c r="O219" s="23">
        <f>Orders[[#This Row],[Total_Cost]]+Orders[[#This Row],[Total_Discount]]</f>
        <v>29</v>
      </c>
      <c r="P219" t="str">
        <f>_xlfn.XLOOKUP(Orders[[#This Row],[Product_ID]], Products[Product_ID], Products[Product_Name])</f>
        <v>Tonic Water</v>
      </c>
      <c r="Q219" t="str">
        <f>_xlfn.XLOOKUP(Orders[[#This Row],[Product_ID]], Products[Product_ID], Products[Category])</f>
        <v>Water</v>
      </c>
      <c r="R219" t="str">
        <f>_xlfn.XLOOKUP(Orders[[#This Row],[Customer_ID]], Customers[Customer_ID], Customers[County])</f>
        <v>Louth</v>
      </c>
      <c r="S219" t="str">
        <f>_xlfn.XLOOKUP(Orders[[#This Row],[Customer_ID]], Customers[Customer_ID], Customers[Customer_Type])</f>
        <v>Café</v>
      </c>
      <c r="T219" t="str">
        <f>_xlfn.XLOOKUP(Orders[[#This Row],[Customer_ID]], Customers[Customer_ID], Customers[Preferred_Channel])</f>
        <v>Distributor</v>
      </c>
      <c r="U219" t="str">
        <f>_xlfn.XLOOKUP(Orders[[#This Row],[Product_ID]], Products[Product_ID], Products[Bottle_Size])</f>
        <v>1L</v>
      </c>
    </row>
    <row r="220" spans="1:21" ht="15.75" customHeight="1">
      <c r="A220" s="2" t="s">
        <v>626</v>
      </c>
      <c r="B220" s="2">
        <f>DAY(Orders[[#This Row],[Order_Date]])</f>
        <v>13</v>
      </c>
      <c r="C220" s="20">
        <v>46186</v>
      </c>
      <c r="D220" s="2" t="s">
        <v>368</v>
      </c>
      <c r="E220" s="2" t="s">
        <v>117</v>
      </c>
      <c r="F220" s="2">
        <v>34</v>
      </c>
      <c r="G220" s="22">
        <v>0.05</v>
      </c>
      <c r="H220" s="22" t="s">
        <v>61</v>
      </c>
      <c r="I220">
        <f>_xlfn.XLOOKUP(Orders[[#This Row],[Product_ID]],Products[Product_ID], Products[Unit_Price])</f>
        <v>1.9</v>
      </c>
      <c r="J220">
        <f>Orders[[#This Row],[Quantity]]*Orders[[#This Row],[Unit_Price]]</f>
        <v>64.599999999999994</v>
      </c>
      <c r="K220">
        <f>_xlfn.XLOOKUP(Orders[[#This Row],[Product_ID]], Products[Product_ID], Products[Cost_Price])</f>
        <v>1</v>
      </c>
      <c r="L220">
        <f>Orders[[#This Row],[Cost_Price]]*Orders[[#This Row],[Quantity]]</f>
        <v>34</v>
      </c>
      <c r="M220">
        <f>Orders[[#This Row],[Unit_Price]]*Orders[[#This Row],[Discount]]*Orders[[#This Row],[Quantity]]</f>
        <v>3.23</v>
      </c>
      <c r="N220" s="23">
        <f>Orders[[#This Row],[Gross_Sales]]-Orders[[#This Row],[Total_Cost]]-Orders[[#This Row],[Total_Discount]]</f>
        <v>27.369999999999994</v>
      </c>
      <c r="O220" s="23">
        <f>Orders[[#This Row],[Total_Cost]]+Orders[[#This Row],[Total_Discount]]</f>
        <v>37.229999999999997</v>
      </c>
      <c r="P220" t="str">
        <f>_xlfn.XLOOKUP(Orders[[#This Row],[Product_ID]], Products[Product_ID], Products[Product_Name])</f>
        <v>Tonic Water</v>
      </c>
      <c r="Q220" t="str">
        <f>_xlfn.XLOOKUP(Orders[[#This Row],[Product_ID]], Products[Product_ID], Products[Category])</f>
        <v>Water</v>
      </c>
      <c r="R220" t="str">
        <f>_xlfn.XLOOKUP(Orders[[#This Row],[Customer_ID]], Customers[Customer_ID], Customers[County])</f>
        <v>Meath</v>
      </c>
      <c r="S220" t="str">
        <f>_xlfn.XLOOKUP(Orders[[#This Row],[Customer_ID]], Customers[Customer_ID], Customers[Customer_Type])</f>
        <v>Hotel</v>
      </c>
      <c r="T220" t="str">
        <f>_xlfn.XLOOKUP(Orders[[#This Row],[Customer_ID]], Customers[Customer_ID], Customers[Preferred_Channel])</f>
        <v>Email</v>
      </c>
      <c r="U220" t="str">
        <f>_xlfn.XLOOKUP(Orders[[#This Row],[Product_ID]], Products[Product_ID], Products[Bottle_Size])</f>
        <v>1L</v>
      </c>
    </row>
    <row r="221" spans="1:21" ht="15.75" customHeight="1">
      <c r="A221" s="2" t="s">
        <v>627</v>
      </c>
      <c r="B221" s="2">
        <f>DAY(Orders[[#This Row],[Order_Date]])</f>
        <v>5</v>
      </c>
      <c r="C221" s="20">
        <v>46178</v>
      </c>
      <c r="D221" s="2" t="s">
        <v>352</v>
      </c>
      <c r="E221" s="2" t="s">
        <v>134</v>
      </c>
      <c r="F221" s="2">
        <v>50</v>
      </c>
      <c r="G221" s="22">
        <v>0.1</v>
      </c>
      <c r="H221" s="22" t="s">
        <v>61</v>
      </c>
      <c r="I221">
        <f>_xlfn.XLOOKUP(Orders[[#This Row],[Product_ID]],Products[Product_ID], Products[Unit_Price])</f>
        <v>1.8</v>
      </c>
      <c r="J221">
        <f>Orders[[#This Row],[Quantity]]*Orders[[#This Row],[Unit_Price]]</f>
        <v>90</v>
      </c>
      <c r="K221">
        <f>_xlfn.XLOOKUP(Orders[[#This Row],[Product_ID]], Products[Product_ID], Products[Cost_Price])</f>
        <v>0.95</v>
      </c>
      <c r="L221">
        <f>Orders[[#This Row],[Cost_Price]]*Orders[[#This Row],[Quantity]]</f>
        <v>47.5</v>
      </c>
      <c r="M221">
        <f>Orders[[#This Row],[Unit_Price]]*Orders[[#This Row],[Discount]]*Orders[[#This Row],[Quantity]]</f>
        <v>9.0000000000000018</v>
      </c>
      <c r="N221" s="23">
        <f>Orders[[#This Row],[Gross_Sales]]-Orders[[#This Row],[Total_Cost]]-Orders[[#This Row],[Total_Discount]]</f>
        <v>33.5</v>
      </c>
      <c r="O221" s="23">
        <f>Orders[[#This Row],[Total_Cost]]+Orders[[#This Row],[Total_Discount]]</f>
        <v>56.5</v>
      </c>
      <c r="P221" t="str">
        <f>_xlfn.XLOOKUP(Orders[[#This Row],[Product_ID]], Products[Product_ID], Products[Product_Name])</f>
        <v>Sparkling Citrus</v>
      </c>
      <c r="Q221" t="str">
        <f>_xlfn.XLOOKUP(Orders[[#This Row],[Product_ID]], Products[Product_ID], Products[Category])</f>
        <v>Water</v>
      </c>
      <c r="R221" t="str">
        <f>_xlfn.XLOOKUP(Orders[[#This Row],[Customer_ID]], Customers[Customer_ID], Customers[County])</f>
        <v>Offaly</v>
      </c>
      <c r="S221" t="str">
        <f>_xlfn.XLOOKUP(Orders[[#This Row],[Customer_ID]], Customers[Customer_ID], Customers[Customer_Type])</f>
        <v>Café</v>
      </c>
      <c r="T221" t="str">
        <f>_xlfn.XLOOKUP(Orders[[#This Row],[Customer_ID]], Customers[Customer_ID], Customers[Preferred_Channel])</f>
        <v>Distributor</v>
      </c>
      <c r="U221" t="str">
        <f>_xlfn.XLOOKUP(Orders[[#This Row],[Product_ID]], Products[Product_ID], Products[Bottle_Size])</f>
        <v>330ml</v>
      </c>
    </row>
    <row r="222" spans="1:21" ht="15.75" customHeight="1">
      <c r="A222" s="2" t="s">
        <v>628</v>
      </c>
      <c r="B222" s="2">
        <f>DAY(Orders[[#This Row],[Order_Date]])</f>
        <v>5</v>
      </c>
      <c r="C222" s="20">
        <v>46178</v>
      </c>
      <c r="D222" s="2" t="s">
        <v>407</v>
      </c>
      <c r="E222" s="2" t="s">
        <v>139</v>
      </c>
      <c r="F222" s="2">
        <v>21</v>
      </c>
      <c r="G222" s="22">
        <v>0</v>
      </c>
      <c r="H222" s="22" t="s">
        <v>49</v>
      </c>
      <c r="I222">
        <f>_xlfn.XLOOKUP(Orders[[#This Row],[Product_ID]],Products[Product_ID], Products[Unit_Price])</f>
        <v>2.2999999999999998</v>
      </c>
      <c r="J222">
        <f>Orders[[#This Row],[Quantity]]*Orders[[#This Row],[Unit_Price]]</f>
        <v>48.3</v>
      </c>
      <c r="K222">
        <f>_xlfn.XLOOKUP(Orders[[#This Row],[Product_ID]], Products[Product_ID], Products[Cost_Price])</f>
        <v>1.25</v>
      </c>
      <c r="L222">
        <f>Orders[[#This Row],[Cost_Price]]*Orders[[#This Row],[Quantity]]</f>
        <v>26.25</v>
      </c>
      <c r="M222">
        <f>Orders[[#This Row],[Unit_Price]]*Orders[[#This Row],[Discount]]*Orders[[#This Row],[Quantity]]</f>
        <v>0</v>
      </c>
      <c r="N222" s="23">
        <f>Orders[[#This Row],[Gross_Sales]]-Orders[[#This Row],[Total_Cost]]-Orders[[#This Row],[Total_Discount]]</f>
        <v>22.049999999999997</v>
      </c>
      <c r="O222" s="23">
        <f>Orders[[#This Row],[Total_Cost]]+Orders[[#This Row],[Total_Discount]]</f>
        <v>26.25</v>
      </c>
      <c r="P222" t="str">
        <f>_xlfn.XLOOKUP(Orders[[#This Row],[Product_ID]], Products[Product_ID], Products[Product_Name])</f>
        <v>Mango Juice</v>
      </c>
      <c r="Q222" t="str">
        <f>_xlfn.XLOOKUP(Orders[[#This Row],[Product_ID]], Products[Product_ID], Products[Category])</f>
        <v>Juice</v>
      </c>
      <c r="R222" t="str">
        <f>_xlfn.XLOOKUP(Orders[[#This Row],[Customer_ID]], Customers[Customer_ID], Customers[County])</f>
        <v>Cork</v>
      </c>
      <c r="S222" t="str">
        <f>_xlfn.XLOOKUP(Orders[[#This Row],[Customer_ID]], Customers[Customer_ID], Customers[Customer_Type])</f>
        <v>Hotel</v>
      </c>
      <c r="T222" t="str">
        <f>_xlfn.XLOOKUP(Orders[[#This Row],[Customer_ID]], Customers[Customer_ID], Customers[Preferred_Channel])</f>
        <v>Email</v>
      </c>
      <c r="U222" t="str">
        <f>_xlfn.XLOOKUP(Orders[[#This Row],[Product_ID]], Products[Product_ID], Products[Bottle_Size])</f>
        <v>1L</v>
      </c>
    </row>
    <row r="223" spans="1:21" ht="15.75" customHeight="1">
      <c r="A223" s="2" t="s">
        <v>629</v>
      </c>
      <c r="B223" s="2">
        <f>DAY(Orders[[#This Row],[Order_Date]])</f>
        <v>28</v>
      </c>
      <c r="C223" s="20">
        <v>46201</v>
      </c>
      <c r="D223" s="2" t="s">
        <v>293</v>
      </c>
      <c r="E223" s="2" t="s">
        <v>50</v>
      </c>
      <c r="F223" s="2">
        <v>40</v>
      </c>
      <c r="G223" s="22">
        <v>0</v>
      </c>
      <c r="H223" s="22" t="s">
        <v>61</v>
      </c>
      <c r="I223">
        <f>_xlfn.XLOOKUP(Orders[[#This Row],[Product_ID]],Products[Product_ID], Products[Unit_Price])</f>
        <v>1.6</v>
      </c>
      <c r="J223">
        <f>Orders[[#This Row],[Quantity]]*Orders[[#This Row],[Unit_Price]]</f>
        <v>64</v>
      </c>
      <c r="K223">
        <f>_xlfn.XLOOKUP(Orders[[#This Row],[Product_ID]], Products[Product_ID], Products[Cost_Price])</f>
        <v>0.85</v>
      </c>
      <c r="L223">
        <f>Orders[[#This Row],[Cost_Price]]*Orders[[#This Row],[Quantity]]</f>
        <v>34</v>
      </c>
      <c r="M223">
        <f>Orders[[#This Row],[Unit_Price]]*Orders[[#This Row],[Discount]]*Orders[[#This Row],[Quantity]]</f>
        <v>0</v>
      </c>
      <c r="N223" s="23">
        <f>Orders[[#This Row],[Gross_Sales]]-Orders[[#This Row],[Total_Cost]]-Orders[[#This Row],[Total_Discount]]</f>
        <v>30</v>
      </c>
      <c r="O223" s="23">
        <f>Orders[[#This Row],[Total_Cost]]+Orders[[#This Row],[Total_Discount]]</f>
        <v>34</v>
      </c>
      <c r="P223" t="str">
        <f>_xlfn.XLOOKUP(Orders[[#This Row],[Product_ID]], Products[Product_ID], Products[Product_Name])</f>
        <v>Orange Soda</v>
      </c>
      <c r="Q223" t="str">
        <f>_xlfn.XLOOKUP(Orders[[#This Row],[Product_ID]], Products[Product_ID], Products[Category])</f>
        <v>Soft Drink</v>
      </c>
      <c r="R223" t="str">
        <f>_xlfn.XLOOKUP(Orders[[#This Row],[Customer_ID]], Customers[Customer_ID], Customers[County])</f>
        <v>Kildare</v>
      </c>
      <c r="S223" t="str">
        <f>_xlfn.XLOOKUP(Orders[[#This Row],[Customer_ID]], Customers[Customer_ID], Customers[Customer_Type])</f>
        <v>Hotel</v>
      </c>
      <c r="T223" t="str">
        <f>_xlfn.XLOOKUP(Orders[[#This Row],[Customer_ID]], Customers[Customer_ID], Customers[Preferred_Channel])</f>
        <v>Online</v>
      </c>
      <c r="U223" t="str">
        <f>_xlfn.XLOOKUP(Orders[[#This Row],[Product_ID]], Products[Product_ID], Products[Bottle_Size])</f>
        <v>500ml</v>
      </c>
    </row>
    <row r="224" spans="1:21" ht="15.75" customHeight="1">
      <c r="A224" s="2" t="s">
        <v>630</v>
      </c>
      <c r="B224" s="2">
        <f>DAY(Orders[[#This Row],[Order_Date]])</f>
        <v>3</v>
      </c>
      <c r="C224" s="20">
        <v>46176</v>
      </c>
      <c r="D224" s="2" t="s">
        <v>12</v>
      </c>
      <c r="E224" s="2" t="s">
        <v>217</v>
      </c>
      <c r="F224" s="2">
        <v>30</v>
      </c>
      <c r="G224" s="22">
        <v>0</v>
      </c>
      <c r="H224" s="22" t="s">
        <v>61</v>
      </c>
      <c r="I224">
        <f>_xlfn.XLOOKUP(Orders[[#This Row],[Product_ID]],Products[Product_ID], Products[Unit_Price])</f>
        <v>1.4</v>
      </c>
      <c r="J224">
        <f>Orders[[#This Row],[Quantity]]*Orders[[#This Row],[Unit_Price]]</f>
        <v>42</v>
      </c>
      <c r="K224">
        <f>_xlfn.XLOOKUP(Orders[[#This Row],[Product_ID]], Products[Product_ID], Products[Cost_Price])</f>
        <v>0.7</v>
      </c>
      <c r="L224">
        <f>Orders[[#This Row],[Cost_Price]]*Orders[[#This Row],[Quantity]]</f>
        <v>21</v>
      </c>
      <c r="M224">
        <f>Orders[[#This Row],[Unit_Price]]*Orders[[#This Row],[Discount]]*Orders[[#This Row],[Quantity]]</f>
        <v>0</v>
      </c>
      <c r="N224" s="23">
        <f>Orders[[#This Row],[Gross_Sales]]-Orders[[#This Row],[Total_Cost]]-Orders[[#This Row],[Total_Discount]]</f>
        <v>21</v>
      </c>
      <c r="O224" s="23">
        <f>Orders[[#This Row],[Total_Cost]]+Orders[[#This Row],[Total_Discount]]</f>
        <v>21</v>
      </c>
      <c r="P224" t="str">
        <f>_xlfn.XLOOKUP(Orders[[#This Row],[Product_ID]], Products[Product_ID], Products[Product_Name])</f>
        <v>Spring Water</v>
      </c>
      <c r="Q224" t="str">
        <f>_xlfn.XLOOKUP(Orders[[#This Row],[Product_ID]], Products[Product_ID], Products[Category])</f>
        <v>Water</v>
      </c>
      <c r="R224" t="str">
        <f>_xlfn.XLOOKUP(Orders[[#This Row],[Customer_ID]], Customers[Customer_ID], Customers[County])</f>
        <v>Limerick</v>
      </c>
      <c r="S224" t="str">
        <f>_xlfn.XLOOKUP(Orders[[#This Row],[Customer_ID]], Customers[Customer_ID], Customers[Customer_Type])</f>
        <v>Café</v>
      </c>
      <c r="T224" t="str">
        <f>_xlfn.XLOOKUP(Orders[[#This Row],[Customer_ID]], Customers[Customer_ID], Customers[Preferred_Channel])</f>
        <v>Online</v>
      </c>
      <c r="U224" t="str">
        <f>_xlfn.XLOOKUP(Orders[[#This Row],[Product_ID]], Products[Product_ID], Products[Bottle_Size])</f>
        <v>500ml</v>
      </c>
    </row>
    <row r="225" spans="1:21" ht="15.75" customHeight="1">
      <c r="A225" s="2" t="s">
        <v>631</v>
      </c>
      <c r="B225" s="2">
        <f>DAY(Orders[[#This Row],[Order_Date]])</f>
        <v>26</v>
      </c>
      <c r="C225" s="20">
        <v>46199</v>
      </c>
      <c r="D225" s="2" t="s">
        <v>158</v>
      </c>
      <c r="E225" s="2" t="s">
        <v>108</v>
      </c>
      <c r="F225" s="2">
        <v>17</v>
      </c>
      <c r="G225" s="22">
        <v>0</v>
      </c>
      <c r="H225" s="22" t="s">
        <v>49</v>
      </c>
      <c r="I225">
        <f>_xlfn.XLOOKUP(Orders[[#This Row],[Product_ID]],Products[Product_ID], Products[Unit_Price])</f>
        <v>2.1</v>
      </c>
      <c r="J225">
        <f>Orders[[#This Row],[Quantity]]*Orders[[#This Row],[Unit_Price]]</f>
        <v>35.700000000000003</v>
      </c>
      <c r="K225">
        <f>_xlfn.XLOOKUP(Orders[[#This Row],[Product_ID]], Products[Product_ID], Products[Cost_Price])</f>
        <v>1.2</v>
      </c>
      <c r="L225">
        <f>Orders[[#This Row],[Cost_Price]]*Orders[[#This Row],[Quantity]]</f>
        <v>20.399999999999999</v>
      </c>
      <c r="M225">
        <f>Orders[[#This Row],[Unit_Price]]*Orders[[#This Row],[Discount]]*Orders[[#This Row],[Quantity]]</f>
        <v>0</v>
      </c>
      <c r="N225" s="23">
        <f>Orders[[#This Row],[Gross_Sales]]-Orders[[#This Row],[Total_Cost]]-Orders[[#This Row],[Total_Discount]]</f>
        <v>15.300000000000004</v>
      </c>
      <c r="O225" s="23">
        <f>Orders[[#This Row],[Total_Cost]]+Orders[[#This Row],[Total_Discount]]</f>
        <v>20.399999999999999</v>
      </c>
      <c r="P225" t="str">
        <f>_xlfn.XLOOKUP(Orders[[#This Row],[Product_ID]], Products[Product_ID], Products[Product_Name])</f>
        <v>Berry Splash</v>
      </c>
      <c r="Q225" t="str">
        <f>_xlfn.XLOOKUP(Orders[[#This Row],[Product_ID]], Products[Product_ID], Products[Category])</f>
        <v>Juice</v>
      </c>
      <c r="R225" t="str">
        <f>_xlfn.XLOOKUP(Orders[[#This Row],[Customer_ID]], Customers[Customer_ID], Customers[County])</f>
        <v>Donegal</v>
      </c>
      <c r="S225" t="str">
        <f>_xlfn.XLOOKUP(Orders[[#This Row],[Customer_ID]], Customers[Customer_ID], Customers[Customer_Type])</f>
        <v>Hotel</v>
      </c>
      <c r="T225" t="str">
        <f>_xlfn.XLOOKUP(Orders[[#This Row],[Customer_ID]], Customers[Customer_ID], Customers[Preferred_Channel])</f>
        <v>Email</v>
      </c>
      <c r="U225" t="str">
        <f>_xlfn.XLOOKUP(Orders[[#This Row],[Product_ID]], Products[Product_ID], Products[Bottle_Size])</f>
        <v>500ml</v>
      </c>
    </row>
    <row r="226" spans="1:21" ht="15.75" customHeight="1">
      <c r="A226" s="2" t="s">
        <v>632</v>
      </c>
      <c r="B226" s="2">
        <f>DAY(Orders[[#This Row],[Order_Date]])</f>
        <v>16</v>
      </c>
      <c r="C226" s="20">
        <v>46189</v>
      </c>
      <c r="D226" s="2" t="s">
        <v>368</v>
      </c>
      <c r="E226" s="2" t="s">
        <v>84</v>
      </c>
      <c r="F226" s="2">
        <v>46</v>
      </c>
      <c r="G226" s="22">
        <v>0.05</v>
      </c>
      <c r="H226" s="22" t="s">
        <v>61</v>
      </c>
      <c r="I226">
        <f>_xlfn.XLOOKUP(Orders[[#This Row],[Product_ID]],Products[Product_ID], Products[Unit_Price])</f>
        <v>1.7</v>
      </c>
      <c r="J226">
        <f>Orders[[#This Row],[Quantity]]*Orders[[#This Row],[Unit_Price]]</f>
        <v>78.2</v>
      </c>
      <c r="K226">
        <f>_xlfn.XLOOKUP(Orders[[#This Row],[Product_ID]], Products[Product_ID], Products[Cost_Price])</f>
        <v>0.9</v>
      </c>
      <c r="L226">
        <f>Orders[[#This Row],[Cost_Price]]*Orders[[#This Row],[Quantity]]</f>
        <v>41.4</v>
      </c>
      <c r="M226">
        <f>Orders[[#This Row],[Unit_Price]]*Orders[[#This Row],[Discount]]*Orders[[#This Row],[Quantity]]</f>
        <v>3.91</v>
      </c>
      <c r="N226" s="23">
        <f>Orders[[#This Row],[Gross_Sales]]-Orders[[#This Row],[Total_Cost]]-Orders[[#This Row],[Total_Discount]]</f>
        <v>32.89</v>
      </c>
      <c r="O226" s="23">
        <f>Orders[[#This Row],[Total_Cost]]+Orders[[#This Row],[Total_Discount]]</f>
        <v>45.31</v>
      </c>
      <c r="P226" t="str">
        <f>_xlfn.XLOOKUP(Orders[[#This Row],[Product_ID]], Products[Product_ID], Products[Product_Name])</f>
        <v>Lemon Lime</v>
      </c>
      <c r="Q226" t="str">
        <f>_xlfn.XLOOKUP(Orders[[#This Row],[Product_ID]], Products[Product_ID], Products[Category])</f>
        <v>Soft Drink</v>
      </c>
      <c r="R226" t="str">
        <f>_xlfn.XLOOKUP(Orders[[#This Row],[Customer_ID]], Customers[Customer_ID], Customers[County])</f>
        <v>Meath</v>
      </c>
      <c r="S226" t="str">
        <f>_xlfn.XLOOKUP(Orders[[#This Row],[Customer_ID]], Customers[Customer_ID], Customers[Customer_Type])</f>
        <v>Hotel</v>
      </c>
      <c r="T226" t="str">
        <f>_xlfn.XLOOKUP(Orders[[#This Row],[Customer_ID]], Customers[Customer_ID], Customers[Preferred_Channel])</f>
        <v>Email</v>
      </c>
      <c r="U226" t="str">
        <f>_xlfn.XLOOKUP(Orders[[#This Row],[Product_ID]], Products[Product_ID], Products[Bottle_Size])</f>
        <v>500ml</v>
      </c>
    </row>
    <row r="227" spans="1:21" ht="15.75" customHeight="1">
      <c r="A227" s="2" t="s">
        <v>633</v>
      </c>
      <c r="B227" s="2">
        <f>DAY(Orders[[#This Row],[Order_Date]])</f>
        <v>12</v>
      </c>
      <c r="C227" s="20">
        <v>46185</v>
      </c>
      <c r="D227" s="2" t="s">
        <v>344</v>
      </c>
      <c r="E227" s="2" t="s">
        <v>217</v>
      </c>
      <c r="F227" s="2">
        <v>38</v>
      </c>
      <c r="G227" s="22">
        <v>0.05</v>
      </c>
      <c r="H227" s="22" t="s">
        <v>61</v>
      </c>
      <c r="I227">
        <f>_xlfn.XLOOKUP(Orders[[#This Row],[Product_ID]],Products[Product_ID], Products[Unit_Price])</f>
        <v>1.4</v>
      </c>
      <c r="J227">
        <f>Orders[[#This Row],[Quantity]]*Orders[[#This Row],[Unit_Price]]</f>
        <v>53.199999999999996</v>
      </c>
      <c r="K227">
        <f>_xlfn.XLOOKUP(Orders[[#This Row],[Product_ID]], Products[Product_ID], Products[Cost_Price])</f>
        <v>0.7</v>
      </c>
      <c r="L227">
        <f>Orders[[#This Row],[Cost_Price]]*Orders[[#This Row],[Quantity]]</f>
        <v>26.599999999999998</v>
      </c>
      <c r="M227">
        <f>Orders[[#This Row],[Unit_Price]]*Orders[[#This Row],[Discount]]*Orders[[#This Row],[Quantity]]</f>
        <v>2.6599999999999997</v>
      </c>
      <c r="N227" s="23">
        <f>Orders[[#This Row],[Gross_Sales]]-Orders[[#This Row],[Total_Cost]]-Orders[[#This Row],[Total_Discount]]</f>
        <v>23.939999999999998</v>
      </c>
      <c r="O227" s="23">
        <f>Orders[[#This Row],[Total_Cost]]+Orders[[#This Row],[Total_Discount]]</f>
        <v>29.259999999999998</v>
      </c>
      <c r="P227" t="str">
        <f>_xlfn.XLOOKUP(Orders[[#This Row],[Product_ID]], Products[Product_ID], Products[Product_Name])</f>
        <v>Spring Water</v>
      </c>
      <c r="Q227" t="str">
        <f>_xlfn.XLOOKUP(Orders[[#This Row],[Product_ID]], Products[Product_ID], Products[Category])</f>
        <v>Water</v>
      </c>
      <c r="R227" t="str">
        <f>_xlfn.XLOOKUP(Orders[[#This Row],[Customer_ID]], Customers[Customer_ID], Customers[County])</f>
        <v>Sligo</v>
      </c>
      <c r="S227" t="str">
        <f>_xlfn.XLOOKUP(Orders[[#This Row],[Customer_ID]], Customers[Customer_ID], Customers[Customer_Type])</f>
        <v>Hotel</v>
      </c>
      <c r="T227" t="str">
        <f>_xlfn.XLOOKUP(Orders[[#This Row],[Customer_ID]], Customers[Customer_ID], Customers[Preferred_Channel])</f>
        <v>Distributor</v>
      </c>
      <c r="U227" t="str">
        <f>_xlfn.XLOOKUP(Orders[[#This Row],[Product_ID]], Products[Product_ID], Products[Bottle_Size])</f>
        <v>500ml</v>
      </c>
    </row>
    <row r="228" spans="1:21" ht="15.75" customHeight="1">
      <c r="A228" s="2" t="s">
        <v>634</v>
      </c>
      <c r="B228" s="2">
        <f>DAY(Orders[[#This Row],[Order_Date]])</f>
        <v>17</v>
      </c>
      <c r="C228" s="20">
        <v>46190</v>
      </c>
      <c r="D228" s="2" t="s">
        <v>397</v>
      </c>
      <c r="E228" s="2" t="s">
        <v>170</v>
      </c>
      <c r="F228" s="2">
        <v>30</v>
      </c>
      <c r="G228" s="22">
        <v>0.1</v>
      </c>
      <c r="H228" s="22" t="s">
        <v>49</v>
      </c>
      <c r="I228">
        <f>_xlfn.XLOOKUP(Orders[[#This Row],[Product_ID]],Products[Product_ID], Products[Unit_Price])</f>
        <v>1.9</v>
      </c>
      <c r="J228">
        <f>Orders[[#This Row],[Quantity]]*Orders[[#This Row],[Unit_Price]]</f>
        <v>57</v>
      </c>
      <c r="K228">
        <f>_xlfn.XLOOKUP(Orders[[#This Row],[Product_ID]], Products[Product_ID], Products[Cost_Price])</f>
        <v>0.95</v>
      </c>
      <c r="L228">
        <f>Orders[[#This Row],[Cost_Price]]*Orders[[#This Row],[Quantity]]</f>
        <v>28.5</v>
      </c>
      <c r="M228">
        <f>Orders[[#This Row],[Unit_Price]]*Orders[[#This Row],[Discount]]*Orders[[#This Row],[Quantity]]</f>
        <v>5.7</v>
      </c>
      <c r="N228" s="23">
        <f>Orders[[#This Row],[Gross_Sales]]-Orders[[#This Row],[Total_Cost]]-Orders[[#This Row],[Total_Discount]]</f>
        <v>22.8</v>
      </c>
      <c r="O228" s="23">
        <f>Orders[[#This Row],[Total_Cost]]+Orders[[#This Row],[Total_Discount]]</f>
        <v>34.200000000000003</v>
      </c>
      <c r="P228" t="str">
        <f>_xlfn.XLOOKUP(Orders[[#This Row],[Product_ID]], Products[Product_ID], Products[Product_Name])</f>
        <v>Vitamin Water</v>
      </c>
      <c r="Q228" t="str">
        <f>_xlfn.XLOOKUP(Orders[[#This Row],[Product_ID]], Products[Product_ID], Products[Category])</f>
        <v>Water</v>
      </c>
      <c r="R228" t="str">
        <f>_xlfn.XLOOKUP(Orders[[#This Row],[Customer_ID]], Customers[Customer_ID], Customers[County])</f>
        <v>Dublin</v>
      </c>
      <c r="S228" t="str">
        <f>_xlfn.XLOOKUP(Orders[[#This Row],[Customer_ID]], Customers[Customer_ID], Customers[Customer_Type])</f>
        <v>Wholesaler</v>
      </c>
      <c r="T228" t="str">
        <f>_xlfn.XLOOKUP(Orders[[#This Row],[Customer_ID]], Customers[Customer_ID], Customers[Preferred_Channel])</f>
        <v>Phone</v>
      </c>
      <c r="U228" t="str">
        <f>_xlfn.XLOOKUP(Orders[[#This Row],[Product_ID]], Products[Product_ID], Products[Bottle_Size])</f>
        <v>500ml</v>
      </c>
    </row>
    <row r="229" spans="1:21" ht="15.75" customHeight="1">
      <c r="A229" s="2" t="s">
        <v>635</v>
      </c>
      <c r="B229" s="2">
        <f>DAY(Orders[[#This Row],[Order_Date]])</f>
        <v>19</v>
      </c>
      <c r="C229" s="20">
        <v>46192</v>
      </c>
      <c r="D229" s="2" t="s">
        <v>76</v>
      </c>
      <c r="E229" s="2" t="s">
        <v>28</v>
      </c>
      <c r="F229" s="2">
        <v>33</v>
      </c>
      <c r="G229" s="22">
        <v>0</v>
      </c>
      <c r="H229" s="22" t="s">
        <v>61</v>
      </c>
      <c r="I229">
        <f>_xlfn.XLOOKUP(Orders[[#This Row],[Product_ID]],Products[Product_ID], Products[Unit_Price])</f>
        <v>1.8</v>
      </c>
      <c r="J229">
        <f>Orders[[#This Row],[Quantity]]*Orders[[#This Row],[Unit_Price]]</f>
        <v>59.4</v>
      </c>
      <c r="K229">
        <f>_xlfn.XLOOKUP(Orders[[#This Row],[Product_ID]], Products[Product_ID], Products[Cost_Price])</f>
        <v>0.9</v>
      </c>
      <c r="L229">
        <f>Orders[[#This Row],[Cost_Price]]*Orders[[#This Row],[Quantity]]</f>
        <v>29.7</v>
      </c>
      <c r="M229">
        <f>Orders[[#This Row],[Unit_Price]]*Orders[[#This Row],[Discount]]*Orders[[#This Row],[Quantity]]</f>
        <v>0</v>
      </c>
      <c r="N229" s="23">
        <f>Orders[[#This Row],[Gross_Sales]]-Orders[[#This Row],[Total_Cost]]-Orders[[#This Row],[Total_Discount]]</f>
        <v>29.7</v>
      </c>
      <c r="O229" s="23">
        <f>Orders[[#This Row],[Total_Cost]]+Orders[[#This Row],[Total_Discount]]</f>
        <v>29.7</v>
      </c>
      <c r="P229" t="str">
        <f>_xlfn.XLOOKUP(Orders[[#This Row],[Product_ID]], Products[Product_ID], Products[Product_Name])</f>
        <v>Sparkling Water</v>
      </c>
      <c r="Q229" t="str">
        <f>_xlfn.XLOOKUP(Orders[[#This Row],[Product_ID]], Products[Product_ID], Products[Category])</f>
        <v>Water</v>
      </c>
      <c r="R229" t="str">
        <f>_xlfn.XLOOKUP(Orders[[#This Row],[Customer_ID]], Customers[Customer_ID], Customers[County])</f>
        <v>Kerry</v>
      </c>
      <c r="S229" t="str">
        <f>_xlfn.XLOOKUP(Orders[[#This Row],[Customer_ID]], Customers[Customer_ID], Customers[Customer_Type])</f>
        <v>Restaurant</v>
      </c>
      <c r="T229" t="str">
        <f>_xlfn.XLOOKUP(Orders[[#This Row],[Customer_ID]], Customers[Customer_ID], Customers[Preferred_Channel])</f>
        <v>Distributor</v>
      </c>
      <c r="U229" t="str">
        <f>_xlfn.XLOOKUP(Orders[[#This Row],[Product_ID]], Products[Product_ID], Products[Bottle_Size])</f>
        <v>1L</v>
      </c>
    </row>
    <row r="230" spans="1:21" ht="15.75" customHeight="1">
      <c r="A230" s="2" t="s">
        <v>636</v>
      </c>
      <c r="B230" s="2">
        <f>DAY(Orders[[#This Row],[Order_Date]])</f>
        <v>30</v>
      </c>
      <c r="C230" s="20">
        <v>46203</v>
      </c>
      <c r="D230" s="2" t="s">
        <v>211</v>
      </c>
      <c r="E230" s="2" t="s">
        <v>134</v>
      </c>
      <c r="F230" s="2">
        <v>50</v>
      </c>
      <c r="G230" s="22">
        <v>0</v>
      </c>
      <c r="H230" s="22" t="s">
        <v>61</v>
      </c>
      <c r="I230">
        <f>_xlfn.XLOOKUP(Orders[[#This Row],[Product_ID]],Products[Product_ID], Products[Unit_Price])</f>
        <v>1.8</v>
      </c>
      <c r="J230">
        <f>Orders[[#This Row],[Quantity]]*Orders[[#This Row],[Unit_Price]]</f>
        <v>90</v>
      </c>
      <c r="K230">
        <f>_xlfn.XLOOKUP(Orders[[#This Row],[Product_ID]], Products[Product_ID], Products[Cost_Price])</f>
        <v>0.95</v>
      </c>
      <c r="L230">
        <f>Orders[[#This Row],[Cost_Price]]*Orders[[#This Row],[Quantity]]</f>
        <v>47.5</v>
      </c>
      <c r="M230">
        <f>Orders[[#This Row],[Unit_Price]]*Orders[[#This Row],[Discount]]*Orders[[#This Row],[Quantity]]</f>
        <v>0</v>
      </c>
      <c r="N230" s="23">
        <f>Orders[[#This Row],[Gross_Sales]]-Orders[[#This Row],[Total_Cost]]-Orders[[#This Row],[Total_Discount]]</f>
        <v>42.5</v>
      </c>
      <c r="O230" s="23">
        <f>Orders[[#This Row],[Total_Cost]]+Orders[[#This Row],[Total_Discount]]</f>
        <v>47.5</v>
      </c>
      <c r="P230" t="str">
        <f>_xlfn.XLOOKUP(Orders[[#This Row],[Product_ID]], Products[Product_ID], Products[Product_Name])</f>
        <v>Sparkling Citrus</v>
      </c>
      <c r="Q230" t="str">
        <f>_xlfn.XLOOKUP(Orders[[#This Row],[Product_ID]], Products[Product_ID], Products[Category])</f>
        <v>Water</v>
      </c>
      <c r="R230" t="str">
        <f>_xlfn.XLOOKUP(Orders[[#This Row],[Customer_ID]], Customers[Customer_ID], Customers[County])</f>
        <v>Dublin</v>
      </c>
      <c r="S230" t="str">
        <f>_xlfn.XLOOKUP(Orders[[#This Row],[Customer_ID]], Customers[Customer_ID], Customers[Customer_Type])</f>
        <v>Retailer</v>
      </c>
      <c r="T230" t="str">
        <f>_xlfn.XLOOKUP(Orders[[#This Row],[Customer_ID]], Customers[Customer_ID], Customers[Preferred_Channel])</f>
        <v>Phone</v>
      </c>
      <c r="U230" t="str">
        <f>_xlfn.XLOOKUP(Orders[[#This Row],[Product_ID]], Products[Product_ID], Products[Bottle_Size])</f>
        <v>330ml</v>
      </c>
    </row>
    <row r="231" spans="1:21" ht="15.75" customHeight="1">
      <c r="A231" s="2" t="s">
        <v>637</v>
      </c>
      <c r="B231" s="2">
        <f>DAY(Orders[[#This Row],[Order_Date]])</f>
        <v>12</v>
      </c>
      <c r="C231" s="20">
        <v>46185</v>
      </c>
      <c r="D231" s="2" t="s">
        <v>221</v>
      </c>
      <c r="E231" s="2" t="s">
        <v>134</v>
      </c>
      <c r="F231" s="2">
        <v>41</v>
      </c>
      <c r="G231" s="22">
        <v>0.05</v>
      </c>
      <c r="H231" s="22" t="s">
        <v>61</v>
      </c>
      <c r="I231">
        <f>_xlfn.XLOOKUP(Orders[[#This Row],[Product_ID]],Products[Product_ID], Products[Unit_Price])</f>
        <v>1.8</v>
      </c>
      <c r="J231">
        <f>Orders[[#This Row],[Quantity]]*Orders[[#This Row],[Unit_Price]]</f>
        <v>73.8</v>
      </c>
      <c r="K231">
        <f>_xlfn.XLOOKUP(Orders[[#This Row],[Product_ID]], Products[Product_ID], Products[Cost_Price])</f>
        <v>0.95</v>
      </c>
      <c r="L231">
        <f>Orders[[#This Row],[Cost_Price]]*Orders[[#This Row],[Quantity]]</f>
        <v>38.949999999999996</v>
      </c>
      <c r="M231">
        <f>Orders[[#This Row],[Unit_Price]]*Orders[[#This Row],[Discount]]*Orders[[#This Row],[Quantity]]</f>
        <v>3.6900000000000004</v>
      </c>
      <c r="N231" s="23">
        <f>Orders[[#This Row],[Gross_Sales]]-Orders[[#This Row],[Total_Cost]]-Orders[[#This Row],[Total_Discount]]</f>
        <v>31.16</v>
      </c>
      <c r="O231" s="23">
        <f>Orders[[#This Row],[Total_Cost]]+Orders[[#This Row],[Total_Discount]]</f>
        <v>42.639999999999993</v>
      </c>
      <c r="P231" t="str">
        <f>_xlfn.XLOOKUP(Orders[[#This Row],[Product_ID]], Products[Product_ID], Products[Product_Name])</f>
        <v>Sparkling Citrus</v>
      </c>
      <c r="Q231" t="str">
        <f>_xlfn.XLOOKUP(Orders[[#This Row],[Product_ID]], Products[Product_ID], Products[Category])</f>
        <v>Water</v>
      </c>
      <c r="R231" t="str">
        <f>_xlfn.XLOOKUP(Orders[[#This Row],[Customer_ID]], Customers[Customer_ID], Customers[County])</f>
        <v>Galway</v>
      </c>
      <c r="S231" t="str">
        <f>_xlfn.XLOOKUP(Orders[[#This Row],[Customer_ID]], Customers[Customer_ID], Customers[Customer_Type])</f>
        <v>Restaurant</v>
      </c>
      <c r="T231" t="str">
        <f>_xlfn.XLOOKUP(Orders[[#This Row],[Customer_ID]], Customers[Customer_ID], Customers[Preferred_Channel])</f>
        <v>Online</v>
      </c>
      <c r="U231" t="str">
        <f>_xlfn.XLOOKUP(Orders[[#This Row],[Product_ID]], Products[Product_ID], Products[Bottle_Size])</f>
        <v>330ml</v>
      </c>
    </row>
    <row r="232" spans="1:21" ht="15.75" customHeight="1">
      <c r="A232" s="2" t="s">
        <v>638</v>
      </c>
      <c r="B232" s="2">
        <f>DAY(Orders[[#This Row],[Order_Date]])</f>
        <v>28</v>
      </c>
      <c r="C232" s="20">
        <v>46201</v>
      </c>
      <c r="D232" s="2" t="s">
        <v>362</v>
      </c>
      <c r="E232" s="2" t="s">
        <v>217</v>
      </c>
      <c r="F232" s="2">
        <v>46</v>
      </c>
      <c r="G232" s="22">
        <v>0.1</v>
      </c>
      <c r="H232" s="22" t="s">
        <v>61</v>
      </c>
      <c r="I232">
        <f>_xlfn.XLOOKUP(Orders[[#This Row],[Product_ID]],Products[Product_ID], Products[Unit_Price])</f>
        <v>1.4</v>
      </c>
      <c r="J232">
        <f>Orders[[#This Row],[Quantity]]*Orders[[#This Row],[Unit_Price]]</f>
        <v>64.399999999999991</v>
      </c>
      <c r="K232">
        <f>_xlfn.XLOOKUP(Orders[[#This Row],[Product_ID]], Products[Product_ID], Products[Cost_Price])</f>
        <v>0.7</v>
      </c>
      <c r="L232">
        <f>Orders[[#This Row],[Cost_Price]]*Orders[[#This Row],[Quantity]]</f>
        <v>32.199999999999996</v>
      </c>
      <c r="M232">
        <f>Orders[[#This Row],[Unit_Price]]*Orders[[#This Row],[Discount]]*Orders[[#This Row],[Quantity]]</f>
        <v>6.4399999999999995</v>
      </c>
      <c r="N232" s="23">
        <f>Orders[[#This Row],[Gross_Sales]]-Orders[[#This Row],[Total_Cost]]-Orders[[#This Row],[Total_Discount]]</f>
        <v>25.759999999999998</v>
      </c>
      <c r="O232" s="23">
        <f>Orders[[#This Row],[Total_Cost]]+Orders[[#This Row],[Total_Discount]]</f>
        <v>38.639999999999993</v>
      </c>
      <c r="P232" t="str">
        <f>_xlfn.XLOOKUP(Orders[[#This Row],[Product_ID]], Products[Product_ID], Products[Product_Name])</f>
        <v>Spring Water</v>
      </c>
      <c r="Q232" t="str">
        <f>_xlfn.XLOOKUP(Orders[[#This Row],[Product_ID]], Products[Product_ID], Products[Category])</f>
        <v>Water</v>
      </c>
      <c r="R232" t="str">
        <f>_xlfn.XLOOKUP(Orders[[#This Row],[Customer_ID]], Customers[Customer_ID], Customers[County])</f>
        <v>Louth</v>
      </c>
      <c r="S232" t="str">
        <f>_xlfn.XLOOKUP(Orders[[#This Row],[Customer_ID]], Customers[Customer_ID], Customers[Customer_Type])</f>
        <v>Supermarket</v>
      </c>
      <c r="T232" t="str">
        <f>_xlfn.XLOOKUP(Orders[[#This Row],[Customer_ID]], Customers[Customer_ID], Customers[Preferred_Channel])</f>
        <v>Sales Rep</v>
      </c>
      <c r="U232" t="str">
        <f>_xlfn.XLOOKUP(Orders[[#This Row],[Product_ID]], Products[Product_ID], Products[Bottle_Size])</f>
        <v>500ml</v>
      </c>
    </row>
    <row r="233" spans="1:21" ht="15.75" customHeight="1">
      <c r="A233" s="2" t="s">
        <v>639</v>
      </c>
      <c r="B233" s="2">
        <f>DAY(Orders[[#This Row],[Order_Date]])</f>
        <v>17</v>
      </c>
      <c r="C233" s="20">
        <v>46190</v>
      </c>
      <c r="D233" s="2" t="s">
        <v>40</v>
      </c>
      <c r="E233" s="2" t="s">
        <v>199</v>
      </c>
      <c r="F233" s="2">
        <v>45</v>
      </c>
      <c r="G233" s="22">
        <v>0.1</v>
      </c>
      <c r="H233" s="22" t="s">
        <v>61</v>
      </c>
      <c r="I233">
        <f>_xlfn.XLOOKUP(Orders[[#This Row],[Product_ID]],Products[Product_ID], Products[Unit_Price])</f>
        <v>1.7</v>
      </c>
      <c r="J233">
        <f>Orders[[#This Row],[Quantity]]*Orders[[#This Row],[Unit_Price]]</f>
        <v>76.5</v>
      </c>
      <c r="K233">
        <f>_xlfn.XLOOKUP(Orders[[#This Row],[Product_ID]], Products[Product_ID], Products[Cost_Price])</f>
        <v>0.9</v>
      </c>
      <c r="L233">
        <f>Orders[[#This Row],[Cost_Price]]*Orders[[#This Row],[Quantity]]</f>
        <v>40.5</v>
      </c>
      <c r="M233">
        <f>Orders[[#This Row],[Unit_Price]]*Orders[[#This Row],[Discount]]*Orders[[#This Row],[Quantity]]</f>
        <v>7.65</v>
      </c>
      <c r="N233" s="23">
        <f>Orders[[#This Row],[Gross_Sales]]-Orders[[#This Row],[Total_Cost]]-Orders[[#This Row],[Total_Discount]]</f>
        <v>28.35</v>
      </c>
      <c r="O233" s="23">
        <f>Orders[[#This Row],[Total_Cost]]+Orders[[#This Row],[Total_Discount]]</f>
        <v>48.15</v>
      </c>
      <c r="P233" t="str">
        <f>_xlfn.XLOOKUP(Orders[[#This Row],[Product_ID]], Products[Product_ID], Products[Product_Name])</f>
        <v>Zero Cola</v>
      </c>
      <c r="Q233" t="str">
        <f>_xlfn.XLOOKUP(Orders[[#This Row],[Product_ID]], Products[Product_ID], Products[Category])</f>
        <v>Soft Drink</v>
      </c>
      <c r="R233" t="str">
        <f>_xlfn.XLOOKUP(Orders[[#This Row],[Customer_ID]], Customers[Customer_ID], Customers[County])</f>
        <v>Kildare</v>
      </c>
      <c r="S233" t="str">
        <f>_xlfn.XLOOKUP(Orders[[#This Row],[Customer_ID]], Customers[Customer_ID], Customers[Customer_Type])</f>
        <v>Retailer</v>
      </c>
      <c r="T233" t="str">
        <f>_xlfn.XLOOKUP(Orders[[#This Row],[Customer_ID]], Customers[Customer_ID], Customers[Preferred_Channel])</f>
        <v>Sales Rep</v>
      </c>
      <c r="U233" t="str">
        <f>_xlfn.XLOOKUP(Orders[[#This Row],[Product_ID]], Products[Product_ID], Products[Bottle_Size])</f>
        <v>330ml</v>
      </c>
    </row>
    <row r="234" spans="1:21" ht="15.75" customHeight="1">
      <c r="A234" s="2" t="s">
        <v>640</v>
      </c>
      <c r="B234" s="2">
        <f>DAY(Orders[[#This Row],[Order_Date]])</f>
        <v>6</v>
      </c>
      <c r="C234" s="20">
        <v>46179</v>
      </c>
      <c r="D234" s="2" t="s">
        <v>227</v>
      </c>
      <c r="E234" s="2" t="s">
        <v>57</v>
      </c>
      <c r="F234" s="2">
        <v>23</v>
      </c>
      <c r="G234" s="22">
        <v>0</v>
      </c>
      <c r="H234" s="22" t="s">
        <v>61</v>
      </c>
      <c r="I234">
        <f>_xlfn.XLOOKUP(Orders[[#This Row],[Product_ID]],Products[Product_ID], Products[Unit_Price])</f>
        <v>2</v>
      </c>
      <c r="J234">
        <f>Orders[[#This Row],[Quantity]]*Orders[[#This Row],[Unit_Price]]</f>
        <v>46</v>
      </c>
      <c r="K234">
        <f>_xlfn.XLOOKUP(Orders[[#This Row],[Product_ID]], Products[Product_ID], Products[Cost_Price])</f>
        <v>1</v>
      </c>
      <c r="L234">
        <f>Orders[[#This Row],[Cost_Price]]*Orders[[#This Row],[Quantity]]</f>
        <v>23</v>
      </c>
      <c r="M234">
        <f>Orders[[#This Row],[Unit_Price]]*Orders[[#This Row],[Discount]]*Orders[[#This Row],[Quantity]]</f>
        <v>0</v>
      </c>
      <c r="N234" s="23">
        <f>Orders[[#This Row],[Gross_Sales]]-Orders[[#This Row],[Total_Cost]]-Orders[[#This Row],[Total_Discount]]</f>
        <v>23</v>
      </c>
      <c r="O234" s="23">
        <f>Orders[[#This Row],[Total_Cost]]+Orders[[#This Row],[Total_Discount]]</f>
        <v>23</v>
      </c>
      <c r="P234" t="str">
        <f>_xlfn.XLOOKUP(Orders[[#This Row],[Product_ID]], Products[Product_ID], Products[Product_Name])</f>
        <v xml:space="preserve">Mineral Water
</v>
      </c>
      <c r="Q234" t="str">
        <f>_xlfn.XLOOKUP(Orders[[#This Row],[Product_ID]], Products[Product_ID], Products[Category])</f>
        <v>Water</v>
      </c>
      <c r="R234" t="str">
        <f>_xlfn.XLOOKUP(Orders[[#This Row],[Customer_ID]], Customers[Customer_ID], Customers[County])</f>
        <v>Clare</v>
      </c>
      <c r="S234" t="str">
        <f>_xlfn.XLOOKUP(Orders[[#This Row],[Customer_ID]], Customers[Customer_ID], Customers[Customer_Type])</f>
        <v>Supermarket</v>
      </c>
      <c r="T234" t="str">
        <f>_xlfn.XLOOKUP(Orders[[#This Row],[Customer_ID]], Customers[Customer_ID], Customers[Preferred_Channel])</f>
        <v>Phone</v>
      </c>
      <c r="U234" t="str">
        <f>_xlfn.XLOOKUP(Orders[[#This Row],[Product_ID]], Products[Product_ID], Products[Bottle_Size])</f>
        <v>1.5L</v>
      </c>
    </row>
    <row r="235" spans="1:21" ht="15.75" customHeight="1">
      <c r="A235" s="2" t="s">
        <v>641</v>
      </c>
      <c r="B235" s="2">
        <f>DAY(Orders[[#This Row],[Order_Date]])</f>
        <v>4</v>
      </c>
      <c r="C235" s="20">
        <v>46177</v>
      </c>
      <c r="D235" s="2" t="s">
        <v>86</v>
      </c>
      <c r="E235" s="2" t="s">
        <v>41</v>
      </c>
      <c r="F235" s="2">
        <v>26</v>
      </c>
      <c r="G235" s="22">
        <v>0</v>
      </c>
      <c r="H235" s="22" t="s">
        <v>49</v>
      </c>
      <c r="I235">
        <f>_xlfn.XLOOKUP(Orders[[#This Row],[Product_ID]],Products[Product_ID], Products[Unit_Price])</f>
        <v>2.2000000000000002</v>
      </c>
      <c r="J235">
        <f>Orders[[#This Row],[Quantity]]*Orders[[#This Row],[Unit_Price]]</f>
        <v>57.2</v>
      </c>
      <c r="K235">
        <f>_xlfn.XLOOKUP(Orders[[#This Row],[Product_ID]], Products[Product_ID], Products[Cost_Price])</f>
        <v>1.2</v>
      </c>
      <c r="L235">
        <f>Orders[[#This Row],[Cost_Price]]*Orders[[#This Row],[Quantity]]</f>
        <v>31.2</v>
      </c>
      <c r="M235">
        <f>Orders[[#This Row],[Unit_Price]]*Orders[[#This Row],[Discount]]*Orders[[#This Row],[Quantity]]</f>
        <v>0</v>
      </c>
      <c r="N235" s="23">
        <f>Orders[[#This Row],[Gross_Sales]]-Orders[[#This Row],[Total_Cost]]-Orders[[#This Row],[Total_Discount]]</f>
        <v>26.000000000000004</v>
      </c>
      <c r="O235" s="23">
        <f>Orders[[#This Row],[Total_Cost]]+Orders[[#This Row],[Total_Discount]]</f>
        <v>31.2</v>
      </c>
      <c r="P235" t="str">
        <f>_xlfn.XLOOKUP(Orders[[#This Row],[Product_ID]], Products[Product_ID], Products[Product_Name])</f>
        <v>Peach Tea</v>
      </c>
      <c r="Q235" t="str">
        <f>_xlfn.XLOOKUP(Orders[[#This Row],[Product_ID]], Products[Product_ID], Products[Category])</f>
        <v>Tea</v>
      </c>
      <c r="R235" t="str">
        <f>_xlfn.XLOOKUP(Orders[[#This Row],[Customer_ID]], Customers[Customer_ID], Customers[County])</f>
        <v>Meath</v>
      </c>
      <c r="S235" t="str">
        <f>_xlfn.XLOOKUP(Orders[[#This Row],[Customer_ID]], Customers[Customer_ID], Customers[Customer_Type])</f>
        <v>Wholesaler</v>
      </c>
      <c r="T235" t="str">
        <f>_xlfn.XLOOKUP(Orders[[#This Row],[Customer_ID]], Customers[Customer_ID], Customers[Preferred_Channel])</f>
        <v>Phone</v>
      </c>
      <c r="U235" t="str">
        <f>_xlfn.XLOOKUP(Orders[[#This Row],[Product_ID]], Products[Product_ID], Products[Bottle_Size])</f>
        <v>500ml</v>
      </c>
    </row>
    <row r="236" spans="1:21" ht="15.75" customHeight="1">
      <c r="A236" s="2" t="s">
        <v>642</v>
      </c>
      <c r="B236" s="2">
        <f>DAY(Orders[[#This Row],[Order_Date]])</f>
        <v>4</v>
      </c>
      <c r="C236" s="20">
        <v>46177</v>
      </c>
      <c r="D236" s="2" t="s">
        <v>299</v>
      </c>
      <c r="E236" s="2" t="s">
        <v>95</v>
      </c>
      <c r="F236" s="2">
        <v>38</v>
      </c>
      <c r="G236" s="22">
        <v>0</v>
      </c>
      <c r="H236" s="22" t="s">
        <v>61</v>
      </c>
      <c r="I236">
        <f>_xlfn.XLOOKUP(Orders[[#This Row],[Product_ID]],Products[Product_ID], Products[Unit_Price])</f>
        <v>2.5</v>
      </c>
      <c r="J236">
        <f>Orders[[#This Row],[Quantity]]*Orders[[#This Row],[Unit_Price]]</f>
        <v>95</v>
      </c>
      <c r="K236">
        <f>_xlfn.XLOOKUP(Orders[[#This Row],[Product_ID]], Products[Product_ID], Products[Cost_Price])</f>
        <v>1.4</v>
      </c>
      <c r="L236">
        <f>Orders[[#This Row],[Cost_Price]]*Orders[[#This Row],[Quantity]]</f>
        <v>53.199999999999996</v>
      </c>
      <c r="M236">
        <f>Orders[[#This Row],[Unit_Price]]*Orders[[#This Row],[Discount]]*Orders[[#This Row],[Quantity]]</f>
        <v>0</v>
      </c>
      <c r="N236" s="23">
        <f>Orders[[#This Row],[Gross_Sales]]-Orders[[#This Row],[Total_Cost]]-Orders[[#This Row],[Total_Discount]]</f>
        <v>41.800000000000004</v>
      </c>
      <c r="O236" s="23">
        <f>Orders[[#This Row],[Total_Cost]]+Orders[[#This Row],[Total_Discount]]</f>
        <v>53.199999999999996</v>
      </c>
      <c r="P236" t="str">
        <f>_xlfn.XLOOKUP(Orders[[#This Row],[Product_ID]], Products[Product_ID], Products[Product_Name])</f>
        <v>Energy Boost</v>
      </c>
      <c r="Q236" t="str">
        <f>_xlfn.XLOOKUP(Orders[[#This Row],[Product_ID]], Products[Product_ID], Products[Category])</f>
        <v>Energy Drink</v>
      </c>
      <c r="R236" t="str">
        <f>_xlfn.XLOOKUP(Orders[[#This Row],[Customer_ID]], Customers[Customer_ID], Customers[County])</f>
        <v>Tipperary</v>
      </c>
      <c r="S236" t="str">
        <f>_xlfn.XLOOKUP(Orders[[#This Row],[Customer_ID]], Customers[Customer_ID], Customers[Customer_Type])</f>
        <v>Restaurant</v>
      </c>
      <c r="T236" t="str">
        <f>_xlfn.XLOOKUP(Orders[[#This Row],[Customer_ID]], Customers[Customer_ID], Customers[Preferred_Channel])</f>
        <v>Phone</v>
      </c>
      <c r="U236" t="str">
        <f>_xlfn.XLOOKUP(Orders[[#This Row],[Product_ID]], Products[Product_ID], Products[Bottle_Size])</f>
        <v>250ml</v>
      </c>
    </row>
    <row r="237" spans="1:21" ht="15.75" customHeight="1">
      <c r="A237" s="2" t="s">
        <v>643</v>
      </c>
      <c r="B237" s="2">
        <f>DAY(Orders[[#This Row],[Order_Date]])</f>
        <v>12</v>
      </c>
      <c r="C237" s="20">
        <v>46185</v>
      </c>
      <c r="D237" s="2" t="s">
        <v>336</v>
      </c>
      <c r="E237" s="2" t="s">
        <v>134</v>
      </c>
      <c r="F237" s="2">
        <v>22</v>
      </c>
      <c r="G237" s="22">
        <v>0</v>
      </c>
      <c r="H237" s="22" t="s">
        <v>61</v>
      </c>
      <c r="I237">
        <f>_xlfn.XLOOKUP(Orders[[#This Row],[Product_ID]],Products[Product_ID], Products[Unit_Price])</f>
        <v>1.8</v>
      </c>
      <c r="J237">
        <f>Orders[[#This Row],[Quantity]]*Orders[[#This Row],[Unit_Price]]</f>
        <v>39.6</v>
      </c>
      <c r="K237">
        <f>_xlfn.XLOOKUP(Orders[[#This Row],[Product_ID]], Products[Product_ID], Products[Cost_Price])</f>
        <v>0.95</v>
      </c>
      <c r="L237">
        <f>Orders[[#This Row],[Cost_Price]]*Orders[[#This Row],[Quantity]]</f>
        <v>20.9</v>
      </c>
      <c r="M237">
        <f>Orders[[#This Row],[Unit_Price]]*Orders[[#This Row],[Discount]]*Orders[[#This Row],[Quantity]]</f>
        <v>0</v>
      </c>
      <c r="N237" s="23">
        <f>Orders[[#This Row],[Gross_Sales]]-Orders[[#This Row],[Total_Cost]]-Orders[[#This Row],[Total_Discount]]</f>
        <v>18.700000000000003</v>
      </c>
      <c r="O237" s="23">
        <f>Orders[[#This Row],[Total_Cost]]+Orders[[#This Row],[Total_Discount]]</f>
        <v>20.9</v>
      </c>
      <c r="P237" t="str">
        <f>_xlfn.XLOOKUP(Orders[[#This Row],[Product_ID]], Products[Product_ID], Products[Product_Name])</f>
        <v>Sparkling Citrus</v>
      </c>
      <c r="Q237" t="str">
        <f>_xlfn.XLOOKUP(Orders[[#This Row],[Product_ID]], Products[Product_ID], Products[Category])</f>
        <v>Water</v>
      </c>
      <c r="R237" t="str">
        <f>_xlfn.XLOOKUP(Orders[[#This Row],[Customer_ID]], Customers[Customer_ID], Customers[County])</f>
        <v>Louth</v>
      </c>
      <c r="S237" t="str">
        <f>_xlfn.XLOOKUP(Orders[[#This Row],[Customer_ID]], Customers[Customer_ID], Customers[Customer_Type])</f>
        <v>Retailer</v>
      </c>
      <c r="T237" t="str">
        <f>_xlfn.XLOOKUP(Orders[[#This Row],[Customer_ID]], Customers[Customer_ID], Customers[Preferred_Channel])</f>
        <v>Distributor</v>
      </c>
      <c r="U237" t="str">
        <f>_xlfn.XLOOKUP(Orders[[#This Row],[Product_ID]], Products[Product_ID], Products[Bottle_Size])</f>
        <v>330ml</v>
      </c>
    </row>
    <row r="238" spans="1:21" ht="15.75" customHeight="1">
      <c r="A238" s="2" t="s">
        <v>644</v>
      </c>
      <c r="B238" s="2">
        <f>DAY(Orders[[#This Row],[Order_Date]])</f>
        <v>21</v>
      </c>
      <c r="C238" s="20">
        <v>46194</v>
      </c>
      <c r="D238" s="2" t="s">
        <v>198</v>
      </c>
      <c r="E238" s="2" t="s">
        <v>151</v>
      </c>
      <c r="F238" s="2">
        <v>5</v>
      </c>
      <c r="G238" s="22">
        <v>0</v>
      </c>
      <c r="H238" s="22" t="s">
        <v>49</v>
      </c>
      <c r="I238">
        <f>_xlfn.XLOOKUP(Orders[[#This Row],[Product_ID]],Products[Product_ID], Products[Unit_Price])</f>
        <v>1.5</v>
      </c>
      <c r="J238">
        <f>Orders[[#This Row],[Quantity]]*Orders[[#This Row],[Unit_Price]]</f>
        <v>7.5</v>
      </c>
      <c r="K238">
        <f>_xlfn.XLOOKUP(Orders[[#This Row],[Product_ID]], Products[Product_ID], Products[Cost_Price])</f>
        <v>0.8</v>
      </c>
      <c r="L238">
        <f>Orders[[#This Row],[Cost_Price]]*Orders[[#This Row],[Quantity]]</f>
        <v>4</v>
      </c>
      <c r="M238">
        <f>Orders[[#This Row],[Unit_Price]]*Orders[[#This Row],[Discount]]*Orders[[#This Row],[Quantity]]</f>
        <v>0</v>
      </c>
      <c r="N238" s="23">
        <f>Orders[[#This Row],[Gross_Sales]]-Orders[[#This Row],[Total_Cost]]-Orders[[#This Row],[Total_Discount]]</f>
        <v>3.5</v>
      </c>
      <c r="O238" s="23">
        <f>Orders[[#This Row],[Total_Cost]]+Orders[[#This Row],[Total_Discount]]</f>
        <v>4</v>
      </c>
      <c r="P238" t="str">
        <f>_xlfn.XLOOKUP(Orders[[#This Row],[Product_ID]], Products[Product_ID], Products[Product_Name])</f>
        <v>Kids Juice</v>
      </c>
      <c r="Q238" t="str">
        <f>_xlfn.XLOOKUP(Orders[[#This Row],[Product_ID]], Products[Product_ID], Products[Category])</f>
        <v>Juice</v>
      </c>
      <c r="R238" t="str">
        <f>_xlfn.XLOOKUP(Orders[[#This Row],[Customer_ID]], Customers[Customer_ID], Customers[County])</f>
        <v>Kerry</v>
      </c>
      <c r="S238" t="str">
        <f>_xlfn.XLOOKUP(Orders[[#This Row],[Customer_ID]], Customers[Customer_ID], Customers[Customer_Type])</f>
        <v>Restaurant</v>
      </c>
      <c r="T238" t="str">
        <f>_xlfn.XLOOKUP(Orders[[#This Row],[Customer_ID]], Customers[Customer_ID], Customers[Preferred_Channel])</f>
        <v>Sales Rep</v>
      </c>
      <c r="U238" t="str">
        <f>_xlfn.XLOOKUP(Orders[[#This Row],[Product_ID]], Products[Product_ID], Products[Bottle_Size])</f>
        <v>250ml</v>
      </c>
    </row>
    <row r="239" spans="1:21" ht="15.75" customHeight="1">
      <c r="A239" s="2" t="s">
        <v>645</v>
      </c>
      <c r="B239" s="2">
        <f>DAY(Orders[[#This Row],[Order_Date]])</f>
        <v>11</v>
      </c>
      <c r="C239" s="20">
        <v>46184</v>
      </c>
      <c r="D239" s="2" t="s">
        <v>298</v>
      </c>
      <c r="E239" s="2" t="s">
        <v>170</v>
      </c>
      <c r="F239" s="2">
        <v>10</v>
      </c>
      <c r="G239" s="22">
        <v>0</v>
      </c>
      <c r="H239" s="22" t="s">
        <v>61</v>
      </c>
      <c r="I239">
        <f>_xlfn.XLOOKUP(Orders[[#This Row],[Product_ID]],Products[Product_ID], Products[Unit_Price])</f>
        <v>1.9</v>
      </c>
      <c r="J239">
        <f>Orders[[#This Row],[Quantity]]*Orders[[#This Row],[Unit_Price]]</f>
        <v>19</v>
      </c>
      <c r="K239">
        <f>_xlfn.XLOOKUP(Orders[[#This Row],[Product_ID]], Products[Product_ID], Products[Cost_Price])</f>
        <v>0.95</v>
      </c>
      <c r="L239">
        <f>Orders[[#This Row],[Cost_Price]]*Orders[[#This Row],[Quantity]]</f>
        <v>9.5</v>
      </c>
      <c r="M239">
        <f>Orders[[#This Row],[Unit_Price]]*Orders[[#This Row],[Discount]]*Orders[[#This Row],[Quantity]]</f>
        <v>0</v>
      </c>
      <c r="N239" s="23">
        <f>Orders[[#This Row],[Gross_Sales]]-Orders[[#This Row],[Total_Cost]]-Orders[[#This Row],[Total_Discount]]</f>
        <v>9.5</v>
      </c>
      <c r="O239" s="23">
        <f>Orders[[#This Row],[Total_Cost]]+Orders[[#This Row],[Total_Discount]]</f>
        <v>9.5</v>
      </c>
      <c r="P239" t="str">
        <f>_xlfn.XLOOKUP(Orders[[#This Row],[Product_ID]], Products[Product_ID], Products[Product_Name])</f>
        <v>Vitamin Water</v>
      </c>
      <c r="Q239" t="str">
        <f>_xlfn.XLOOKUP(Orders[[#This Row],[Product_ID]], Products[Product_ID], Products[Category])</f>
        <v>Water</v>
      </c>
      <c r="R239" t="str">
        <f>_xlfn.XLOOKUP(Orders[[#This Row],[Customer_ID]], Customers[Customer_ID], Customers[County])</f>
        <v>Waterford</v>
      </c>
      <c r="S239" t="str">
        <f>_xlfn.XLOOKUP(Orders[[#This Row],[Customer_ID]], Customers[Customer_ID], Customers[Customer_Type])</f>
        <v>Retailer</v>
      </c>
      <c r="T239" t="str">
        <f>_xlfn.XLOOKUP(Orders[[#This Row],[Customer_ID]], Customers[Customer_ID], Customers[Preferred_Channel])</f>
        <v>Email</v>
      </c>
      <c r="U239" t="str">
        <f>_xlfn.XLOOKUP(Orders[[#This Row],[Product_ID]], Products[Product_ID], Products[Bottle_Size])</f>
        <v>500ml</v>
      </c>
    </row>
    <row r="240" spans="1:21" ht="15.75" customHeight="1">
      <c r="A240" s="2" t="s">
        <v>646</v>
      </c>
      <c r="B240" s="2">
        <f>DAY(Orders[[#This Row],[Order_Date]])</f>
        <v>11</v>
      </c>
      <c r="C240" s="20">
        <v>46184</v>
      </c>
      <c r="D240" s="2" t="s">
        <v>313</v>
      </c>
      <c r="E240" s="2" t="s">
        <v>69</v>
      </c>
      <c r="F240" s="2">
        <v>8</v>
      </c>
      <c r="G240" s="22">
        <v>0.05</v>
      </c>
      <c r="H240" s="22" t="s">
        <v>61</v>
      </c>
      <c r="I240">
        <f>_xlfn.XLOOKUP(Orders[[#This Row],[Product_ID]],Products[Product_ID], Products[Unit_Price])</f>
        <v>2</v>
      </c>
      <c r="J240">
        <f>Orders[[#This Row],[Quantity]]*Orders[[#This Row],[Unit_Price]]</f>
        <v>16</v>
      </c>
      <c r="K240">
        <f>_xlfn.XLOOKUP(Orders[[#This Row],[Product_ID]], Products[Product_ID], Products[Cost_Price])</f>
        <v>1.1000000000000001</v>
      </c>
      <c r="L240">
        <f>Orders[[#This Row],[Cost_Price]]*Orders[[#This Row],[Quantity]]</f>
        <v>8.8000000000000007</v>
      </c>
      <c r="M240">
        <f>Orders[[#This Row],[Unit_Price]]*Orders[[#This Row],[Discount]]*Orders[[#This Row],[Quantity]]</f>
        <v>0.8</v>
      </c>
      <c r="N240" s="23">
        <f>Orders[[#This Row],[Gross_Sales]]-Orders[[#This Row],[Total_Cost]]-Orders[[#This Row],[Total_Discount]]</f>
        <v>6.3999999999999995</v>
      </c>
      <c r="O240" s="23">
        <f>Orders[[#This Row],[Total_Cost]]+Orders[[#This Row],[Total_Discount]]</f>
        <v>9.6000000000000014</v>
      </c>
      <c r="P240" t="str">
        <f>_xlfn.XLOOKUP(Orders[[#This Row],[Product_ID]], Products[Product_ID], Products[Product_Name])</f>
        <v>Apple Juice</v>
      </c>
      <c r="Q240" t="str">
        <f>_xlfn.XLOOKUP(Orders[[#This Row],[Product_ID]], Products[Product_ID], Products[Category])</f>
        <v>Juice</v>
      </c>
      <c r="R240" t="str">
        <f>_xlfn.XLOOKUP(Orders[[#This Row],[Customer_ID]], Customers[Customer_ID], Customers[County])</f>
        <v>Meath</v>
      </c>
      <c r="S240" t="str">
        <f>_xlfn.XLOOKUP(Orders[[#This Row],[Customer_ID]], Customers[Customer_ID], Customers[Customer_Type])</f>
        <v>Restaurant</v>
      </c>
      <c r="T240" t="str">
        <f>_xlfn.XLOOKUP(Orders[[#This Row],[Customer_ID]], Customers[Customer_ID], Customers[Preferred_Channel])</f>
        <v>Phone</v>
      </c>
      <c r="U240" t="str">
        <f>_xlfn.XLOOKUP(Orders[[#This Row],[Product_ID]], Products[Product_ID], Products[Bottle_Size])</f>
        <v>1L</v>
      </c>
    </row>
    <row r="241" spans="1:21" ht="15.75" customHeight="1">
      <c r="A241" s="2" t="s">
        <v>647</v>
      </c>
      <c r="B241" s="2">
        <f>DAY(Orders[[#This Row],[Order_Date]])</f>
        <v>14</v>
      </c>
      <c r="C241" s="20">
        <v>46187</v>
      </c>
      <c r="D241" s="2" t="s">
        <v>198</v>
      </c>
      <c r="E241" s="2" t="s">
        <v>125</v>
      </c>
      <c r="F241" s="2">
        <v>45</v>
      </c>
      <c r="G241" s="22">
        <v>0</v>
      </c>
      <c r="H241" s="22" t="s">
        <v>49</v>
      </c>
      <c r="I241">
        <f>_xlfn.XLOOKUP(Orders[[#This Row],[Product_ID]],Products[Product_ID], Products[Unit_Price])</f>
        <v>2.2000000000000002</v>
      </c>
      <c r="J241">
        <f>Orders[[#This Row],[Quantity]]*Orders[[#This Row],[Unit_Price]]</f>
        <v>99.000000000000014</v>
      </c>
      <c r="K241">
        <f>_xlfn.XLOOKUP(Orders[[#This Row],[Product_ID]], Products[Product_ID], Products[Cost_Price])</f>
        <v>1.3</v>
      </c>
      <c r="L241">
        <f>Orders[[#This Row],[Cost_Price]]*Orders[[#This Row],[Quantity]]</f>
        <v>58.5</v>
      </c>
      <c r="M241">
        <f>Orders[[#This Row],[Unit_Price]]*Orders[[#This Row],[Discount]]*Orders[[#This Row],[Quantity]]</f>
        <v>0</v>
      </c>
      <c r="N241" s="23">
        <f>Orders[[#This Row],[Gross_Sales]]-Orders[[#This Row],[Total_Cost]]-Orders[[#This Row],[Total_Discount]]</f>
        <v>40.500000000000014</v>
      </c>
      <c r="O241" s="23">
        <f>Orders[[#This Row],[Total_Cost]]+Orders[[#This Row],[Total_Discount]]</f>
        <v>58.5</v>
      </c>
      <c r="P241" t="str">
        <f>_xlfn.XLOOKUP(Orders[[#This Row],[Product_ID]], Products[Product_ID], Products[Product_Name])</f>
        <v>Iced Tea</v>
      </c>
      <c r="Q241" t="str">
        <f>_xlfn.XLOOKUP(Orders[[#This Row],[Product_ID]], Products[Product_ID], Products[Category])</f>
        <v>Tea</v>
      </c>
      <c r="R241" t="str">
        <f>_xlfn.XLOOKUP(Orders[[#This Row],[Customer_ID]], Customers[Customer_ID], Customers[County])</f>
        <v>Kerry</v>
      </c>
      <c r="S241" t="str">
        <f>_xlfn.XLOOKUP(Orders[[#This Row],[Customer_ID]], Customers[Customer_ID], Customers[Customer_Type])</f>
        <v>Restaurant</v>
      </c>
      <c r="T241" t="str">
        <f>_xlfn.XLOOKUP(Orders[[#This Row],[Customer_ID]], Customers[Customer_ID], Customers[Preferred_Channel])</f>
        <v>Sales Rep</v>
      </c>
      <c r="U241" t="str">
        <f>_xlfn.XLOOKUP(Orders[[#This Row],[Product_ID]], Products[Product_ID], Products[Bottle_Size])</f>
        <v>500ml</v>
      </c>
    </row>
    <row r="242" spans="1:21" ht="15.75" customHeight="1">
      <c r="A242" s="2" t="s">
        <v>648</v>
      </c>
      <c r="B242" s="2">
        <f>DAY(Orders[[#This Row],[Order_Date]])</f>
        <v>22</v>
      </c>
      <c r="C242" s="20">
        <v>46195</v>
      </c>
      <c r="D242" s="2" t="s">
        <v>133</v>
      </c>
      <c r="E242" s="2" t="s">
        <v>134</v>
      </c>
      <c r="F242" s="2">
        <v>32</v>
      </c>
      <c r="G242" s="22">
        <v>0.1</v>
      </c>
      <c r="H242" s="22" t="s">
        <v>61</v>
      </c>
      <c r="I242">
        <f>_xlfn.XLOOKUP(Orders[[#This Row],[Product_ID]],Products[Product_ID], Products[Unit_Price])</f>
        <v>1.8</v>
      </c>
      <c r="J242">
        <f>Orders[[#This Row],[Quantity]]*Orders[[#This Row],[Unit_Price]]</f>
        <v>57.6</v>
      </c>
      <c r="K242">
        <f>_xlfn.XLOOKUP(Orders[[#This Row],[Product_ID]], Products[Product_ID], Products[Cost_Price])</f>
        <v>0.95</v>
      </c>
      <c r="L242">
        <f>Orders[[#This Row],[Cost_Price]]*Orders[[#This Row],[Quantity]]</f>
        <v>30.4</v>
      </c>
      <c r="M242">
        <f>Orders[[#This Row],[Unit_Price]]*Orders[[#This Row],[Discount]]*Orders[[#This Row],[Quantity]]</f>
        <v>5.7600000000000007</v>
      </c>
      <c r="N242" s="23">
        <f>Orders[[#This Row],[Gross_Sales]]-Orders[[#This Row],[Total_Cost]]-Orders[[#This Row],[Total_Discount]]</f>
        <v>21.44</v>
      </c>
      <c r="O242" s="23">
        <f>Orders[[#This Row],[Total_Cost]]+Orders[[#This Row],[Total_Discount]]</f>
        <v>36.159999999999997</v>
      </c>
      <c r="P242" t="str">
        <f>_xlfn.XLOOKUP(Orders[[#This Row],[Product_ID]], Products[Product_ID], Products[Product_Name])</f>
        <v>Sparkling Citrus</v>
      </c>
      <c r="Q242" t="str">
        <f>_xlfn.XLOOKUP(Orders[[#This Row],[Product_ID]], Products[Product_ID], Products[Category])</f>
        <v>Water</v>
      </c>
      <c r="R242" t="str">
        <f>_xlfn.XLOOKUP(Orders[[#This Row],[Customer_ID]], Customers[Customer_ID], Customers[County])</f>
        <v>Meath</v>
      </c>
      <c r="S242" t="str">
        <f>_xlfn.XLOOKUP(Orders[[#This Row],[Customer_ID]], Customers[Customer_ID], Customers[Customer_Type])</f>
        <v>Restaurant</v>
      </c>
      <c r="T242" t="str">
        <f>_xlfn.XLOOKUP(Orders[[#This Row],[Customer_ID]], Customers[Customer_ID], Customers[Preferred_Channel])</f>
        <v>Phone</v>
      </c>
      <c r="U242" t="str">
        <f>_xlfn.XLOOKUP(Orders[[#This Row],[Product_ID]], Products[Product_ID], Products[Bottle_Size])</f>
        <v>330ml</v>
      </c>
    </row>
    <row r="243" spans="1:21" ht="15.75" customHeight="1">
      <c r="A243" s="2" t="s">
        <v>649</v>
      </c>
      <c r="B243" s="2">
        <f>DAY(Orders[[#This Row],[Order_Date]])</f>
        <v>18</v>
      </c>
      <c r="C243" s="20">
        <v>46191</v>
      </c>
      <c r="D243" s="2" t="s">
        <v>64</v>
      </c>
      <c r="E243" s="2" t="s">
        <v>50</v>
      </c>
      <c r="F243" s="2">
        <v>46</v>
      </c>
      <c r="G243" s="22">
        <v>0</v>
      </c>
      <c r="H243" s="22" t="s">
        <v>61</v>
      </c>
      <c r="I243">
        <f>_xlfn.XLOOKUP(Orders[[#This Row],[Product_ID]],Products[Product_ID], Products[Unit_Price])</f>
        <v>1.6</v>
      </c>
      <c r="J243">
        <f>Orders[[#This Row],[Quantity]]*Orders[[#This Row],[Unit_Price]]</f>
        <v>73.600000000000009</v>
      </c>
      <c r="K243">
        <f>_xlfn.XLOOKUP(Orders[[#This Row],[Product_ID]], Products[Product_ID], Products[Cost_Price])</f>
        <v>0.85</v>
      </c>
      <c r="L243">
        <f>Orders[[#This Row],[Cost_Price]]*Orders[[#This Row],[Quantity]]</f>
        <v>39.1</v>
      </c>
      <c r="M243">
        <f>Orders[[#This Row],[Unit_Price]]*Orders[[#This Row],[Discount]]*Orders[[#This Row],[Quantity]]</f>
        <v>0</v>
      </c>
      <c r="N243" s="23">
        <f>Orders[[#This Row],[Gross_Sales]]-Orders[[#This Row],[Total_Cost]]-Orders[[#This Row],[Total_Discount]]</f>
        <v>34.500000000000007</v>
      </c>
      <c r="O243" s="23">
        <f>Orders[[#This Row],[Total_Cost]]+Orders[[#This Row],[Total_Discount]]</f>
        <v>39.1</v>
      </c>
      <c r="P243" t="str">
        <f>_xlfn.XLOOKUP(Orders[[#This Row],[Product_ID]], Products[Product_ID], Products[Product_Name])</f>
        <v>Orange Soda</v>
      </c>
      <c r="Q243" t="str">
        <f>_xlfn.XLOOKUP(Orders[[#This Row],[Product_ID]], Products[Product_ID], Products[Category])</f>
        <v>Soft Drink</v>
      </c>
      <c r="R243" t="str">
        <f>_xlfn.XLOOKUP(Orders[[#This Row],[Customer_ID]], Customers[Customer_ID], Customers[County])</f>
        <v>Galway</v>
      </c>
      <c r="S243" t="str">
        <f>_xlfn.XLOOKUP(Orders[[#This Row],[Customer_ID]], Customers[Customer_ID], Customers[Customer_Type])</f>
        <v>Restaurant</v>
      </c>
      <c r="T243" t="str">
        <f>_xlfn.XLOOKUP(Orders[[#This Row],[Customer_ID]], Customers[Customer_ID], Customers[Preferred_Channel])</f>
        <v>Email</v>
      </c>
      <c r="U243" t="str">
        <f>_xlfn.XLOOKUP(Orders[[#This Row],[Product_ID]], Products[Product_ID], Products[Bottle_Size])</f>
        <v>500ml</v>
      </c>
    </row>
    <row r="244" spans="1:21" ht="15.75" customHeight="1">
      <c r="A244" s="2" t="s">
        <v>650</v>
      </c>
      <c r="B244" s="2">
        <f>DAY(Orders[[#This Row],[Order_Date]])</f>
        <v>26</v>
      </c>
      <c r="C244" s="20">
        <v>46199</v>
      </c>
      <c r="D244" s="2" t="s">
        <v>299</v>
      </c>
      <c r="E244" s="2" t="s">
        <v>41</v>
      </c>
      <c r="F244" s="2">
        <v>28</v>
      </c>
      <c r="G244" s="22">
        <v>0</v>
      </c>
      <c r="H244" s="22" t="s">
        <v>49</v>
      </c>
      <c r="I244">
        <f>_xlfn.XLOOKUP(Orders[[#This Row],[Product_ID]],Products[Product_ID], Products[Unit_Price])</f>
        <v>2.2000000000000002</v>
      </c>
      <c r="J244">
        <f>Orders[[#This Row],[Quantity]]*Orders[[#This Row],[Unit_Price]]</f>
        <v>61.600000000000009</v>
      </c>
      <c r="K244">
        <f>_xlfn.XLOOKUP(Orders[[#This Row],[Product_ID]], Products[Product_ID], Products[Cost_Price])</f>
        <v>1.2</v>
      </c>
      <c r="L244">
        <f>Orders[[#This Row],[Cost_Price]]*Orders[[#This Row],[Quantity]]</f>
        <v>33.6</v>
      </c>
      <c r="M244">
        <f>Orders[[#This Row],[Unit_Price]]*Orders[[#This Row],[Discount]]*Orders[[#This Row],[Quantity]]</f>
        <v>0</v>
      </c>
      <c r="N244" s="23">
        <f>Orders[[#This Row],[Gross_Sales]]-Orders[[#This Row],[Total_Cost]]-Orders[[#This Row],[Total_Discount]]</f>
        <v>28.000000000000007</v>
      </c>
      <c r="O244" s="23">
        <f>Orders[[#This Row],[Total_Cost]]+Orders[[#This Row],[Total_Discount]]</f>
        <v>33.6</v>
      </c>
      <c r="P244" t="str">
        <f>_xlfn.XLOOKUP(Orders[[#This Row],[Product_ID]], Products[Product_ID], Products[Product_Name])</f>
        <v>Peach Tea</v>
      </c>
      <c r="Q244" t="str">
        <f>_xlfn.XLOOKUP(Orders[[#This Row],[Product_ID]], Products[Product_ID], Products[Category])</f>
        <v>Tea</v>
      </c>
      <c r="R244" t="str">
        <f>_xlfn.XLOOKUP(Orders[[#This Row],[Customer_ID]], Customers[Customer_ID], Customers[County])</f>
        <v>Tipperary</v>
      </c>
      <c r="S244" t="str">
        <f>_xlfn.XLOOKUP(Orders[[#This Row],[Customer_ID]], Customers[Customer_ID], Customers[Customer_Type])</f>
        <v>Restaurant</v>
      </c>
      <c r="T244" t="str">
        <f>_xlfn.XLOOKUP(Orders[[#This Row],[Customer_ID]], Customers[Customer_ID], Customers[Preferred_Channel])</f>
        <v>Phone</v>
      </c>
      <c r="U244" t="str">
        <f>_xlfn.XLOOKUP(Orders[[#This Row],[Product_ID]], Products[Product_ID], Products[Bottle_Size])</f>
        <v>500ml</v>
      </c>
    </row>
    <row r="245" spans="1:21" ht="15.75" customHeight="1">
      <c r="A245" s="2" t="s">
        <v>651</v>
      </c>
      <c r="B245" s="2">
        <f>DAY(Orders[[#This Row],[Order_Date]])</f>
        <v>6</v>
      </c>
      <c r="C245" s="20">
        <v>46179</v>
      </c>
      <c r="D245" s="2" t="s">
        <v>12</v>
      </c>
      <c r="E245" s="2" t="s">
        <v>139</v>
      </c>
      <c r="F245" s="2">
        <v>7</v>
      </c>
      <c r="G245" s="22">
        <v>0</v>
      </c>
      <c r="H245" s="22" t="s">
        <v>61</v>
      </c>
      <c r="I245">
        <f>_xlfn.XLOOKUP(Orders[[#This Row],[Product_ID]],Products[Product_ID], Products[Unit_Price])</f>
        <v>2.2999999999999998</v>
      </c>
      <c r="J245">
        <f>Orders[[#This Row],[Quantity]]*Orders[[#This Row],[Unit_Price]]</f>
        <v>16.099999999999998</v>
      </c>
      <c r="K245">
        <f>_xlfn.XLOOKUP(Orders[[#This Row],[Product_ID]], Products[Product_ID], Products[Cost_Price])</f>
        <v>1.25</v>
      </c>
      <c r="L245">
        <f>Orders[[#This Row],[Cost_Price]]*Orders[[#This Row],[Quantity]]</f>
        <v>8.75</v>
      </c>
      <c r="M245">
        <f>Orders[[#This Row],[Unit_Price]]*Orders[[#This Row],[Discount]]*Orders[[#This Row],[Quantity]]</f>
        <v>0</v>
      </c>
      <c r="N245" s="23">
        <f>Orders[[#This Row],[Gross_Sales]]-Orders[[#This Row],[Total_Cost]]-Orders[[#This Row],[Total_Discount]]</f>
        <v>7.3499999999999979</v>
      </c>
      <c r="O245" s="23">
        <f>Orders[[#This Row],[Total_Cost]]+Orders[[#This Row],[Total_Discount]]</f>
        <v>8.75</v>
      </c>
      <c r="P245" t="str">
        <f>_xlfn.XLOOKUP(Orders[[#This Row],[Product_ID]], Products[Product_ID], Products[Product_Name])</f>
        <v>Mango Juice</v>
      </c>
      <c r="Q245" t="str">
        <f>_xlfn.XLOOKUP(Orders[[#This Row],[Product_ID]], Products[Product_ID], Products[Category])</f>
        <v>Juice</v>
      </c>
      <c r="R245" t="str">
        <f>_xlfn.XLOOKUP(Orders[[#This Row],[Customer_ID]], Customers[Customer_ID], Customers[County])</f>
        <v>Limerick</v>
      </c>
      <c r="S245" t="str">
        <f>_xlfn.XLOOKUP(Orders[[#This Row],[Customer_ID]], Customers[Customer_ID], Customers[Customer_Type])</f>
        <v>Café</v>
      </c>
      <c r="T245" t="str">
        <f>_xlfn.XLOOKUP(Orders[[#This Row],[Customer_ID]], Customers[Customer_ID], Customers[Preferred_Channel])</f>
        <v>Online</v>
      </c>
      <c r="U245" t="str">
        <f>_xlfn.XLOOKUP(Orders[[#This Row],[Product_ID]], Products[Product_ID], Products[Bottle_Size])</f>
        <v>1L</v>
      </c>
    </row>
    <row r="246" spans="1:21" ht="15.75" customHeight="1">
      <c r="A246" s="2" t="s">
        <v>652</v>
      </c>
      <c r="B246" s="2">
        <f>DAY(Orders[[#This Row],[Order_Date]])</f>
        <v>21</v>
      </c>
      <c r="C246" s="20">
        <v>46194</v>
      </c>
      <c r="D246" s="2" t="s">
        <v>290</v>
      </c>
      <c r="E246" s="2" t="s">
        <v>125</v>
      </c>
      <c r="F246" s="2">
        <v>36</v>
      </c>
      <c r="G246" s="22">
        <v>0</v>
      </c>
      <c r="H246" s="22" t="s">
        <v>61</v>
      </c>
      <c r="I246">
        <f>_xlfn.XLOOKUP(Orders[[#This Row],[Product_ID]],Products[Product_ID], Products[Unit_Price])</f>
        <v>2.2000000000000002</v>
      </c>
      <c r="J246">
        <f>Orders[[#This Row],[Quantity]]*Orders[[#This Row],[Unit_Price]]</f>
        <v>79.2</v>
      </c>
      <c r="K246">
        <f>_xlfn.XLOOKUP(Orders[[#This Row],[Product_ID]], Products[Product_ID], Products[Cost_Price])</f>
        <v>1.3</v>
      </c>
      <c r="L246">
        <f>Orders[[#This Row],[Cost_Price]]*Orders[[#This Row],[Quantity]]</f>
        <v>46.800000000000004</v>
      </c>
      <c r="M246">
        <f>Orders[[#This Row],[Unit_Price]]*Orders[[#This Row],[Discount]]*Orders[[#This Row],[Quantity]]</f>
        <v>0</v>
      </c>
      <c r="N246" s="23">
        <f>Orders[[#This Row],[Gross_Sales]]-Orders[[#This Row],[Total_Cost]]-Orders[[#This Row],[Total_Discount]]</f>
        <v>32.4</v>
      </c>
      <c r="O246" s="23">
        <f>Orders[[#This Row],[Total_Cost]]+Orders[[#This Row],[Total_Discount]]</f>
        <v>46.800000000000004</v>
      </c>
      <c r="P246" t="str">
        <f>_xlfn.XLOOKUP(Orders[[#This Row],[Product_ID]], Products[Product_ID], Products[Product_Name])</f>
        <v>Iced Tea</v>
      </c>
      <c r="Q246" t="str">
        <f>_xlfn.XLOOKUP(Orders[[#This Row],[Product_ID]], Products[Product_ID], Products[Category])</f>
        <v>Tea</v>
      </c>
      <c r="R246" t="str">
        <f>_xlfn.XLOOKUP(Orders[[#This Row],[Customer_ID]], Customers[Customer_ID], Customers[County])</f>
        <v>Waterford</v>
      </c>
      <c r="S246" t="str">
        <f>_xlfn.XLOOKUP(Orders[[#This Row],[Customer_ID]], Customers[Customer_ID], Customers[Customer_Type])</f>
        <v>Café</v>
      </c>
      <c r="T246" t="str">
        <f>_xlfn.XLOOKUP(Orders[[#This Row],[Customer_ID]], Customers[Customer_ID], Customers[Preferred_Channel])</f>
        <v>Phone</v>
      </c>
      <c r="U246" t="str">
        <f>_xlfn.XLOOKUP(Orders[[#This Row],[Product_ID]], Products[Product_ID], Products[Bottle_Size])</f>
        <v>500ml</v>
      </c>
    </row>
    <row r="247" spans="1:21" ht="15.75" customHeight="1">
      <c r="A247" s="2" t="s">
        <v>654</v>
      </c>
      <c r="B247" s="2">
        <f>DAY(Orders[[#This Row],[Order_Date]])</f>
        <v>9</v>
      </c>
      <c r="C247" s="20">
        <v>46182</v>
      </c>
      <c r="D247" s="2" t="s">
        <v>106</v>
      </c>
      <c r="E247" s="2" t="s">
        <v>17</v>
      </c>
      <c r="F247" s="2">
        <v>47</v>
      </c>
      <c r="G247" s="22">
        <v>0</v>
      </c>
      <c r="H247" s="22" t="s">
        <v>61</v>
      </c>
      <c r="I247">
        <f>_xlfn.XLOOKUP(Orders[[#This Row],[Product_ID]],Products[Product_ID], Products[Unit_Price])</f>
        <v>1.2</v>
      </c>
      <c r="J247">
        <f>Orders[[#This Row],[Quantity]]*Orders[[#This Row],[Unit_Price]]</f>
        <v>56.4</v>
      </c>
      <c r="K247">
        <f>_xlfn.XLOOKUP(Orders[[#This Row],[Product_ID]], Products[Product_ID], Products[Cost_Price])</f>
        <v>0.6</v>
      </c>
      <c r="L247">
        <f>Orders[[#This Row],[Cost_Price]]*Orders[[#This Row],[Quantity]]</f>
        <v>28.2</v>
      </c>
      <c r="M247">
        <f>Orders[[#This Row],[Unit_Price]]*Orders[[#This Row],[Discount]]*Orders[[#This Row],[Quantity]]</f>
        <v>0</v>
      </c>
      <c r="N247" s="23">
        <f>Orders[[#This Row],[Gross_Sales]]-Orders[[#This Row],[Total_Cost]]-Orders[[#This Row],[Total_Discount]]</f>
        <v>28.2</v>
      </c>
      <c r="O247" s="23">
        <f>Orders[[#This Row],[Total_Cost]]+Orders[[#This Row],[Total_Discount]]</f>
        <v>28.2</v>
      </c>
      <c r="P247" t="str">
        <f>_xlfn.XLOOKUP(Orders[[#This Row],[Product_ID]], Products[Product_ID], Products[Product_Name])</f>
        <v>Still Water</v>
      </c>
      <c r="Q247" t="str">
        <f>_xlfn.XLOOKUP(Orders[[#This Row],[Product_ID]], Products[Product_ID], Products[Category])</f>
        <v>Water</v>
      </c>
      <c r="R247" t="str">
        <f>_xlfn.XLOOKUP(Orders[[#This Row],[Customer_ID]], Customers[Customer_ID], Customers[County])</f>
        <v>Clare</v>
      </c>
      <c r="S247" t="str">
        <f>_xlfn.XLOOKUP(Orders[[#This Row],[Customer_ID]], Customers[Customer_ID], Customers[Customer_Type])</f>
        <v>Supermarket</v>
      </c>
      <c r="T247" t="str">
        <f>_xlfn.XLOOKUP(Orders[[#This Row],[Customer_ID]], Customers[Customer_ID], Customers[Preferred_Channel])</f>
        <v>Email</v>
      </c>
      <c r="U247" t="str">
        <f>_xlfn.XLOOKUP(Orders[[#This Row],[Product_ID]], Products[Product_ID], Products[Bottle_Size])</f>
        <v>500ml</v>
      </c>
    </row>
    <row r="248" spans="1:21" ht="15.75" customHeight="1">
      <c r="A248" s="2" t="s">
        <v>655</v>
      </c>
      <c r="B248" s="2">
        <f>DAY(Orders[[#This Row],[Order_Date]])</f>
        <v>16</v>
      </c>
      <c r="C248" s="20">
        <v>46189</v>
      </c>
      <c r="D248" s="2" t="s">
        <v>279</v>
      </c>
      <c r="E248" s="2" t="s">
        <v>125</v>
      </c>
      <c r="F248" s="2">
        <v>42</v>
      </c>
      <c r="G248" s="22">
        <v>0</v>
      </c>
      <c r="H248" s="22" t="s">
        <v>61</v>
      </c>
      <c r="I248">
        <f>_xlfn.XLOOKUP(Orders[[#This Row],[Product_ID]],Products[Product_ID], Products[Unit_Price])</f>
        <v>2.2000000000000002</v>
      </c>
      <c r="J248">
        <f>Orders[[#This Row],[Quantity]]*Orders[[#This Row],[Unit_Price]]</f>
        <v>92.4</v>
      </c>
      <c r="K248">
        <f>_xlfn.XLOOKUP(Orders[[#This Row],[Product_ID]], Products[Product_ID], Products[Cost_Price])</f>
        <v>1.3</v>
      </c>
      <c r="L248">
        <f>Orders[[#This Row],[Cost_Price]]*Orders[[#This Row],[Quantity]]</f>
        <v>54.6</v>
      </c>
      <c r="M248">
        <f>Orders[[#This Row],[Unit_Price]]*Orders[[#This Row],[Discount]]*Orders[[#This Row],[Quantity]]</f>
        <v>0</v>
      </c>
      <c r="N248" s="23">
        <f>Orders[[#This Row],[Gross_Sales]]-Orders[[#This Row],[Total_Cost]]-Orders[[#This Row],[Total_Discount]]</f>
        <v>37.800000000000004</v>
      </c>
      <c r="O248" s="23">
        <f>Orders[[#This Row],[Total_Cost]]+Orders[[#This Row],[Total_Discount]]</f>
        <v>54.6</v>
      </c>
      <c r="P248" t="str">
        <f>_xlfn.XLOOKUP(Orders[[#This Row],[Product_ID]], Products[Product_ID], Products[Product_Name])</f>
        <v>Iced Tea</v>
      </c>
      <c r="Q248" t="str">
        <f>_xlfn.XLOOKUP(Orders[[#This Row],[Product_ID]], Products[Product_ID], Products[Category])</f>
        <v>Tea</v>
      </c>
      <c r="R248" t="str">
        <f>_xlfn.XLOOKUP(Orders[[#This Row],[Customer_ID]], Customers[Customer_ID], Customers[County])</f>
        <v>Tipperary</v>
      </c>
      <c r="S248" t="str">
        <f>_xlfn.XLOOKUP(Orders[[#This Row],[Customer_ID]], Customers[Customer_ID], Customers[Customer_Type])</f>
        <v>Retailer</v>
      </c>
      <c r="T248" t="str">
        <f>_xlfn.XLOOKUP(Orders[[#This Row],[Customer_ID]], Customers[Customer_ID], Customers[Preferred_Channel])</f>
        <v>Phone</v>
      </c>
      <c r="U248" t="str">
        <f>_xlfn.XLOOKUP(Orders[[#This Row],[Product_ID]], Products[Product_ID], Products[Bottle_Size])</f>
        <v>500ml</v>
      </c>
    </row>
    <row r="249" spans="1:21" ht="15.75" customHeight="1">
      <c r="A249" s="2" t="s">
        <v>656</v>
      </c>
      <c r="B249" s="2">
        <f>DAY(Orders[[#This Row],[Order_Date]])</f>
        <v>9</v>
      </c>
      <c r="C249" s="20">
        <v>46182</v>
      </c>
      <c r="D249" s="2" t="s">
        <v>143</v>
      </c>
      <c r="E249" s="2" t="s">
        <v>139</v>
      </c>
      <c r="F249" s="2">
        <v>18</v>
      </c>
      <c r="G249" s="22">
        <v>0</v>
      </c>
      <c r="H249" s="22" t="s">
        <v>61</v>
      </c>
      <c r="I249">
        <f>_xlfn.XLOOKUP(Orders[[#This Row],[Product_ID]],Products[Product_ID], Products[Unit_Price])</f>
        <v>2.2999999999999998</v>
      </c>
      <c r="J249">
        <f>Orders[[#This Row],[Quantity]]*Orders[[#This Row],[Unit_Price]]</f>
        <v>41.4</v>
      </c>
      <c r="K249">
        <f>_xlfn.XLOOKUP(Orders[[#This Row],[Product_ID]], Products[Product_ID], Products[Cost_Price])</f>
        <v>1.25</v>
      </c>
      <c r="L249">
        <f>Orders[[#This Row],[Cost_Price]]*Orders[[#This Row],[Quantity]]</f>
        <v>22.5</v>
      </c>
      <c r="M249">
        <f>Orders[[#This Row],[Unit_Price]]*Orders[[#This Row],[Discount]]*Orders[[#This Row],[Quantity]]</f>
        <v>0</v>
      </c>
      <c r="N249" s="23">
        <f>Orders[[#This Row],[Gross_Sales]]-Orders[[#This Row],[Total_Cost]]-Orders[[#This Row],[Total_Discount]]</f>
        <v>18.899999999999999</v>
      </c>
      <c r="O249" s="23">
        <f>Orders[[#This Row],[Total_Cost]]+Orders[[#This Row],[Total_Discount]]</f>
        <v>22.5</v>
      </c>
      <c r="P249" t="str">
        <f>_xlfn.XLOOKUP(Orders[[#This Row],[Product_ID]], Products[Product_ID], Products[Product_Name])</f>
        <v>Mango Juice</v>
      </c>
      <c r="Q249" t="str">
        <f>_xlfn.XLOOKUP(Orders[[#This Row],[Product_ID]], Products[Product_ID], Products[Category])</f>
        <v>Juice</v>
      </c>
      <c r="R249" t="str">
        <f>_xlfn.XLOOKUP(Orders[[#This Row],[Customer_ID]], Customers[Customer_ID], Customers[County])</f>
        <v>Wexford</v>
      </c>
      <c r="S249" t="str">
        <f>_xlfn.XLOOKUP(Orders[[#This Row],[Customer_ID]], Customers[Customer_ID], Customers[Customer_Type])</f>
        <v>Restaurant</v>
      </c>
      <c r="T249" t="str">
        <f>_xlfn.XLOOKUP(Orders[[#This Row],[Customer_ID]], Customers[Customer_ID], Customers[Preferred_Channel])</f>
        <v>Distributor</v>
      </c>
      <c r="U249" t="str">
        <f>_xlfn.XLOOKUP(Orders[[#This Row],[Product_ID]], Products[Product_ID], Products[Bottle_Size])</f>
        <v>1L</v>
      </c>
    </row>
    <row r="250" spans="1:21" ht="15.75" customHeight="1">
      <c r="A250" s="2" t="s">
        <v>657</v>
      </c>
      <c r="B250" s="2">
        <f>DAY(Orders[[#This Row],[Order_Date]])</f>
        <v>6</v>
      </c>
      <c r="C250" s="20">
        <v>46179</v>
      </c>
      <c r="D250" s="2" t="s">
        <v>214</v>
      </c>
      <c r="E250" s="2" t="s">
        <v>69</v>
      </c>
      <c r="F250" s="2">
        <v>34</v>
      </c>
      <c r="G250" s="22">
        <v>0</v>
      </c>
      <c r="H250" s="22" t="s">
        <v>61</v>
      </c>
      <c r="I250">
        <f>_xlfn.XLOOKUP(Orders[[#This Row],[Product_ID]],Products[Product_ID], Products[Unit_Price])</f>
        <v>2</v>
      </c>
      <c r="J250">
        <f>Orders[[#This Row],[Quantity]]*Orders[[#This Row],[Unit_Price]]</f>
        <v>68</v>
      </c>
      <c r="K250">
        <f>_xlfn.XLOOKUP(Orders[[#This Row],[Product_ID]], Products[Product_ID], Products[Cost_Price])</f>
        <v>1.1000000000000001</v>
      </c>
      <c r="L250">
        <f>Orders[[#This Row],[Cost_Price]]*Orders[[#This Row],[Quantity]]</f>
        <v>37.400000000000006</v>
      </c>
      <c r="M250">
        <f>Orders[[#This Row],[Unit_Price]]*Orders[[#This Row],[Discount]]*Orders[[#This Row],[Quantity]]</f>
        <v>0</v>
      </c>
      <c r="N250" s="23">
        <f>Orders[[#This Row],[Gross_Sales]]-Orders[[#This Row],[Total_Cost]]-Orders[[#This Row],[Total_Discount]]</f>
        <v>30.599999999999994</v>
      </c>
      <c r="O250" s="23">
        <f>Orders[[#This Row],[Total_Cost]]+Orders[[#This Row],[Total_Discount]]</f>
        <v>37.400000000000006</v>
      </c>
      <c r="P250" t="str">
        <f>_xlfn.XLOOKUP(Orders[[#This Row],[Product_ID]], Products[Product_ID], Products[Product_Name])</f>
        <v>Apple Juice</v>
      </c>
      <c r="Q250" t="str">
        <f>_xlfn.XLOOKUP(Orders[[#This Row],[Product_ID]], Products[Product_ID], Products[Category])</f>
        <v>Juice</v>
      </c>
      <c r="R250" t="str">
        <f>_xlfn.XLOOKUP(Orders[[#This Row],[Customer_ID]], Customers[Customer_ID], Customers[County])</f>
        <v>Waterford</v>
      </c>
      <c r="S250" t="str">
        <f>_xlfn.XLOOKUP(Orders[[#This Row],[Customer_ID]], Customers[Customer_ID], Customers[Customer_Type])</f>
        <v>Hotel</v>
      </c>
      <c r="T250" t="str">
        <f>_xlfn.XLOOKUP(Orders[[#This Row],[Customer_ID]], Customers[Customer_ID], Customers[Preferred_Channel])</f>
        <v>Distributor</v>
      </c>
      <c r="U250" t="str">
        <f>_xlfn.XLOOKUP(Orders[[#This Row],[Product_ID]], Products[Product_ID], Products[Bottle_Size])</f>
        <v>1L</v>
      </c>
    </row>
    <row r="251" spans="1:21" ht="15.75" customHeight="1">
      <c r="A251" s="2" t="s">
        <v>658</v>
      </c>
      <c r="B251" s="2">
        <f>DAY(Orders[[#This Row],[Order_Date]])</f>
        <v>17</v>
      </c>
      <c r="C251" s="20">
        <v>46190</v>
      </c>
      <c r="D251" s="2" t="s">
        <v>135</v>
      </c>
      <c r="E251" s="2" t="s">
        <v>69</v>
      </c>
      <c r="F251" s="2">
        <v>46</v>
      </c>
      <c r="G251" s="22">
        <v>0</v>
      </c>
      <c r="H251" s="22" t="s">
        <v>61</v>
      </c>
      <c r="I251">
        <f>_xlfn.XLOOKUP(Orders[[#This Row],[Product_ID]],Products[Product_ID], Products[Unit_Price])</f>
        <v>2</v>
      </c>
      <c r="J251">
        <f>Orders[[#This Row],[Quantity]]*Orders[[#This Row],[Unit_Price]]</f>
        <v>92</v>
      </c>
      <c r="K251">
        <f>_xlfn.XLOOKUP(Orders[[#This Row],[Product_ID]], Products[Product_ID], Products[Cost_Price])</f>
        <v>1.1000000000000001</v>
      </c>
      <c r="L251">
        <f>Orders[[#This Row],[Cost_Price]]*Orders[[#This Row],[Quantity]]</f>
        <v>50.6</v>
      </c>
      <c r="M251">
        <f>Orders[[#This Row],[Unit_Price]]*Orders[[#This Row],[Discount]]*Orders[[#This Row],[Quantity]]</f>
        <v>0</v>
      </c>
      <c r="N251" s="23">
        <f>Orders[[#This Row],[Gross_Sales]]-Orders[[#This Row],[Total_Cost]]-Orders[[#This Row],[Total_Discount]]</f>
        <v>41.4</v>
      </c>
      <c r="O251" s="23">
        <f>Orders[[#This Row],[Total_Cost]]+Orders[[#This Row],[Total_Discount]]</f>
        <v>50.6</v>
      </c>
      <c r="P251" t="str">
        <f>_xlfn.XLOOKUP(Orders[[#This Row],[Product_ID]], Products[Product_ID], Products[Product_Name])</f>
        <v>Apple Juice</v>
      </c>
      <c r="Q251" t="str">
        <f>_xlfn.XLOOKUP(Orders[[#This Row],[Product_ID]], Products[Product_ID], Products[Category])</f>
        <v>Juice</v>
      </c>
      <c r="R251" t="str">
        <f>_xlfn.XLOOKUP(Orders[[#This Row],[Customer_ID]], Customers[Customer_ID], Customers[County])</f>
        <v>Galway</v>
      </c>
      <c r="S251" t="str">
        <f>_xlfn.XLOOKUP(Orders[[#This Row],[Customer_ID]], Customers[Customer_ID], Customers[Customer_Type])</f>
        <v>Hotel</v>
      </c>
      <c r="T251" t="str">
        <f>_xlfn.XLOOKUP(Orders[[#This Row],[Customer_ID]], Customers[Customer_ID], Customers[Preferred_Channel])</f>
        <v>Sales Rep</v>
      </c>
      <c r="U251" t="str">
        <f>_xlfn.XLOOKUP(Orders[[#This Row],[Product_ID]], Products[Product_ID], Products[Bottle_Size])</f>
        <v>1L</v>
      </c>
    </row>
    <row r="252" spans="1:21" ht="15.75" customHeight="1">
      <c r="C252" s="21"/>
      <c r="G252" s="23"/>
      <c r="H252" s="23"/>
      <c r="N252" s="23"/>
      <c r="O252" s="23"/>
      <c r="T252"/>
    </row>
    <row r="253" spans="1:21" ht="15.75" customHeight="1"/>
    <row r="254" spans="1:21" ht="15.75" customHeight="1"/>
    <row r="255" spans="1:21" ht="15.75" customHeight="1"/>
    <row r="256" spans="1:21" ht="15.75" customHeight="1"/>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43"/>
  <sheetViews>
    <sheetView topLeftCell="A38" workbookViewId="0">
      <selection activeCell="D74" sqref="D74"/>
    </sheetView>
  </sheetViews>
  <sheetFormatPr defaultColWidth="12.6328125" defaultRowHeight="15" customHeight="1"/>
  <cols>
    <col min="1" max="1" width="30.08984375" customWidth="1"/>
    <col min="2" max="2" width="22.36328125" customWidth="1"/>
    <col min="3" max="3" width="9.08984375" customWidth="1"/>
    <col min="4" max="4" width="20.26953125" customWidth="1"/>
    <col min="5" max="5" width="27.26953125" customWidth="1"/>
    <col min="6" max="6" width="8.6328125" customWidth="1"/>
    <col min="7" max="7" width="27.36328125" customWidth="1"/>
    <col min="8" max="8" width="25.6328125" customWidth="1"/>
    <col min="9" max="9" width="22.08984375" customWidth="1"/>
    <col min="10" max="26" width="8.6328125" customWidth="1"/>
  </cols>
  <sheetData>
    <row r="1" spans="1:15" ht="14.5">
      <c r="A1" s="1"/>
      <c r="B1" s="1"/>
      <c r="C1" s="3"/>
      <c r="D1" s="1"/>
      <c r="E1" s="1"/>
      <c r="F1" s="1"/>
      <c r="G1" s="1"/>
      <c r="H1" s="1"/>
      <c r="I1" s="1"/>
      <c r="J1" s="1"/>
      <c r="K1" s="1"/>
      <c r="L1" s="1"/>
      <c r="M1" s="1"/>
      <c r="N1" s="1"/>
      <c r="O1" s="1"/>
    </row>
    <row r="2" spans="1:15" ht="14.5">
      <c r="A2" s="7" t="s">
        <v>32</v>
      </c>
      <c r="B2" s="1"/>
      <c r="C2" s="3"/>
      <c r="D2" s="48" t="s">
        <v>44</v>
      </c>
      <c r="E2" s="47"/>
      <c r="F2" s="1"/>
      <c r="G2" s="48" t="s">
        <v>54</v>
      </c>
      <c r="H2" s="47"/>
      <c r="I2" s="1"/>
      <c r="J2" s="1"/>
      <c r="K2" s="1"/>
      <c r="L2" s="1"/>
      <c r="M2" s="1"/>
      <c r="N2" s="1"/>
      <c r="O2" s="1"/>
    </row>
    <row r="3" spans="1:15" ht="15.5">
      <c r="A3" s="31">
        <f>COUNTA(Orders[Order_ID])</f>
        <v>250</v>
      </c>
      <c r="B3" s="1"/>
      <c r="C3" s="3"/>
      <c r="D3" s="8" t="s">
        <v>81</v>
      </c>
      <c r="E3" s="8" t="s">
        <v>94</v>
      </c>
      <c r="F3" s="1"/>
      <c r="G3" s="8" t="s">
        <v>6</v>
      </c>
      <c r="H3" s="8" t="s">
        <v>104</v>
      </c>
      <c r="I3" s="1"/>
      <c r="J3" s="1"/>
      <c r="K3" s="1"/>
      <c r="L3" s="1"/>
      <c r="M3" s="1"/>
      <c r="N3" s="1"/>
      <c r="O3" s="1"/>
    </row>
    <row r="4" spans="1:15" ht="14.5">
      <c r="A4" s="1"/>
      <c r="B4" s="1"/>
      <c r="C4" s="3"/>
      <c r="D4" s="9" t="str" cm="1">
        <f t="array" ref="D4:D8">_xlfn.UNIQUE(Orders[Bottle_Size])</f>
        <v>500ml</v>
      </c>
      <c r="E4" s="9">
        <f>SUMIF(Orders[Bottle_Size],D4,Orders[Gross_Sales])</f>
        <v>5362.5</v>
      </c>
      <c r="F4" s="1"/>
      <c r="G4" s="10" t="str" cm="1">
        <f t="array" ref="G4:G19">_xlfn.UNIQUE(Orders[County])</f>
        <v>Kerry</v>
      </c>
      <c r="H4" s="9">
        <f>SUMIF(Orders[County],G4,Orders[Quantity])</f>
        <v>477</v>
      </c>
      <c r="I4" s="1"/>
      <c r="J4" s="1"/>
      <c r="K4" s="1"/>
      <c r="L4" s="1"/>
      <c r="M4" s="1"/>
      <c r="N4" s="1"/>
      <c r="O4" s="1"/>
    </row>
    <row r="5" spans="1:15" ht="14.5">
      <c r="A5" s="1" t="s">
        <v>137</v>
      </c>
      <c r="B5" s="1"/>
      <c r="C5" s="3"/>
      <c r="D5" s="9" t="str">
        <v>1.5L</v>
      </c>
      <c r="E5" s="9">
        <f>SUMIF(Orders[Bottle_Size],D5,Orders[Gross_Sales])</f>
        <v>582</v>
      </c>
      <c r="F5" s="1"/>
      <c r="G5" s="10" t="str">
        <v>Tipperary</v>
      </c>
      <c r="H5" s="9">
        <f>SUMIF(Orders[County],G5,Orders[Quantity])</f>
        <v>437</v>
      </c>
      <c r="I5" s="1"/>
      <c r="J5" s="1"/>
      <c r="K5" s="1"/>
      <c r="L5" s="1"/>
      <c r="M5" s="1"/>
      <c r="N5" s="1"/>
      <c r="O5" s="1"/>
    </row>
    <row r="6" spans="1:15" ht="14.5">
      <c r="A6" s="31">
        <f>SUM(Orders[Quantity])</f>
        <v>6954</v>
      </c>
      <c r="B6" s="1"/>
      <c r="C6" s="3"/>
      <c r="D6" s="9" t="str">
        <v>1L</v>
      </c>
      <c r="E6" s="9">
        <f>SUMIF(Orders[Bottle_Size],D6,Orders[Gross_Sales])</f>
        <v>2653.9</v>
      </c>
      <c r="F6" s="1"/>
      <c r="G6" s="10" t="str">
        <v>Waterford</v>
      </c>
      <c r="H6" s="9">
        <f>SUMIF(Orders[County],G6,Orders[Quantity])</f>
        <v>804</v>
      </c>
      <c r="I6" s="1"/>
      <c r="J6" s="1"/>
      <c r="K6" s="1"/>
      <c r="L6" s="1"/>
      <c r="M6" s="1"/>
      <c r="N6" s="1"/>
      <c r="O6" s="1"/>
    </row>
    <row r="7" spans="1:15" ht="14.5">
      <c r="A7" s="1"/>
      <c r="B7" s="1"/>
      <c r="C7" s="3"/>
      <c r="D7" s="9" t="str">
        <v>330ml</v>
      </c>
      <c r="E7" s="9">
        <f>SUMIF(Orders[Bottle_Size],D7,Orders[Gross_Sales])</f>
        <v>2315.1000000000004</v>
      </c>
      <c r="F7" s="1"/>
      <c r="G7" s="10" t="str">
        <v>Offaly</v>
      </c>
      <c r="H7" s="9">
        <f>SUMIF(Orders[County],G7,Orders[Quantity])</f>
        <v>581</v>
      </c>
      <c r="I7" s="1"/>
      <c r="J7" s="1"/>
      <c r="K7" s="1"/>
      <c r="L7" s="1"/>
      <c r="M7" s="1"/>
      <c r="N7" s="1"/>
      <c r="O7" s="1"/>
    </row>
    <row r="8" spans="1:15" ht="14.5">
      <c r="A8" s="1" t="s">
        <v>193</v>
      </c>
      <c r="B8" s="1"/>
      <c r="C8" s="3"/>
      <c r="D8" s="9" t="str">
        <v>250ml</v>
      </c>
      <c r="E8" s="9">
        <f>SUMIF(Orders[Bottle_Size],D8,Orders[Gross_Sales])</f>
        <v>2047</v>
      </c>
      <c r="F8" s="1"/>
      <c r="G8" s="10" t="str">
        <v>Meath</v>
      </c>
      <c r="H8" s="9">
        <f>SUMIF(Orders[County],G8,Orders[Quantity])</f>
        <v>477</v>
      </c>
      <c r="I8" s="1"/>
      <c r="J8" s="1"/>
      <c r="K8" s="1"/>
      <c r="L8" s="1"/>
      <c r="M8" s="1"/>
      <c r="N8" s="1"/>
      <c r="O8" s="1"/>
    </row>
    <row r="9" spans="1:15" ht="14.5">
      <c r="A9" s="32">
        <f>SUM(Orders[Gross_Sales])</f>
        <v>12960.500000000004</v>
      </c>
      <c r="B9" s="1"/>
      <c r="C9" s="3"/>
      <c r="D9" s="1"/>
      <c r="E9" s="1"/>
      <c r="F9" s="1"/>
      <c r="G9" s="10" t="str">
        <v>Wexford</v>
      </c>
      <c r="H9" s="9">
        <f>SUMIF(Orders[County],G9,Orders[Quantity])</f>
        <v>762</v>
      </c>
      <c r="I9" s="1"/>
      <c r="J9" s="1"/>
      <c r="K9" s="1"/>
      <c r="L9" s="1"/>
      <c r="M9" s="1"/>
      <c r="N9" s="1"/>
      <c r="O9" s="1"/>
    </row>
    <row r="10" spans="1:15" ht="14.5">
      <c r="A10" s="1"/>
      <c r="B10" s="1"/>
      <c r="C10" s="3"/>
      <c r="D10" s="48" t="s">
        <v>232</v>
      </c>
      <c r="E10" s="47"/>
      <c r="F10" s="1"/>
      <c r="G10" s="10" t="str">
        <v>Galway</v>
      </c>
      <c r="H10" s="9">
        <f>SUMIF(Orders[County],G10,Orders[Quantity])</f>
        <v>615</v>
      </c>
      <c r="I10" s="1"/>
      <c r="J10" s="1"/>
      <c r="K10" s="1"/>
      <c r="L10" s="1"/>
      <c r="M10" s="1"/>
      <c r="N10" s="1"/>
      <c r="O10" s="1"/>
    </row>
    <row r="11" spans="1:15" ht="15.5">
      <c r="A11" s="1" t="s">
        <v>243</v>
      </c>
      <c r="B11" s="1"/>
      <c r="C11" s="3"/>
      <c r="D11" s="8" t="s">
        <v>245</v>
      </c>
      <c r="E11" s="8" t="s">
        <v>94</v>
      </c>
      <c r="F11" s="1"/>
      <c r="G11" s="10" t="str">
        <v>Limerick</v>
      </c>
      <c r="H11" s="9">
        <f>SUMIF(Orders[County],G11,Orders[Quantity])</f>
        <v>115</v>
      </c>
      <c r="I11" s="1"/>
      <c r="J11" s="1"/>
      <c r="K11" s="1"/>
      <c r="L11" s="1"/>
      <c r="M11" s="1"/>
      <c r="N11" s="1"/>
      <c r="O11" s="1"/>
    </row>
    <row r="12" spans="1:15" ht="14.5">
      <c r="A12" s="33">
        <f>SUM(Orders[Profit])</f>
        <v>5759.1099999999979</v>
      </c>
      <c r="B12" s="1"/>
      <c r="C12" s="3"/>
      <c r="D12" s="10" t="str" cm="1">
        <f t="array" ref="D12:D17">_xlfn.UNIQUE(Orders[Customer_Type])</f>
        <v>Restaurant</v>
      </c>
      <c r="E12" s="9">
        <f>SUMIF(Orders[Customer_Type], D12, Orders[Gross_Sales])</f>
        <v>3121</v>
      </c>
      <c r="F12" s="1"/>
      <c r="G12" s="10" t="str">
        <v>Louth</v>
      </c>
      <c r="H12" s="9">
        <f>SUMIF(Orders[County],G12,Orders[Quantity])</f>
        <v>631</v>
      </c>
      <c r="I12" s="1"/>
      <c r="J12" s="1"/>
      <c r="K12" s="1"/>
      <c r="L12" s="1"/>
      <c r="M12" s="1"/>
      <c r="N12" s="1"/>
      <c r="O12" s="1"/>
    </row>
    <row r="13" spans="1:15" ht="14.5">
      <c r="A13" s="1"/>
      <c r="B13" s="1"/>
      <c r="C13" s="3"/>
      <c r="D13" s="10" t="str">
        <v>Retailer</v>
      </c>
      <c r="E13" s="9">
        <f>SUMIF(Orders[Customer_Type], D13, Orders[Gross_Sales])</f>
        <v>2202.8999999999996</v>
      </c>
      <c r="F13" s="1"/>
      <c r="G13" s="10" t="str">
        <v>Clare</v>
      </c>
      <c r="H13" s="9">
        <f>SUMIF(Orders[County],G13,Orders[Quantity])</f>
        <v>517</v>
      </c>
      <c r="I13" s="1"/>
      <c r="J13" s="1"/>
      <c r="K13" s="1"/>
      <c r="L13" s="1"/>
      <c r="M13" s="1"/>
      <c r="N13" s="1"/>
      <c r="O13" s="1"/>
    </row>
    <row r="14" spans="1:15" ht="14.5">
      <c r="A14" s="1" t="s">
        <v>274</v>
      </c>
      <c r="B14" s="1"/>
      <c r="C14" s="3"/>
      <c r="D14" s="10" t="str">
        <v>Hotel</v>
      </c>
      <c r="E14" s="9">
        <f>SUMIF(Orders[Customer_Type], D14, Orders[Gross_Sales])</f>
        <v>2347.9999999999995</v>
      </c>
      <c r="F14" s="1"/>
      <c r="G14" s="10" t="str">
        <v>Sligo</v>
      </c>
      <c r="H14" s="9">
        <f>SUMIF(Orders[County],G14,Orders[Quantity])</f>
        <v>367</v>
      </c>
      <c r="I14" s="1"/>
      <c r="J14" s="1"/>
      <c r="K14" s="12"/>
      <c r="L14" s="1"/>
      <c r="M14" s="1"/>
      <c r="N14" s="1"/>
      <c r="O14" s="1"/>
    </row>
    <row r="15" spans="1:15" ht="14.5">
      <c r="A15" s="31">
        <f>SUM(Orders[Total_Discount])</f>
        <v>250.98999999999995</v>
      </c>
      <c r="B15" s="1"/>
      <c r="C15" s="3"/>
      <c r="D15" s="10" t="str">
        <v>Wholesaler</v>
      </c>
      <c r="E15" s="9">
        <f>SUMIF(Orders[Customer_Type], D15, Orders[Gross_Sales])</f>
        <v>2413.8999999999996</v>
      </c>
      <c r="F15" s="1"/>
      <c r="G15" s="10" t="str">
        <v>Mayo</v>
      </c>
      <c r="H15" s="9">
        <f>SUMIF(Orders[County],G15,Orders[Quantity])</f>
        <v>171</v>
      </c>
      <c r="I15" s="1"/>
      <c r="J15" s="1"/>
      <c r="K15" s="1"/>
      <c r="L15" s="1"/>
      <c r="M15" s="1"/>
      <c r="N15" s="1"/>
      <c r="O15" s="1"/>
    </row>
    <row r="16" spans="1:15" ht="14.5">
      <c r="A16" s="1"/>
      <c r="B16" s="1"/>
      <c r="C16" s="3"/>
      <c r="D16" s="10" t="str">
        <v>Café</v>
      </c>
      <c r="E16" s="9">
        <f>SUMIF(Orders[Customer_Type], D16, Orders[Gross_Sales])</f>
        <v>2113.8999999999996</v>
      </c>
      <c r="F16" s="1"/>
      <c r="G16" s="10" t="str">
        <v>Kildare</v>
      </c>
      <c r="H16" s="9">
        <f>SUMIF(Orders[County],G16,Orders[Quantity])</f>
        <v>430</v>
      </c>
      <c r="I16" s="1"/>
      <c r="J16" s="1"/>
      <c r="K16" s="1"/>
      <c r="L16" s="1"/>
      <c r="M16" s="1"/>
      <c r="N16" s="1"/>
      <c r="O16" s="12"/>
    </row>
    <row r="17" spans="1:15" ht="14.5">
      <c r="A17" s="1" t="s">
        <v>305</v>
      </c>
      <c r="B17" s="1"/>
      <c r="C17" s="3"/>
      <c r="D17" s="10" t="str">
        <v>Supermarket</v>
      </c>
      <c r="E17" s="9">
        <f>SUMIF(Orders[Customer_Type], D17, Orders[Gross_Sales])</f>
        <v>760.8</v>
      </c>
      <c r="F17" s="1"/>
      <c r="G17" s="10" t="str">
        <v>Donegal</v>
      </c>
      <c r="H17" s="9">
        <f>SUMIF(Orders[County],G17,Orders[Quantity])</f>
        <v>230</v>
      </c>
      <c r="I17" s="1"/>
      <c r="J17" s="1"/>
      <c r="K17" s="1"/>
      <c r="L17" s="1"/>
      <c r="M17" s="1"/>
      <c r="N17" s="1"/>
      <c r="O17" s="1"/>
    </row>
    <row r="18" spans="1:15" ht="15.5">
      <c r="A18" s="8" t="s">
        <v>315</v>
      </c>
      <c r="B18" s="8" t="s">
        <v>317</v>
      </c>
      <c r="C18" s="13"/>
      <c r="D18" s="10"/>
      <c r="E18" s="9"/>
      <c r="F18" s="1"/>
      <c r="G18" s="10" t="str">
        <v>Dublin</v>
      </c>
      <c r="H18" s="9">
        <f>SUMIF(Orders[County],G18,Orders[Quantity])</f>
        <v>223</v>
      </c>
      <c r="I18" s="1"/>
      <c r="J18" s="1"/>
      <c r="K18" s="1"/>
      <c r="L18" s="1"/>
      <c r="M18" s="1"/>
      <c r="N18" s="1"/>
      <c r="O18" s="1"/>
    </row>
    <row r="19" spans="1:15" ht="14.5">
      <c r="A19" s="10" t="str" cm="1">
        <f t="array" ref="A19:A38">_xlfn.UNIQUE(Orders[Product_Name])</f>
        <v>Peach Tea</v>
      </c>
      <c r="B19" s="9">
        <f>COUNTIF(Orders[Product_Name],A19)</f>
        <v>14</v>
      </c>
      <c r="C19" s="3"/>
      <c r="D19" s="1"/>
      <c r="E19" s="1"/>
      <c r="F19" s="1"/>
      <c r="G19" s="10" t="str">
        <v>Cork</v>
      </c>
      <c r="H19" s="9">
        <f>SUMIF(Orders[County],G19,Orders[Quantity])</f>
        <v>117</v>
      </c>
      <c r="I19" s="1"/>
      <c r="J19" s="1"/>
      <c r="K19" s="1"/>
      <c r="L19" s="1"/>
      <c r="M19" s="1"/>
      <c r="N19" s="1"/>
      <c r="O19" s="1"/>
    </row>
    <row r="20" spans="1:15" ht="14.5">
      <c r="A20" s="10" t="str">
        <v xml:space="preserve">Mineral Water
</v>
      </c>
      <c r="B20" s="9">
        <f>COUNTIF(Orders[Product_Name],A20)</f>
        <v>10</v>
      </c>
      <c r="C20" s="3"/>
      <c r="D20" s="49" t="s">
        <v>341</v>
      </c>
      <c r="E20" s="50"/>
      <c r="F20" s="1"/>
      <c r="G20" s="10"/>
      <c r="H20" s="9"/>
      <c r="I20" s="1"/>
      <c r="J20" s="1"/>
      <c r="K20" s="1"/>
      <c r="L20" s="1"/>
      <c r="M20" s="1"/>
      <c r="N20" s="1"/>
      <c r="O20" s="1"/>
    </row>
    <row r="21" spans="1:15" ht="15.75" customHeight="1">
      <c r="A21" s="10" t="str">
        <v>Still Water</v>
      </c>
      <c r="B21" s="9">
        <f>COUNTIF(Orders[Product_Name],A21)</f>
        <v>17</v>
      </c>
      <c r="C21" s="3"/>
      <c r="D21" s="8" t="s">
        <v>245</v>
      </c>
      <c r="E21" s="8" t="s">
        <v>363</v>
      </c>
      <c r="F21" s="1"/>
      <c r="G21" s="10"/>
      <c r="H21" s="9"/>
      <c r="I21" s="1"/>
      <c r="J21" s="1"/>
      <c r="K21" s="1"/>
      <c r="L21" s="1"/>
      <c r="M21" s="1"/>
      <c r="N21" s="1"/>
      <c r="O21" s="1"/>
    </row>
    <row r="22" spans="1:15" ht="15.75" customHeight="1">
      <c r="A22" s="10" t="str">
        <v>Vitamin Water</v>
      </c>
      <c r="B22" s="9">
        <f>COUNTIF(Orders[Product_Name],A22)</f>
        <v>22</v>
      </c>
      <c r="C22" s="3"/>
      <c r="D22" s="10" t="str" cm="1">
        <f t="array" ref="D22:D27">_xlfn.UNIQUE(Orders[Customer_Type])</f>
        <v>Restaurant</v>
      </c>
      <c r="E22" s="9">
        <f>SUMIF(Orders[Customer_Type], D22, Orders[Quantity])</f>
        <v>1646</v>
      </c>
      <c r="F22" s="1"/>
      <c r="G22" s="10"/>
      <c r="H22" s="9"/>
      <c r="I22" s="1"/>
      <c r="J22" s="1"/>
      <c r="K22" s="1"/>
      <c r="L22" s="1"/>
      <c r="M22" s="1"/>
      <c r="N22" s="1"/>
      <c r="O22" s="1"/>
    </row>
    <row r="23" spans="1:15" ht="15.75" customHeight="1">
      <c r="A23" s="10" t="str">
        <v>Apple Juice</v>
      </c>
      <c r="B23" s="9">
        <f>COUNTIF(Orders[Product_Name],A23)</f>
        <v>12</v>
      </c>
      <c r="C23" s="3"/>
      <c r="D23" s="10" t="str">
        <v>Retailer</v>
      </c>
      <c r="E23" s="9">
        <f>SUMIF(Orders[Customer_Type], D23, Orders[Quantity])</f>
        <v>1161</v>
      </c>
      <c r="F23" s="1"/>
      <c r="G23" s="10"/>
      <c r="H23" s="9"/>
      <c r="I23" s="1"/>
      <c r="J23" s="1"/>
      <c r="K23" s="1"/>
      <c r="L23" s="1"/>
      <c r="M23" s="1"/>
      <c r="N23" s="1"/>
      <c r="O23" s="1"/>
    </row>
    <row r="24" spans="1:15" ht="15.75" customHeight="1">
      <c r="A24" s="10" t="str">
        <v>Orange Soda</v>
      </c>
      <c r="B24" s="9">
        <f>COUNTIF(Orders[Product_Name],A24)</f>
        <v>13</v>
      </c>
      <c r="C24" s="3"/>
      <c r="D24" s="10" t="str">
        <v>Hotel</v>
      </c>
      <c r="E24" s="9">
        <f>SUMIF(Orders[Customer_Type], D24, Orders[Quantity])</f>
        <v>1277</v>
      </c>
      <c r="F24" s="1"/>
      <c r="G24" s="1"/>
      <c r="H24" s="1"/>
      <c r="I24" s="1"/>
      <c r="J24" s="1"/>
      <c r="K24" s="1"/>
      <c r="L24" s="1"/>
      <c r="M24" s="1"/>
      <c r="N24" s="1"/>
      <c r="O24" s="1"/>
    </row>
    <row r="25" spans="1:15" ht="15.75" customHeight="1">
      <c r="A25" s="10" t="str">
        <v>Sparkling Water</v>
      </c>
      <c r="B25" s="9">
        <f>COUNTIF(Orders[Product_Name],A25)</f>
        <v>7</v>
      </c>
      <c r="C25" s="3"/>
      <c r="D25" s="10" t="str">
        <v>Wholesaler</v>
      </c>
      <c r="E25" s="9">
        <f>SUMIF(Orders[Customer_Type], D25, Orders[Quantity])</f>
        <v>1313</v>
      </c>
      <c r="F25" s="1"/>
      <c r="G25" s="48" t="s">
        <v>398</v>
      </c>
      <c r="H25" s="47"/>
      <c r="I25" s="1"/>
      <c r="J25" s="1"/>
      <c r="K25" s="1"/>
      <c r="L25" s="1"/>
      <c r="M25" s="1"/>
      <c r="N25" s="1"/>
      <c r="O25" s="1"/>
    </row>
    <row r="26" spans="1:15" ht="15.75" customHeight="1">
      <c r="A26" s="10" t="str">
        <v>Berry Splash</v>
      </c>
      <c r="B26" s="9">
        <f>COUNTIF(Orders[Product_Name],A26)</f>
        <v>12</v>
      </c>
      <c r="C26" s="3"/>
      <c r="D26" s="10" t="str">
        <v>Café</v>
      </c>
      <c r="E26" s="9">
        <f>SUMIF(Orders[Customer_Type], D26, Orders[Quantity])</f>
        <v>1129</v>
      </c>
      <c r="F26" s="1"/>
      <c r="G26" s="8" t="s">
        <v>6</v>
      </c>
      <c r="H26" s="8" t="s">
        <v>94</v>
      </c>
      <c r="I26" s="1"/>
      <c r="J26" s="1"/>
      <c r="K26" s="1"/>
      <c r="L26" s="1"/>
      <c r="M26" s="1"/>
      <c r="N26" s="1"/>
      <c r="O26" s="1"/>
    </row>
    <row r="27" spans="1:15" ht="15.75" customHeight="1">
      <c r="A27" s="10" t="str">
        <v>Lemon Lime</v>
      </c>
      <c r="B27" s="9">
        <f>COUNTIF(Orders[Product_Name],A27)</f>
        <v>14</v>
      </c>
      <c r="C27" s="3"/>
      <c r="D27" s="10" t="str">
        <v>Supermarket</v>
      </c>
      <c r="E27" s="9">
        <f>SUMIF(Orders[Customer_Type], D27, Orders[Quantity])</f>
        <v>428</v>
      </c>
      <c r="F27" s="1"/>
      <c r="G27" s="10" t="str" cm="1">
        <f t="array" ref="G27:G42">_xlfn.UNIQUE(Orders[County])</f>
        <v>Kerry</v>
      </c>
      <c r="H27" s="40">
        <f>SUMIF(Orders[County],G27,Orders[Gross_Sales])</f>
        <v>925</v>
      </c>
      <c r="I27" s="1"/>
      <c r="J27" s="1"/>
      <c r="K27" s="1"/>
      <c r="L27" s="1"/>
      <c r="M27" s="1"/>
      <c r="N27" s="1"/>
      <c r="O27" s="1"/>
    </row>
    <row r="28" spans="1:15" ht="15.75" customHeight="1">
      <c r="A28" s="10" t="str">
        <v>Sparkling Citrus</v>
      </c>
      <c r="B28" s="9">
        <f>COUNTIF(Orders[Product_Name],A28)</f>
        <v>20</v>
      </c>
      <c r="C28" s="3"/>
      <c r="D28" s="10"/>
      <c r="E28" s="9"/>
      <c r="F28" s="1"/>
      <c r="G28" s="10" t="str">
        <v>Tipperary</v>
      </c>
      <c r="H28" s="40">
        <f>SUMIF(Orders[County],G28,Orders[Gross_Sales])</f>
        <v>829.5</v>
      </c>
      <c r="I28" s="1"/>
      <c r="J28" s="1"/>
      <c r="K28" s="1"/>
      <c r="L28" s="1"/>
      <c r="M28" s="1"/>
      <c r="N28" s="1"/>
      <c r="O28" s="1"/>
    </row>
    <row r="29" spans="1:15" ht="15.75" customHeight="1">
      <c r="A29" s="10" t="str">
        <v>Kids Juice</v>
      </c>
      <c r="B29" s="9">
        <f>COUNTIF(Orders[Product_Name],A29)</f>
        <v>12</v>
      </c>
      <c r="C29" s="3"/>
      <c r="D29" s="49" t="s">
        <v>429</v>
      </c>
      <c r="E29" s="50"/>
      <c r="F29" s="1"/>
      <c r="G29" s="10" t="str">
        <v>Waterford</v>
      </c>
      <c r="H29" s="40">
        <f>SUMIF(Orders[County],G29,Orders[Gross_Sales])</f>
        <v>1530</v>
      </c>
      <c r="I29" s="1"/>
      <c r="J29" s="1"/>
      <c r="K29" s="1"/>
      <c r="L29" s="1"/>
      <c r="M29" s="1"/>
      <c r="N29" s="1"/>
      <c r="O29" s="1"/>
    </row>
    <row r="30" spans="1:15" ht="15.75" customHeight="1">
      <c r="A30" s="10" t="str">
        <v>Tonic Water</v>
      </c>
      <c r="B30" s="9">
        <f>COUNTIF(Orders[Product_Name],A30)</f>
        <v>8</v>
      </c>
      <c r="C30" s="3"/>
      <c r="D30" s="8" t="s">
        <v>315</v>
      </c>
      <c r="E30" s="8" t="s">
        <v>433</v>
      </c>
      <c r="F30" s="1"/>
      <c r="G30" s="10" t="str">
        <v>Offaly</v>
      </c>
      <c r="H30" s="40">
        <f>SUMIF(Orders[County],G30,Orders[Gross_Sales])</f>
        <v>1140.6000000000001</v>
      </c>
      <c r="I30" s="1"/>
      <c r="J30" s="1"/>
      <c r="K30" s="1"/>
      <c r="L30" s="1"/>
      <c r="M30" s="1"/>
      <c r="N30" s="1"/>
      <c r="O30" s="1"/>
    </row>
    <row r="31" spans="1:15" ht="15.75" customHeight="1">
      <c r="A31" s="10" t="str">
        <v>Energy Boost</v>
      </c>
      <c r="B31" s="9">
        <f>COUNTIF(Orders[Product_Name],A31)</f>
        <v>19</v>
      </c>
      <c r="C31" s="3"/>
      <c r="D31" s="10" t="str" cm="1">
        <f t="array" ref="D31:D50">_xlfn.UNIQUE(Orders[Product_Name])</f>
        <v>Peach Tea</v>
      </c>
      <c r="E31" s="40">
        <f>COUNTIFS(Orders[Product_Name], D31, Orders[Order_Status], "Cancelled")</f>
        <v>1</v>
      </c>
      <c r="F31" s="1"/>
      <c r="G31" s="10" t="str">
        <v>Meath</v>
      </c>
      <c r="H31" s="40">
        <f>SUMIF(Orders[County],G31,Orders[Gross_Sales])</f>
        <v>873.10000000000014</v>
      </c>
      <c r="I31" s="1"/>
      <c r="J31" s="1"/>
      <c r="K31" s="1"/>
      <c r="L31" s="1"/>
      <c r="M31" s="1"/>
      <c r="N31" s="1"/>
      <c r="O31" s="1"/>
    </row>
    <row r="32" spans="1:15" ht="15.75" customHeight="1">
      <c r="A32" s="10" t="str">
        <v>Iced Tea</v>
      </c>
      <c r="B32" s="9">
        <f>COUNTIF(Orders[Product_Name],A32)</f>
        <v>12</v>
      </c>
      <c r="C32" s="3"/>
      <c r="D32" s="10" t="str">
        <v xml:space="preserve">Mineral Water
</v>
      </c>
      <c r="E32" s="40">
        <f>COUNTIFS(Orders[Product_Name], D32, Orders[Order_Status], "Cancelled")</f>
        <v>0</v>
      </c>
      <c r="F32" s="1"/>
      <c r="G32" s="10" t="str">
        <v>Wexford</v>
      </c>
      <c r="H32" s="40">
        <f>SUMIF(Orders[County],G32,Orders[Gross_Sales])</f>
        <v>1474.3</v>
      </c>
      <c r="I32" s="1"/>
      <c r="J32" s="1"/>
      <c r="K32" s="1"/>
      <c r="L32" s="1"/>
      <c r="M32" s="1"/>
      <c r="N32" s="1"/>
      <c r="O32" s="1"/>
    </row>
    <row r="33" spans="1:15" ht="15.75" customHeight="1">
      <c r="A33" s="10" t="str">
        <v>Cola</v>
      </c>
      <c r="B33" s="9">
        <f>COUNTIF(Orders[Product_Name],A33)</f>
        <v>6</v>
      </c>
      <c r="C33" s="3"/>
      <c r="D33" s="10" t="str">
        <v>Still Water</v>
      </c>
      <c r="E33" s="40">
        <f>COUNTIFS(Orders[Product_Name], D33, Orders[Order_Status], "Cancelled")</f>
        <v>1</v>
      </c>
      <c r="F33" s="1"/>
      <c r="G33" s="10" t="str">
        <v>Galway</v>
      </c>
      <c r="H33" s="40">
        <f>SUMIF(Orders[County],G33,Orders[Gross_Sales])</f>
        <v>1078.9000000000001</v>
      </c>
      <c r="I33" s="1"/>
      <c r="J33" s="1"/>
      <c r="K33" s="1"/>
      <c r="L33" s="1"/>
      <c r="M33" s="1"/>
      <c r="N33" s="1"/>
      <c r="O33" s="1"/>
    </row>
    <row r="34" spans="1:15" ht="15.75" customHeight="1">
      <c r="A34" s="10" t="str">
        <v>Mango Juice</v>
      </c>
      <c r="B34" s="9">
        <f>COUNTIF(Orders[Product_Name],A34)</f>
        <v>13</v>
      </c>
      <c r="C34" s="3"/>
      <c r="D34" s="10" t="str">
        <v>Vitamin Water</v>
      </c>
      <c r="E34" s="40">
        <f>COUNTIFS(Orders[Product_Name], D34, Orders[Order_Status], "Cancelled")</f>
        <v>0</v>
      </c>
      <c r="F34" s="1"/>
      <c r="G34" s="10" t="str">
        <v>Limerick</v>
      </c>
      <c r="H34" s="40">
        <f>SUMIF(Orders[County],G34,Orders[Gross_Sales])</f>
        <v>213.79999999999998</v>
      </c>
      <c r="I34" s="1"/>
      <c r="J34" s="1"/>
      <c r="K34" s="1"/>
      <c r="L34" s="1"/>
      <c r="M34" s="1"/>
      <c r="N34" s="1"/>
      <c r="O34" s="1"/>
    </row>
    <row r="35" spans="1:15" ht="15.75" customHeight="1">
      <c r="A35" s="10" t="str">
        <v>Zero Cola</v>
      </c>
      <c r="B35" s="9">
        <f>COUNTIF(Orders[Product_Name],A35)</f>
        <v>9</v>
      </c>
      <c r="C35" s="3"/>
      <c r="D35" s="10" t="str">
        <v>Apple Juice</v>
      </c>
      <c r="E35" s="40">
        <f>COUNTIFS(Orders[Product_Name], D35, Orders[Order_Status], "Cancelled")</f>
        <v>0</v>
      </c>
      <c r="F35" s="1"/>
      <c r="G35" s="10" t="str">
        <v>Louth</v>
      </c>
      <c r="H35" s="40">
        <f>SUMIF(Orders[County],G35,Orders[Gross_Sales])</f>
        <v>1194.3999999999999</v>
      </c>
      <c r="I35" s="1"/>
      <c r="J35" s="1"/>
      <c r="K35" s="1"/>
      <c r="L35" s="1"/>
      <c r="M35" s="1"/>
      <c r="N35" s="1"/>
      <c r="O35" s="1"/>
    </row>
    <row r="36" spans="1:15" ht="15.75" customHeight="1">
      <c r="A36" s="10" t="str">
        <v>Spring Water</v>
      </c>
      <c r="B36" s="9">
        <f>COUNTIF(Orders[Product_Name],A36)</f>
        <v>17</v>
      </c>
      <c r="C36" s="3"/>
      <c r="D36" s="10" t="str">
        <v>Orange Soda</v>
      </c>
      <c r="E36" s="40">
        <f>COUNTIFS(Orders[Product_Name], D36, Orders[Order_Status], "Cancelled")</f>
        <v>0</v>
      </c>
      <c r="F36" s="1"/>
      <c r="G36" s="10" t="str">
        <v>Clare</v>
      </c>
      <c r="H36" s="40">
        <f>SUMIF(Orders[County],G36,Orders[Gross_Sales])</f>
        <v>878.3</v>
      </c>
      <c r="I36" s="1"/>
      <c r="J36" s="1"/>
      <c r="K36" s="1"/>
      <c r="L36" s="1"/>
      <c r="M36" s="1"/>
      <c r="N36" s="1"/>
      <c r="O36" s="1"/>
    </row>
    <row r="37" spans="1:15" ht="15.75" customHeight="1">
      <c r="A37" s="10" t="str">
        <v>Grape Soda</v>
      </c>
      <c r="B37" s="9">
        <f>COUNTIF(Orders[Product_Name],A37)</f>
        <v>8</v>
      </c>
      <c r="C37" s="3"/>
      <c r="D37" s="10" t="str">
        <v>Sparkling Water</v>
      </c>
      <c r="E37" s="40">
        <f>COUNTIFS(Orders[Product_Name], D37, Orders[Order_Status], "Cancelled")</f>
        <v>1</v>
      </c>
      <c r="F37" s="1"/>
      <c r="G37" s="10" t="str">
        <v>Sligo</v>
      </c>
      <c r="H37" s="40">
        <f>SUMIF(Orders[County],G37,Orders[Gross_Sales])</f>
        <v>649.70000000000005</v>
      </c>
      <c r="I37" s="1"/>
      <c r="J37" s="1"/>
      <c r="K37" s="1"/>
      <c r="L37" s="1"/>
      <c r="M37" s="1"/>
      <c r="N37" s="1"/>
      <c r="O37" s="1"/>
    </row>
    <row r="38" spans="1:15" ht="15.75" customHeight="1">
      <c r="A38" s="10" t="str">
        <v>Pineapple Juice</v>
      </c>
      <c r="B38" s="9">
        <f>COUNTIF(Orders[Product_Name],A38)</f>
        <v>5</v>
      </c>
      <c r="C38" s="3"/>
      <c r="D38" s="10" t="str">
        <v>Berry Splash</v>
      </c>
      <c r="E38" s="40">
        <f>COUNTIFS(Orders[Product_Name], D38, Orders[Order_Status], "Cancelled")</f>
        <v>0</v>
      </c>
      <c r="F38" s="1"/>
      <c r="G38" s="10" t="str">
        <v>Mayo</v>
      </c>
      <c r="H38" s="40">
        <f>SUMIF(Orders[County],G38,Orders[Gross_Sales])</f>
        <v>286</v>
      </c>
      <c r="I38" s="1"/>
      <c r="J38" s="1"/>
      <c r="K38" s="1"/>
      <c r="L38" s="1"/>
      <c r="M38" s="1"/>
      <c r="N38" s="1"/>
      <c r="O38" s="1"/>
    </row>
    <row r="39" spans="1:15" ht="15.75" customHeight="1">
      <c r="A39" s="1"/>
      <c r="B39" s="1"/>
      <c r="C39" s="3"/>
      <c r="D39" s="10" t="str">
        <v>Lemon Lime</v>
      </c>
      <c r="E39" s="40">
        <f>COUNTIFS(Orders[Product_Name], D39, Orders[Order_Status], "Cancelled")</f>
        <v>0</v>
      </c>
      <c r="F39" s="1"/>
      <c r="G39" s="10" t="str">
        <v>Kildare</v>
      </c>
      <c r="H39" s="40">
        <f>SUMIF(Orders[County],G39,Orders[Gross_Sales])</f>
        <v>804.19999999999993</v>
      </c>
      <c r="I39" s="1"/>
      <c r="J39" s="1"/>
      <c r="K39" s="1"/>
      <c r="L39" s="1"/>
      <c r="M39" s="1"/>
      <c r="N39" s="1"/>
      <c r="O39" s="1"/>
    </row>
    <row r="40" spans="1:15" ht="15.75" customHeight="1">
      <c r="A40" s="46" t="s">
        <v>460</v>
      </c>
      <c r="B40" s="47"/>
      <c r="C40" s="3"/>
      <c r="D40" s="10" t="str">
        <v>Sparkling Citrus</v>
      </c>
      <c r="E40" s="40">
        <f>COUNTIFS(Orders[Product_Name], D40, Orders[Order_Status], "Cancelled")</f>
        <v>1</v>
      </c>
      <c r="F40" s="1"/>
      <c r="G40" s="10" t="str">
        <v>Donegal</v>
      </c>
      <c r="H40" s="40">
        <f>SUMIF(Orders[County],G40,Orders[Gross_Sales])</f>
        <v>425.1</v>
      </c>
      <c r="I40" s="1"/>
      <c r="J40" s="1"/>
      <c r="K40" s="1"/>
      <c r="L40" s="1"/>
      <c r="M40" s="1"/>
      <c r="N40" s="1"/>
      <c r="O40" s="1"/>
    </row>
    <row r="41" spans="1:15" ht="15.75" customHeight="1">
      <c r="A41" s="8" t="s">
        <v>463</v>
      </c>
      <c r="B41" s="8" t="s">
        <v>317</v>
      </c>
      <c r="C41" s="13"/>
      <c r="D41" s="10" t="str">
        <v>Kids Juice</v>
      </c>
      <c r="E41" s="40">
        <f>COUNTIFS(Orders[Product_Name], D41, Orders[Order_Status], "Cancelled")</f>
        <v>0</v>
      </c>
      <c r="F41" s="1"/>
      <c r="G41" s="10" t="str">
        <v>Dublin</v>
      </c>
      <c r="H41" s="40">
        <f>SUMIF(Orders[County],G41,Orders[Gross_Sales])</f>
        <v>414.1</v>
      </c>
      <c r="I41" s="1"/>
      <c r="J41" s="1"/>
      <c r="K41" s="1"/>
      <c r="L41" s="1"/>
      <c r="M41" s="1"/>
      <c r="N41" s="1"/>
      <c r="O41" s="1"/>
    </row>
    <row r="42" spans="1:15" ht="15.75" customHeight="1">
      <c r="A42" s="9" t="str" cm="1">
        <f t="array" ref="A42:A46">_xlfn.UNIQUE(Orders[Category])</f>
        <v>Tea</v>
      </c>
      <c r="B42" s="9">
        <f>COUNTIF(Orders[Category], A42)</f>
        <v>26</v>
      </c>
      <c r="C42" s="3"/>
      <c r="D42" s="10" t="str">
        <v>Tonic Water</v>
      </c>
      <c r="E42" s="40">
        <f>COUNTIFS(Orders[Product_Name], D42, Orders[Order_Status], "Cancelled")</f>
        <v>1</v>
      </c>
      <c r="F42" s="1"/>
      <c r="G42" s="10" t="str">
        <v>Cork</v>
      </c>
      <c r="H42" s="40">
        <f>SUMIF(Orders[County],G42,Orders[Gross_Sales])</f>
        <v>243.5</v>
      </c>
      <c r="I42" s="1"/>
      <c r="J42" s="1"/>
      <c r="K42" s="1"/>
      <c r="L42" s="1"/>
      <c r="M42" s="1"/>
      <c r="N42" s="1"/>
      <c r="O42" s="1"/>
    </row>
    <row r="43" spans="1:15" ht="15.75" customHeight="1">
      <c r="A43" s="9" t="str">
        <v>Water</v>
      </c>
      <c r="B43" s="9">
        <f>COUNTIF(Orders[Category], A43)</f>
        <v>101</v>
      </c>
      <c r="C43" s="3"/>
      <c r="D43" s="10" t="str">
        <v>Energy Boost</v>
      </c>
      <c r="E43" s="40">
        <f>COUNTIFS(Orders[Product_Name], D43, Orders[Order_Status], "Cancelled")</f>
        <v>0</v>
      </c>
      <c r="F43" s="1"/>
      <c r="G43" s="10"/>
      <c r="H43" s="14"/>
      <c r="I43" s="1"/>
      <c r="J43" s="1"/>
      <c r="K43" s="1"/>
      <c r="L43" s="1"/>
      <c r="M43" s="1"/>
      <c r="N43" s="1"/>
      <c r="O43" s="1"/>
    </row>
    <row r="44" spans="1:15" ht="15.75" customHeight="1">
      <c r="A44" s="9" t="str">
        <v>Juice</v>
      </c>
      <c r="B44" s="9">
        <f>COUNTIF(Orders[Category], A44)</f>
        <v>54</v>
      </c>
      <c r="C44" s="3"/>
      <c r="D44" s="10" t="str">
        <v>Iced Tea</v>
      </c>
      <c r="E44" s="40">
        <f>COUNTIFS(Orders[Product_Name], D44, Orders[Order_Status], "Cancelled")</f>
        <v>1</v>
      </c>
      <c r="F44" s="1"/>
      <c r="G44" s="10"/>
      <c r="H44" s="14"/>
      <c r="I44" s="1"/>
      <c r="J44" s="1"/>
      <c r="K44" s="1"/>
      <c r="L44" s="1"/>
      <c r="M44" s="1"/>
      <c r="N44" s="1"/>
      <c r="O44" s="1"/>
    </row>
    <row r="45" spans="1:15" ht="15.75" customHeight="1">
      <c r="A45" s="9" t="str">
        <v>Soft Drink</v>
      </c>
      <c r="B45" s="9">
        <f>COUNTIF(Orders[Category], A45)</f>
        <v>50</v>
      </c>
      <c r="C45" s="3"/>
      <c r="D45" s="10" t="str">
        <v>Cola</v>
      </c>
      <c r="E45" s="40">
        <f>COUNTIFS(Orders[Product_Name], D45, Orders[Order_Status], "Cancelled")</f>
        <v>0</v>
      </c>
      <c r="F45" s="1"/>
      <c r="G45" s="10"/>
      <c r="H45" s="14"/>
      <c r="I45" s="1"/>
      <c r="J45" s="1"/>
      <c r="K45" s="1"/>
      <c r="L45" s="1"/>
      <c r="M45" s="1"/>
      <c r="N45" s="1"/>
      <c r="O45" s="1"/>
    </row>
    <row r="46" spans="1:15" ht="15.75" customHeight="1">
      <c r="A46" s="9" t="str">
        <v>Energy Drink</v>
      </c>
      <c r="B46" s="9">
        <f>COUNTIF(Orders[Category], A46)</f>
        <v>19</v>
      </c>
      <c r="C46" s="3"/>
      <c r="D46" s="10" t="str">
        <v>Mango Juice</v>
      </c>
      <c r="E46" s="40">
        <f>COUNTIFS(Orders[Product_Name], D46, Orders[Order_Status], "Cancelled")</f>
        <v>0</v>
      </c>
      <c r="F46" s="1"/>
      <c r="G46" s="10"/>
      <c r="H46" s="14"/>
      <c r="I46" s="1"/>
      <c r="J46" s="1"/>
      <c r="K46" s="1"/>
      <c r="L46" s="1"/>
      <c r="M46" s="1"/>
      <c r="N46" s="1"/>
      <c r="O46" s="1"/>
    </row>
    <row r="47" spans="1:15" ht="15.75" customHeight="1">
      <c r="A47" s="1"/>
      <c r="B47" s="9">
        <f>COUNTIF(Orders[Category], A47)</f>
        <v>0</v>
      </c>
      <c r="C47" s="3"/>
      <c r="D47" s="10" t="str">
        <v>Zero Cola</v>
      </c>
      <c r="E47" s="40">
        <f>COUNTIFS(Orders[Product_Name], D47, Orders[Order_Status], "Cancelled")</f>
        <v>0</v>
      </c>
      <c r="F47" s="1"/>
      <c r="G47" s="1"/>
      <c r="H47" s="1"/>
      <c r="I47" s="1"/>
      <c r="J47" s="1"/>
      <c r="K47" s="1"/>
      <c r="L47" s="1"/>
      <c r="M47" s="1"/>
      <c r="N47" s="1"/>
      <c r="O47" s="1"/>
    </row>
    <row r="48" spans="1:15" ht="15.75" customHeight="1">
      <c r="A48" s="1" t="s">
        <v>482</v>
      </c>
      <c r="B48" s="9">
        <f>COUNTIF(Orders[Category], A48)</f>
        <v>0</v>
      </c>
      <c r="C48" s="3" t="s">
        <v>691</v>
      </c>
      <c r="D48" s="10" t="str">
        <v>Spring Water</v>
      </c>
      <c r="E48" s="40">
        <f>COUNTIFS(Orders[Product_Name], D48, Orders[Order_Status], "Cancelled")</f>
        <v>0</v>
      </c>
      <c r="F48" s="1"/>
      <c r="G48" s="1" t="s">
        <v>486</v>
      </c>
      <c r="H48" s="1"/>
      <c r="I48" s="1"/>
      <c r="J48" s="1"/>
      <c r="K48" s="1"/>
      <c r="L48" s="1"/>
      <c r="M48" s="1"/>
      <c r="N48" s="1"/>
      <c r="O48" s="1"/>
    </row>
    <row r="49" spans="1:15" ht="15.75" customHeight="1">
      <c r="A49" s="8" t="s">
        <v>315</v>
      </c>
      <c r="B49" s="29" t="s">
        <v>489</v>
      </c>
      <c r="C49" s="3"/>
      <c r="D49" s="10" t="str">
        <v>Grape Soda</v>
      </c>
      <c r="E49" s="40">
        <f>COUNTIFS(Orders[Product_Name], D49, Orders[Order_Status], "Cancelled")</f>
        <v>0</v>
      </c>
      <c r="F49" s="1"/>
      <c r="G49" s="8" t="s">
        <v>490</v>
      </c>
      <c r="H49" s="43" t="s">
        <v>492</v>
      </c>
      <c r="I49" s="1"/>
      <c r="J49" s="1"/>
      <c r="K49" s="1"/>
      <c r="L49" s="1"/>
      <c r="M49" s="1"/>
      <c r="N49" s="1"/>
      <c r="O49" s="1"/>
    </row>
    <row r="50" spans="1:15" ht="15.75" customHeight="1">
      <c r="A50" s="10" t="str" cm="1">
        <f t="array" ref="A50:A69">_xlfn.UNIQUE(Orders[Product_Name])</f>
        <v>Peach Tea</v>
      </c>
      <c r="B50" s="9">
        <f>SUMIF(Orders[Product_Name], A50, Orders[Quantity])</f>
        <v>325</v>
      </c>
      <c r="C50" s="3"/>
      <c r="D50" s="10" t="str">
        <v>Pineapple Juice</v>
      </c>
      <c r="E50" s="40">
        <f>COUNTIFS(Orders[Product_Name], D50, Orders[Order_Status], "Cancelled")</f>
        <v>0</v>
      </c>
      <c r="F50" s="1"/>
      <c r="G50" s="41" t="str" cm="1">
        <f t="array" ref="G50:G52">_xlfn.UNIQUE(Orders[Order_Status])</f>
        <v>Pending</v>
      </c>
      <c r="H50" s="45">
        <f>COUNTIFS(Orders[Order_Status],G50)</f>
        <v>49</v>
      </c>
      <c r="I50" s="42"/>
      <c r="J50" s="1"/>
      <c r="K50" s="1"/>
      <c r="L50" s="1"/>
      <c r="M50" s="1"/>
      <c r="N50" s="1"/>
      <c r="O50" s="1"/>
    </row>
    <row r="51" spans="1:15" ht="15.75" customHeight="1">
      <c r="A51" s="10" t="str">
        <v xml:space="preserve">Mineral Water
</v>
      </c>
      <c r="B51" s="9">
        <f>SUMIF(Orders[Product_Name], A51, Orders[Quantity])</f>
        <v>291</v>
      </c>
      <c r="C51" s="3"/>
      <c r="D51" s="15"/>
      <c r="E51" s="15"/>
      <c r="F51" s="3"/>
      <c r="G51" s="41" t="str">
        <v>Completed</v>
      </c>
      <c r="H51" s="45">
        <f>COUNTIFS(Orders[Order_Status],G51)</f>
        <v>195</v>
      </c>
      <c r="I51" s="3"/>
      <c r="J51" s="3"/>
      <c r="K51" s="3"/>
      <c r="L51" s="3"/>
      <c r="M51" s="3"/>
      <c r="N51" s="3"/>
      <c r="O51" s="3"/>
    </row>
    <row r="52" spans="1:15" ht="15.75" customHeight="1">
      <c r="A52" s="10" t="str">
        <v>Still Water</v>
      </c>
      <c r="B52" s="9">
        <f>SUMIF(Orders[Product_Name], A52, Orders[Quantity])</f>
        <v>498</v>
      </c>
      <c r="C52" s="3"/>
      <c r="D52" s="10"/>
      <c r="E52" s="10"/>
      <c r="F52" s="3"/>
      <c r="G52" s="41" t="str">
        <v>Cancelled</v>
      </c>
      <c r="H52" s="45">
        <f>COUNTIFS(Orders[Order_Status],G52)</f>
        <v>6</v>
      </c>
      <c r="I52" s="3"/>
      <c r="J52" s="3"/>
      <c r="K52" s="3"/>
      <c r="L52" s="3"/>
      <c r="M52" s="3"/>
      <c r="N52" s="3"/>
      <c r="O52" s="3"/>
    </row>
    <row r="53" spans="1:15" ht="15.75" customHeight="1">
      <c r="A53" s="10" t="str">
        <v>Vitamin Water</v>
      </c>
      <c r="B53" s="9">
        <f>SUMIF(Orders[Product_Name], A53, Orders[Quantity])</f>
        <v>455</v>
      </c>
      <c r="C53" s="3"/>
      <c r="D53" s="1"/>
      <c r="E53" s="1"/>
      <c r="F53" s="3"/>
      <c r="G53" s="10"/>
      <c r="H53" s="44"/>
      <c r="I53" s="3"/>
      <c r="J53" s="3"/>
      <c r="K53" s="3"/>
      <c r="L53" s="3"/>
      <c r="M53" s="3"/>
      <c r="N53" s="3"/>
      <c r="O53" s="3"/>
    </row>
    <row r="54" spans="1:15" ht="15.75" customHeight="1">
      <c r="A54" s="10" t="str">
        <v>Apple Juice</v>
      </c>
      <c r="B54" s="9">
        <f>SUMIF(Orders[Product_Name], A54, Orders[Quantity])</f>
        <v>384</v>
      </c>
      <c r="C54" s="3"/>
      <c r="D54" s="48" t="s">
        <v>502</v>
      </c>
      <c r="E54" s="47"/>
      <c r="F54" s="3"/>
      <c r="G54" s="10"/>
      <c r="H54" s="10"/>
      <c r="I54" s="3"/>
      <c r="J54" s="3"/>
      <c r="K54" s="3"/>
      <c r="L54" s="3"/>
      <c r="M54" s="3"/>
      <c r="N54" s="3"/>
      <c r="O54" s="3"/>
    </row>
    <row r="55" spans="1:15" ht="15.75" customHeight="1">
      <c r="A55" s="10" t="str">
        <v>Orange Soda</v>
      </c>
      <c r="B55" s="9">
        <f>SUMIF(Orders[Product_Name], A55, Orders[Quantity])</f>
        <v>293</v>
      </c>
      <c r="C55" s="3"/>
      <c r="D55" s="8" t="s">
        <v>6</v>
      </c>
      <c r="E55" s="8" t="s">
        <v>317</v>
      </c>
      <c r="F55" s="3"/>
      <c r="G55" s="10"/>
      <c r="H55" s="10"/>
      <c r="I55" s="3"/>
      <c r="J55" s="3"/>
      <c r="K55" s="3"/>
      <c r="L55" s="3"/>
      <c r="M55" s="3"/>
      <c r="N55" s="3"/>
      <c r="O55" s="3"/>
    </row>
    <row r="56" spans="1:15" ht="15.75" customHeight="1">
      <c r="A56" s="10" t="str">
        <v>Sparkling Water</v>
      </c>
      <c r="B56" s="9">
        <f>SUMIF(Orders[Product_Name], A56, Orders[Quantity])</f>
        <v>191</v>
      </c>
      <c r="C56" s="3"/>
      <c r="D56" s="10" t="str" cm="1">
        <f t="array" ref="D56:D71">_xlfn.UNIQUE(Orders[County])</f>
        <v>Kerry</v>
      </c>
      <c r="E56" s="40">
        <f>COUNTIF(Orders[County],D56)</f>
        <v>19</v>
      </c>
      <c r="F56" s="3"/>
      <c r="G56" s="10" t="s">
        <v>509</v>
      </c>
      <c r="H56" s="10"/>
      <c r="I56" s="3"/>
      <c r="J56" s="3"/>
      <c r="K56" s="3"/>
      <c r="L56" s="3"/>
      <c r="M56" s="3"/>
      <c r="N56" s="3"/>
      <c r="O56" s="3"/>
    </row>
    <row r="57" spans="1:15" ht="15.75" customHeight="1">
      <c r="A57" s="10" t="str">
        <v>Berry Splash</v>
      </c>
      <c r="B57" s="9">
        <f>SUMIF(Orders[Product_Name], A57, Orders[Quantity])</f>
        <v>241</v>
      </c>
      <c r="C57" s="3"/>
      <c r="D57" s="10" t="str">
        <v>Tipperary</v>
      </c>
      <c r="E57" s="40">
        <f>COUNTIF(Orders[County],D57)</f>
        <v>16</v>
      </c>
      <c r="F57" s="3"/>
      <c r="G57" s="8" t="s">
        <v>25</v>
      </c>
      <c r="H57" s="8" t="s">
        <v>513</v>
      </c>
      <c r="I57" s="3"/>
      <c r="J57" s="3"/>
      <c r="K57" s="3"/>
      <c r="L57" s="3"/>
      <c r="M57" s="3"/>
      <c r="N57" s="3"/>
      <c r="O57" s="3"/>
    </row>
    <row r="58" spans="1:15" ht="15.75" customHeight="1">
      <c r="A58" s="10" t="str">
        <v>Lemon Lime</v>
      </c>
      <c r="B58" s="9">
        <f>SUMIF(Orders[Product_Name], A58, Orders[Quantity])</f>
        <v>445</v>
      </c>
      <c r="C58" s="3"/>
      <c r="D58" s="10" t="str">
        <v>Waterford</v>
      </c>
      <c r="E58" s="40">
        <f>COUNTIF(Orders[County],D58)</f>
        <v>26</v>
      </c>
      <c r="F58" s="3"/>
      <c r="G58" s="10" t="s">
        <v>713</v>
      </c>
      <c r="H58" s="9">
        <f>COUNTIF(Orders[Discount],"&gt;0")</f>
        <v>82</v>
      </c>
      <c r="I58" s="3"/>
      <c r="J58" s="3"/>
      <c r="K58" s="3"/>
      <c r="L58" s="3"/>
      <c r="M58" s="3"/>
      <c r="N58" s="3"/>
      <c r="O58" s="3"/>
    </row>
    <row r="59" spans="1:15" ht="15.75" customHeight="1">
      <c r="A59" s="10" t="str">
        <v>Sparkling Citrus</v>
      </c>
      <c r="B59" s="9">
        <f>SUMIF(Orders[Product_Name], A59, Orders[Quantity])</f>
        <v>669</v>
      </c>
      <c r="C59" s="3"/>
      <c r="D59" s="10" t="str">
        <v>Offaly</v>
      </c>
      <c r="E59" s="40">
        <f>COUNTIF(Orders[County],D59)</f>
        <v>20</v>
      </c>
      <c r="F59" s="3"/>
      <c r="G59" s="10" t="s">
        <v>714</v>
      </c>
      <c r="H59" s="9">
        <f>COUNTIF(Orders[Discount],0)</f>
        <v>168</v>
      </c>
      <c r="I59" s="3"/>
      <c r="J59" s="3"/>
      <c r="K59" s="3"/>
      <c r="L59" s="3"/>
      <c r="M59" s="3"/>
      <c r="N59" s="3"/>
      <c r="O59" s="3"/>
    </row>
    <row r="60" spans="1:15" ht="15.75" customHeight="1">
      <c r="A60" s="10" t="str">
        <v>Kids Juice</v>
      </c>
      <c r="B60" s="9">
        <f>SUMIF(Orders[Product_Name], A60, Orders[Quantity])</f>
        <v>388</v>
      </c>
      <c r="C60" s="3"/>
      <c r="D60" s="10" t="str">
        <v>Meath</v>
      </c>
      <c r="E60" s="40">
        <f>COUNTIF(Orders[County],D60)</f>
        <v>21</v>
      </c>
      <c r="F60" s="3"/>
      <c r="G60" s="10"/>
      <c r="H60" s="10"/>
      <c r="I60" s="3"/>
      <c r="J60" s="3"/>
      <c r="K60" s="3"/>
      <c r="L60" s="3"/>
      <c r="M60" s="3"/>
      <c r="N60" s="3"/>
      <c r="O60" s="3"/>
    </row>
    <row r="61" spans="1:15" ht="15.75" customHeight="1">
      <c r="A61" s="10" t="str">
        <v>Tonic Water</v>
      </c>
      <c r="B61" s="9">
        <f>SUMIF(Orders[Product_Name], A61, Orders[Quantity])</f>
        <v>182</v>
      </c>
      <c r="C61" s="3"/>
      <c r="D61" s="10" t="str">
        <v>Wexford</v>
      </c>
      <c r="E61" s="40">
        <f>COUNTIF(Orders[County],D61)</f>
        <v>28</v>
      </c>
      <c r="F61" s="3"/>
      <c r="G61" s="10" t="s">
        <v>524</v>
      </c>
      <c r="H61" s="10"/>
      <c r="I61" s="3"/>
      <c r="J61" s="3"/>
      <c r="K61" s="3"/>
      <c r="L61" s="3"/>
      <c r="M61" s="3"/>
      <c r="N61" s="3"/>
      <c r="O61" s="3"/>
    </row>
    <row r="62" spans="1:15" ht="15.75" customHeight="1">
      <c r="A62" s="10" t="str">
        <v>Energy Boost</v>
      </c>
      <c r="B62" s="9">
        <f>SUMIF(Orders[Product_Name], A62, Orders[Quantity])</f>
        <v>586</v>
      </c>
      <c r="C62" s="3"/>
      <c r="D62" s="10" t="str">
        <v>Galway</v>
      </c>
      <c r="E62" s="40">
        <f>COUNTIF(Orders[County],D62)</f>
        <v>21</v>
      </c>
      <c r="F62" s="3"/>
      <c r="G62" s="8" t="s">
        <v>528</v>
      </c>
      <c r="H62" s="8" t="s">
        <v>513</v>
      </c>
      <c r="I62" s="3"/>
      <c r="J62" s="3"/>
      <c r="K62" s="3"/>
      <c r="L62" s="3"/>
      <c r="M62" s="3"/>
      <c r="N62" s="3"/>
      <c r="O62" s="3"/>
    </row>
    <row r="63" spans="1:15" ht="15.75" customHeight="1">
      <c r="A63" s="10" t="str">
        <v>Iced Tea</v>
      </c>
      <c r="B63" s="9">
        <f>SUMIF(Orders[Product_Name], A63, Orders[Quantity])</f>
        <v>407</v>
      </c>
      <c r="C63" s="3"/>
      <c r="D63" s="10" t="str">
        <v>Limerick</v>
      </c>
      <c r="E63" s="40">
        <f>COUNTIF(Orders[County],D63)</f>
        <v>7</v>
      </c>
      <c r="F63" s="3"/>
      <c r="G63" s="10" t="s">
        <v>715</v>
      </c>
      <c r="H63" s="9">
        <f>COUNTIF(Orders[Order_Status],"Completed")</f>
        <v>195</v>
      </c>
      <c r="I63" s="3"/>
      <c r="J63" s="3"/>
      <c r="K63" s="3"/>
      <c r="L63" s="3"/>
      <c r="M63" s="3"/>
      <c r="N63" s="3"/>
      <c r="O63" s="3"/>
    </row>
    <row r="64" spans="1:15" ht="15.75" customHeight="1">
      <c r="A64" s="10" t="str">
        <v>Cola</v>
      </c>
      <c r="B64" s="9">
        <f>SUMIF(Orders[Product_Name], A64, Orders[Quantity])</f>
        <v>178</v>
      </c>
      <c r="C64" s="3"/>
      <c r="D64" s="10" t="str">
        <v>Louth</v>
      </c>
      <c r="E64" s="40">
        <f>COUNTIF(Orders[County],D64)</f>
        <v>19</v>
      </c>
      <c r="F64" s="3"/>
      <c r="G64" s="10" t="s">
        <v>716</v>
      </c>
      <c r="H64" s="9">
        <f>COUNTIF(Orders[Order_Status], "&lt;&gt;Completed")</f>
        <v>55</v>
      </c>
      <c r="I64" s="3"/>
      <c r="J64" s="3"/>
      <c r="K64" s="3"/>
      <c r="L64" s="3"/>
      <c r="M64" s="3"/>
      <c r="N64" s="3"/>
      <c r="O64" s="3"/>
    </row>
    <row r="65" spans="1:15" ht="15.75" customHeight="1">
      <c r="A65" s="10" t="str">
        <v>Mango Juice</v>
      </c>
      <c r="B65" s="9">
        <f>SUMIF(Orders[Product_Name], A65, Orders[Quantity])</f>
        <v>325</v>
      </c>
      <c r="C65" s="3"/>
      <c r="D65" s="10" t="str">
        <v>Clare</v>
      </c>
      <c r="E65" s="40">
        <f>COUNTIF(Orders[County],D65)</f>
        <v>19</v>
      </c>
      <c r="F65" s="3"/>
      <c r="G65" s="10"/>
      <c r="H65" s="9"/>
      <c r="I65" s="3"/>
      <c r="J65" s="3"/>
      <c r="K65" s="3"/>
      <c r="L65" s="3"/>
      <c r="M65" s="3"/>
      <c r="N65" s="3"/>
      <c r="O65" s="3"/>
    </row>
    <row r="66" spans="1:15" ht="15.75" customHeight="1">
      <c r="A66" s="10" t="str">
        <v>Zero Cola</v>
      </c>
      <c r="B66" s="9">
        <f>SUMIF(Orders[Product_Name], A66, Orders[Quantity])</f>
        <v>279</v>
      </c>
      <c r="C66" s="3"/>
      <c r="D66" s="10" t="str">
        <v>Sligo</v>
      </c>
      <c r="E66" s="40">
        <f>COUNTIF(Orders[County],D66)</f>
        <v>14</v>
      </c>
      <c r="F66" s="3"/>
      <c r="G66" s="10"/>
      <c r="H66" s="10"/>
      <c r="I66" s="3"/>
      <c r="J66" s="3"/>
      <c r="K66" s="3"/>
      <c r="L66" s="3"/>
      <c r="M66" s="3"/>
      <c r="N66" s="3"/>
      <c r="O66" s="3"/>
    </row>
    <row r="67" spans="1:15" ht="15.75" customHeight="1">
      <c r="A67" s="10" t="str">
        <v>Spring Water</v>
      </c>
      <c r="B67" s="9">
        <f>SUMIF(Orders[Product_Name], A67, Orders[Quantity])</f>
        <v>399</v>
      </c>
      <c r="C67" s="3"/>
      <c r="D67" s="10" t="str">
        <v>Mayo</v>
      </c>
      <c r="E67" s="40">
        <f>COUNTIF(Orders[County],D67)</f>
        <v>6</v>
      </c>
      <c r="F67" s="3"/>
      <c r="G67" s="10" t="s">
        <v>538</v>
      </c>
      <c r="H67" s="10"/>
      <c r="I67" s="3"/>
      <c r="J67" s="3"/>
      <c r="K67" s="3"/>
      <c r="L67" s="3"/>
      <c r="M67" s="3"/>
      <c r="N67" s="3"/>
      <c r="O67" s="3"/>
    </row>
    <row r="68" spans="1:15" ht="15.75" customHeight="1">
      <c r="A68" s="10" t="str">
        <v>Grape Soda</v>
      </c>
      <c r="B68" s="9">
        <f>SUMIF(Orders[Product_Name], A68, Orders[Quantity])</f>
        <v>231</v>
      </c>
      <c r="C68" s="3"/>
      <c r="D68" s="10" t="str">
        <v>Kildare</v>
      </c>
      <c r="E68" s="40">
        <f>COUNTIF(Orders[County],D68)</f>
        <v>12</v>
      </c>
      <c r="F68" s="3"/>
      <c r="G68" s="8" t="s">
        <v>463</v>
      </c>
      <c r="H68" s="8" t="s">
        <v>94</v>
      </c>
      <c r="I68" s="3"/>
      <c r="J68" s="3"/>
      <c r="K68" s="3"/>
      <c r="L68" s="3"/>
      <c r="M68" s="3"/>
      <c r="N68" s="3"/>
      <c r="O68" s="3"/>
    </row>
    <row r="69" spans="1:15" ht="15.75" customHeight="1">
      <c r="A69" s="10" t="str">
        <v>Pineapple Juice</v>
      </c>
      <c r="B69" s="9">
        <f>SUMIF(Orders[Product_Name], A69, Orders[Quantity])</f>
        <v>187</v>
      </c>
      <c r="C69" s="3"/>
      <c r="D69" s="10" t="str">
        <v>Donegal</v>
      </c>
      <c r="E69" s="40">
        <f>COUNTIF(Orders[County],D69)</f>
        <v>9</v>
      </c>
      <c r="F69" s="3"/>
      <c r="G69" s="10" t="str" cm="1">
        <f t="array" ref="G69:G73">_xlfn.UNIQUE(Orders[Category])</f>
        <v>Tea</v>
      </c>
      <c r="H69" s="9">
        <f>SUMIF(Orders[Category],G69,Orders[Gross_Sales])</f>
        <v>1610.4000000000003</v>
      </c>
      <c r="I69" s="3"/>
      <c r="J69" s="3"/>
      <c r="K69" s="3"/>
      <c r="L69" s="3"/>
      <c r="M69" s="3"/>
      <c r="N69" s="3"/>
      <c r="O69" s="3"/>
    </row>
    <row r="70" spans="1:15" ht="15.75" customHeight="1">
      <c r="A70" s="16"/>
      <c r="B70" s="9">
        <f>SUMIF(Orders[Product_Name], A70, Orders[Quantity])</f>
        <v>0</v>
      </c>
      <c r="C70" s="3"/>
      <c r="D70" s="10" t="str">
        <v>Dublin</v>
      </c>
      <c r="E70" s="40">
        <f>COUNTIF(Orders[County],D70)</f>
        <v>7</v>
      </c>
      <c r="F70" s="3"/>
      <c r="G70" s="10" t="str">
        <v>Water</v>
      </c>
      <c r="H70" s="9">
        <f>SUMIF(Orders[Category],G70,Orders[Gross_Sales])</f>
        <v>4496.4999999999991</v>
      </c>
      <c r="I70" s="3"/>
      <c r="J70" s="3"/>
      <c r="K70" s="3"/>
      <c r="L70" s="3"/>
      <c r="M70" s="3"/>
      <c r="N70" s="3"/>
      <c r="O70" s="3"/>
    </row>
    <row r="71" spans="1:15" ht="15.75" customHeight="1">
      <c r="A71" s="16"/>
      <c r="B71" s="16"/>
      <c r="C71" s="3"/>
      <c r="D71" s="10" t="str">
        <v>Cork</v>
      </c>
      <c r="E71" s="40">
        <f>COUNTIF(Orders[County],D71)</f>
        <v>6</v>
      </c>
      <c r="F71" s="3"/>
      <c r="G71" s="10" t="str">
        <v>Juice</v>
      </c>
      <c r="H71" s="9">
        <f>SUMIF(Orders[Category],G71,Orders[Gross_Sales])</f>
        <v>3052.4</v>
      </c>
      <c r="I71" s="3"/>
      <c r="J71" s="3"/>
      <c r="K71" s="3"/>
      <c r="L71" s="3"/>
      <c r="M71" s="3"/>
      <c r="N71" s="3"/>
      <c r="O71" s="3"/>
    </row>
    <row r="72" spans="1:15" ht="15.75" customHeight="1">
      <c r="A72" s="1"/>
      <c r="B72" s="1"/>
      <c r="C72" s="3"/>
      <c r="D72" s="10"/>
      <c r="E72" s="14"/>
      <c r="F72" s="1"/>
      <c r="G72" s="10" t="str">
        <v>Soft Drink</v>
      </c>
      <c r="H72" s="9">
        <f>SUMIF(Orders[Category],G72,Orders[Gross_Sales])</f>
        <v>2336.1999999999998</v>
      </c>
      <c r="I72" s="1"/>
      <c r="J72" s="1"/>
      <c r="K72" s="1"/>
      <c r="L72" s="1"/>
      <c r="M72" s="1"/>
      <c r="N72" s="1"/>
      <c r="O72" s="1"/>
    </row>
    <row r="73" spans="1:15" ht="15.75" customHeight="1">
      <c r="A73" s="48" t="s">
        <v>554</v>
      </c>
      <c r="B73" s="47"/>
      <c r="C73" s="3"/>
      <c r="D73" s="10"/>
      <c r="E73" s="14"/>
      <c r="F73" s="1"/>
      <c r="G73" s="10" t="str">
        <v>Energy Drink</v>
      </c>
      <c r="H73" s="9">
        <f>SUMIF(Orders[Category],G73,Orders[Gross_Sales])</f>
        <v>1465</v>
      </c>
      <c r="I73" s="1"/>
      <c r="J73" s="1"/>
      <c r="K73" s="1"/>
      <c r="L73" s="1"/>
      <c r="M73" s="1"/>
      <c r="N73" s="1"/>
      <c r="O73" s="1"/>
    </row>
    <row r="74" spans="1:15" ht="15.75" customHeight="1">
      <c r="A74" s="8" t="s">
        <v>315</v>
      </c>
      <c r="B74" s="8" t="s">
        <v>94</v>
      </c>
      <c r="C74" s="3"/>
      <c r="D74" s="10"/>
      <c r="E74" s="14"/>
      <c r="F74" s="1"/>
      <c r="G74" s="10"/>
      <c r="H74" s="10"/>
      <c r="I74" s="1"/>
      <c r="J74" s="1"/>
      <c r="K74" s="1"/>
      <c r="L74" s="1"/>
      <c r="M74" s="1"/>
      <c r="N74" s="1"/>
      <c r="O74" s="1"/>
    </row>
    <row r="75" spans="1:15" ht="15.75" customHeight="1">
      <c r="A75" s="10" t="str" cm="1">
        <f t="array" ref="A75:A94">_xlfn.UNIQUE(Orders[Product_Name])</f>
        <v>Peach Tea</v>
      </c>
      <c r="B75" s="9">
        <f>SUMIF(Orders[Product_Name], A75, Orders[Gross_Sales])</f>
        <v>715.00000000000011</v>
      </c>
      <c r="C75" s="3"/>
      <c r="D75" s="10"/>
      <c r="E75" s="14"/>
      <c r="F75" s="1"/>
      <c r="G75" s="10"/>
      <c r="H75" s="10"/>
      <c r="I75" s="1"/>
      <c r="J75" s="1"/>
      <c r="K75" s="1"/>
      <c r="L75" s="1"/>
      <c r="M75" s="1"/>
      <c r="N75" s="1"/>
      <c r="O75" s="1"/>
    </row>
    <row r="76" spans="1:15" ht="15.75" customHeight="1">
      <c r="A76" s="10" t="str">
        <v xml:space="preserve">Mineral Water
</v>
      </c>
      <c r="B76" s="9">
        <f>SUMIF(Orders[Product_Name], A76, Orders[Gross_Sales])</f>
        <v>582</v>
      </c>
      <c r="C76" s="3"/>
      <c r="D76" s="1"/>
      <c r="E76" s="1"/>
      <c r="F76" s="3"/>
      <c r="G76" s="10"/>
      <c r="H76" s="10"/>
      <c r="I76" s="3"/>
      <c r="J76" s="3"/>
      <c r="K76" s="3"/>
      <c r="L76" s="3"/>
      <c r="M76" s="3"/>
      <c r="N76" s="3"/>
      <c r="O76" s="3"/>
    </row>
    <row r="77" spans="1:15" ht="15.75" customHeight="1">
      <c r="A77" s="10" t="str">
        <v>Still Water</v>
      </c>
      <c r="B77" s="9">
        <f>SUMIF(Orders[Product_Name], A77, Orders[Gross_Sales])</f>
        <v>597.59999999999991</v>
      </c>
      <c r="C77" s="3"/>
      <c r="D77" s="1"/>
      <c r="E77" s="1"/>
      <c r="F77" s="3"/>
      <c r="G77" s="17" t="s">
        <v>562</v>
      </c>
      <c r="H77" s="10"/>
      <c r="I77" s="3"/>
      <c r="J77" s="3"/>
      <c r="K77" s="3"/>
      <c r="L77" s="3"/>
      <c r="M77" s="3"/>
      <c r="N77" s="3"/>
      <c r="O77" s="3"/>
    </row>
    <row r="78" spans="1:15" ht="15.75" customHeight="1">
      <c r="A78" s="10" t="str">
        <v>Vitamin Water</v>
      </c>
      <c r="B78" s="9">
        <f>SUMIF(Orders[Product_Name], A78, Orders[Gross_Sales])</f>
        <v>864.49999999999989</v>
      </c>
      <c r="C78" s="3"/>
      <c r="D78" s="1"/>
      <c r="E78" s="1"/>
      <c r="F78" s="3"/>
      <c r="G78" s="8" t="s">
        <v>463</v>
      </c>
      <c r="H78" s="8" t="s">
        <v>94</v>
      </c>
      <c r="I78" s="18" t="s">
        <v>566</v>
      </c>
      <c r="J78" s="3"/>
      <c r="K78" s="3"/>
      <c r="L78" s="3"/>
      <c r="M78" s="3"/>
      <c r="N78" s="3"/>
      <c r="O78" s="3"/>
    </row>
    <row r="79" spans="1:15" ht="15.75" customHeight="1">
      <c r="A79" s="10" t="str">
        <v>Apple Juice</v>
      </c>
      <c r="B79" s="9">
        <f>SUMIF(Orders[Product_Name], A79, Orders[Gross_Sales])</f>
        <v>768</v>
      </c>
      <c r="C79" s="3"/>
      <c r="D79" s="1"/>
      <c r="E79" s="1"/>
      <c r="F79" s="3"/>
      <c r="G79" s="10" t="str" cm="1">
        <f t="array" ref="G79:G83">_xlfn.UNIQUE(Orders[Category])</f>
        <v>Tea</v>
      </c>
      <c r="H79" s="10">
        <f>SUMIF(Orders[Category],G79,Orders[Gross_Sales])</f>
        <v>1610.4000000000003</v>
      </c>
      <c r="I79" s="10" t="str">
        <f>IF(H79&gt;MEDIAN($H$79:$H$83),"High",IF(H79&lt;MEDIAN($H$79:$H$83), "Low","Medium"))</f>
        <v>Low</v>
      </c>
      <c r="J79" s="3"/>
      <c r="K79" s="3"/>
      <c r="L79" s="3"/>
      <c r="M79" s="3"/>
      <c r="N79" s="3"/>
      <c r="O79" s="3"/>
    </row>
    <row r="80" spans="1:15" ht="15.75" customHeight="1">
      <c r="A80" s="10" t="str">
        <v>Orange Soda</v>
      </c>
      <c r="B80" s="9">
        <f>SUMIF(Orders[Product_Name], A80, Orders[Gross_Sales])</f>
        <v>468.80000000000007</v>
      </c>
      <c r="C80" s="3"/>
      <c r="D80" s="1"/>
      <c r="E80" s="1"/>
      <c r="F80" s="3"/>
      <c r="G80" s="10" t="str">
        <v>Water</v>
      </c>
      <c r="H80" s="10">
        <f>SUMIF(Orders[Category],G80,Orders[Gross_Sales])</f>
        <v>4496.4999999999991</v>
      </c>
      <c r="I80" s="10" t="str">
        <f t="shared" ref="I80:I83" si="0">IF(H80&gt;MEDIAN($H$79:$H$83),"High",IF(H80&lt;MEDIAN($H$79:$H$83), "Low","Medium"))</f>
        <v>High</v>
      </c>
      <c r="J80" s="3"/>
      <c r="K80" s="3"/>
      <c r="L80" s="3"/>
      <c r="M80" s="3"/>
      <c r="N80" s="3"/>
      <c r="O80" s="3"/>
    </row>
    <row r="81" spans="1:15" ht="15.75" customHeight="1">
      <c r="A81" s="10" t="str">
        <v>Sparkling Water</v>
      </c>
      <c r="B81" s="9">
        <f>SUMIF(Orders[Product_Name], A81, Orders[Gross_Sales])</f>
        <v>343.79999999999995</v>
      </c>
      <c r="C81" s="3"/>
      <c r="D81" s="1"/>
      <c r="E81" s="1"/>
      <c r="F81" s="3"/>
      <c r="G81" s="10" t="str">
        <v>Juice</v>
      </c>
      <c r="H81" s="10">
        <f>SUMIF(Orders[Category],G81,Orders[Gross_Sales])</f>
        <v>3052.4</v>
      </c>
      <c r="I81" s="10" t="str">
        <f t="shared" si="0"/>
        <v>High</v>
      </c>
      <c r="J81" s="3"/>
      <c r="K81" s="3"/>
      <c r="L81" s="3"/>
      <c r="M81" s="3"/>
      <c r="N81" s="3"/>
      <c r="O81" s="3"/>
    </row>
    <row r="82" spans="1:15" ht="15.75" customHeight="1">
      <c r="A82" s="10" t="str">
        <v>Berry Splash</v>
      </c>
      <c r="B82" s="9">
        <f>SUMIF(Orders[Product_Name], A82, Orders[Gross_Sales])</f>
        <v>506.1</v>
      </c>
      <c r="C82" s="3"/>
      <c r="D82" s="1"/>
      <c r="E82" s="1"/>
      <c r="F82" s="3"/>
      <c r="G82" s="10" t="str">
        <v>Soft Drink</v>
      </c>
      <c r="H82" s="10">
        <f>SUMIF(Orders[Category],G82,Orders[Gross_Sales])</f>
        <v>2336.1999999999998</v>
      </c>
      <c r="I82" s="10" t="str">
        <f t="shared" si="0"/>
        <v>Medium</v>
      </c>
      <c r="J82" s="3"/>
      <c r="K82" s="3"/>
      <c r="L82" s="3"/>
      <c r="M82" s="3"/>
      <c r="N82" s="3"/>
      <c r="O82" s="3"/>
    </row>
    <row r="83" spans="1:15" ht="15.75" customHeight="1">
      <c r="A83" s="10" t="str">
        <v>Lemon Lime</v>
      </c>
      <c r="B83" s="9">
        <f>SUMIF(Orders[Product_Name], A83, Orders[Gross_Sales])</f>
        <v>756.49999999999989</v>
      </c>
      <c r="C83" s="3"/>
      <c r="D83" s="1"/>
      <c r="E83" s="1"/>
      <c r="F83" s="3"/>
      <c r="G83" s="10" t="str">
        <v>Energy Drink</v>
      </c>
      <c r="H83" s="10">
        <f>SUMIF(Orders[Category],G83,Orders[Gross_Sales])</f>
        <v>1465</v>
      </c>
      <c r="I83" s="10" t="str">
        <f t="shared" si="0"/>
        <v>Low</v>
      </c>
      <c r="J83" s="3"/>
      <c r="K83" s="3"/>
      <c r="L83" s="3"/>
      <c r="M83" s="3"/>
      <c r="N83" s="3"/>
      <c r="O83" s="3"/>
    </row>
    <row r="84" spans="1:15" ht="15.75" customHeight="1">
      <c r="A84" s="10" t="str">
        <v>Sparkling Citrus</v>
      </c>
      <c r="B84" s="9">
        <f>SUMIF(Orders[Product_Name], A84, Orders[Gross_Sales])</f>
        <v>1204.2</v>
      </c>
      <c r="C84" s="3"/>
      <c r="D84" s="1"/>
      <c r="E84" s="1"/>
      <c r="F84" s="3"/>
      <c r="G84" s="10"/>
      <c r="H84" s="10"/>
      <c r="I84" s="10"/>
      <c r="J84" s="3"/>
      <c r="K84" s="3"/>
      <c r="L84" s="3"/>
      <c r="M84" s="3"/>
      <c r="N84" s="3"/>
      <c r="O84" s="3"/>
    </row>
    <row r="85" spans="1:15" ht="15.75" customHeight="1">
      <c r="A85" s="10" t="str">
        <v>Kids Juice</v>
      </c>
      <c r="B85" s="9">
        <f>SUMIF(Orders[Product_Name], A85, Orders[Gross_Sales])</f>
        <v>582</v>
      </c>
      <c r="C85" s="3"/>
      <c r="D85" s="1"/>
      <c r="E85" s="1"/>
      <c r="F85" s="3"/>
      <c r="G85" s="10"/>
      <c r="H85" s="10"/>
      <c r="I85" s="10"/>
      <c r="J85" s="3"/>
      <c r="K85" s="3"/>
      <c r="L85" s="3"/>
      <c r="M85" s="3"/>
      <c r="N85" s="3"/>
      <c r="O85" s="3"/>
    </row>
    <row r="86" spans="1:15" ht="15.75" customHeight="1">
      <c r="A86" s="10" t="str">
        <v>Tonic Water</v>
      </c>
      <c r="B86" s="9">
        <f>SUMIF(Orders[Product_Name], A86, Orders[Gross_Sales])</f>
        <v>345.79999999999995</v>
      </c>
      <c r="C86" s="3"/>
      <c r="D86" s="1"/>
      <c r="E86" s="1"/>
      <c r="F86" s="3"/>
      <c r="G86" s="10"/>
      <c r="H86" s="10"/>
      <c r="I86" s="10"/>
      <c r="J86" s="3"/>
      <c r="K86" s="3"/>
      <c r="L86" s="3"/>
      <c r="M86" s="3"/>
      <c r="N86" s="3"/>
      <c r="O86" s="3"/>
    </row>
    <row r="87" spans="1:15" ht="15.75" customHeight="1">
      <c r="A87" s="10" t="str">
        <v>Energy Boost</v>
      </c>
      <c r="B87" s="9">
        <f>SUMIF(Orders[Product_Name], A87, Orders[Gross_Sales])</f>
        <v>1465</v>
      </c>
      <c r="C87" s="3"/>
      <c r="D87" s="1"/>
      <c r="E87" s="1"/>
      <c r="F87" s="1"/>
      <c r="G87" s="10"/>
      <c r="H87" s="10"/>
      <c r="I87" s="10"/>
      <c r="J87" s="1"/>
      <c r="K87" s="1"/>
      <c r="L87" s="1"/>
      <c r="M87" s="1"/>
      <c r="N87" s="1"/>
      <c r="O87" s="1"/>
    </row>
    <row r="88" spans="1:15" ht="15.75" customHeight="1">
      <c r="A88" s="10" t="str">
        <v>Iced Tea</v>
      </c>
      <c r="B88" s="9">
        <f>SUMIF(Orders[Product_Name], A88, Orders[Gross_Sales])</f>
        <v>895.40000000000009</v>
      </c>
      <c r="C88" s="3"/>
      <c r="D88" s="1"/>
      <c r="E88" s="1"/>
      <c r="F88" s="1"/>
      <c r="G88" s="10"/>
      <c r="H88" s="10"/>
      <c r="I88" s="10"/>
      <c r="J88" s="1"/>
      <c r="K88" s="1"/>
      <c r="L88" s="1"/>
      <c r="M88" s="1"/>
      <c r="N88" s="1"/>
      <c r="O88" s="1"/>
    </row>
    <row r="89" spans="1:15" ht="15.75" customHeight="1">
      <c r="A89" s="10" t="str">
        <v>Cola</v>
      </c>
      <c r="B89" s="9">
        <f>SUMIF(Orders[Product_Name], A89, Orders[Gross_Sales])</f>
        <v>267</v>
      </c>
      <c r="C89" s="3"/>
      <c r="D89" s="1"/>
      <c r="E89" s="1"/>
      <c r="F89" s="1"/>
      <c r="G89" s="3"/>
      <c r="H89" s="3"/>
      <c r="I89" s="1"/>
      <c r="J89" s="1"/>
      <c r="K89" s="1"/>
      <c r="L89" s="1"/>
      <c r="M89" s="1"/>
      <c r="N89" s="1"/>
      <c r="O89" s="1"/>
    </row>
    <row r="90" spans="1:15" ht="15.75" customHeight="1">
      <c r="A90" s="10" t="str">
        <v>Mango Juice</v>
      </c>
      <c r="B90" s="9">
        <f>SUMIF(Orders[Product_Name], A90, Orders[Gross_Sales])</f>
        <v>747.49999999999977</v>
      </c>
      <c r="C90" s="3"/>
      <c r="D90" s="1"/>
      <c r="E90" s="1"/>
      <c r="F90" s="1"/>
      <c r="G90" s="3"/>
      <c r="H90" s="3"/>
      <c r="I90" s="1"/>
      <c r="J90" s="1"/>
      <c r="K90" s="1"/>
      <c r="L90" s="1"/>
      <c r="M90" s="1"/>
      <c r="N90" s="1"/>
      <c r="O90" s="1"/>
    </row>
    <row r="91" spans="1:15" ht="15.75" customHeight="1">
      <c r="A91" s="10" t="str">
        <v>Zero Cola</v>
      </c>
      <c r="B91" s="9">
        <f>SUMIF(Orders[Product_Name], A91, Orders[Gross_Sales])</f>
        <v>474.3</v>
      </c>
      <c r="C91" s="3"/>
      <c r="D91" s="1"/>
      <c r="E91" s="1"/>
      <c r="F91" s="1"/>
      <c r="G91" s="3"/>
      <c r="H91" s="3"/>
      <c r="I91" s="1"/>
      <c r="J91" s="1"/>
      <c r="K91" s="1"/>
      <c r="L91" s="1"/>
      <c r="M91" s="1"/>
      <c r="N91" s="1"/>
      <c r="O91" s="1"/>
    </row>
    <row r="92" spans="1:15" ht="15.75" customHeight="1">
      <c r="A92" s="10" t="str">
        <v>Spring Water</v>
      </c>
      <c r="B92" s="9">
        <f>SUMIF(Orders[Product_Name], A92, Orders[Gross_Sales])</f>
        <v>558.59999999999991</v>
      </c>
      <c r="C92" s="3"/>
      <c r="D92" s="1"/>
      <c r="E92" s="1"/>
      <c r="F92" s="1"/>
      <c r="G92" s="3"/>
      <c r="H92" s="3"/>
      <c r="I92" s="1"/>
      <c r="J92" s="1"/>
      <c r="K92" s="1"/>
      <c r="L92" s="1"/>
      <c r="M92" s="1"/>
      <c r="N92" s="1"/>
      <c r="O92" s="1"/>
    </row>
    <row r="93" spans="1:15" ht="15.75" customHeight="1">
      <c r="A93" s="10" t="str">
        <v>Grape Soda</v>
      </c>
      <c r="B93" s="9">
        <f>SUMIF(Orders[Product_Name], A93, Orders[Gross_Sales])</f>
        <v>369.59999999999997</v>
      </c>
      <c r="C93" s="3"/>
      <c r="D93" s="1"/>
      <c r="E93" s="1"/>
      <c r="F93" s="1"/>
      <c r="G93" s="3"/>
      <c r="H93" s="3"/>
      <c r="I93" s="1"/>
      <c r="J93" s="1"/>
      <c r="K93" s="1"/>
      <c r="L93" s="1"/>
      <c r="M93" s="1"/>
      <c r="N93" s="1"/>
      <c r="O93" s="1"/>
    </row>
    <row r="94" spans="1:15" ht="15.75" customHeight="1">
      <c r="A94" s="10" t="str">
        <v>Pineapple Juice</v>
      </c>
      <c r="B94" s="9">
        <f>SUMIF(Orders[Product_Name], A94, Orders[Gross_Sales])</f>
        <v>448.79999999999995</v>
      </c>
      <c r="C94" s="3"/>
      <c r="D94" s="1"/>
      <c r="E94" s="1"/>
      <c r="F94" s="1"/>
      <c r="G94" s="3"/>
      <c r="H94" s="3"/>
      <c r="I94" s="1"/>
      <c r="J94" s="1"/>
      <c r="K94" s="1"/>
      <c r="L94" s="1"/>
      <c r="M94" s="1"/>
      <c r="N94" s="1"/>
      <c r="O94" s="1"/>
    </row>
    <row r="95" spans="1:15" ht="15.75" customHeight="1">
      <c r="A95" s="1"/>
      <c r="B95" s="1"/>
      <c r="C95" s="3"/>
      <c r="D95" s="1"/>
      <c r="E95" s="1"/>
      <c r="F95" s="1"/>
      <c r="G95" s="3"/>
      <c r="H95" s="3"/>
      <c r="I95" s="1"/>
      <c r="J95" s="1"/>
      <c r="K95" s="1"/>
      <c r="L95" s="1"/>
      <c r="M95" s="1"/>
      <c r="N95" s="1"/>
      <c r="O95" s="1"/>
    </row>
    <row r="96" spans="1:15" ht="15.75" customHeight="1">
      <c r="A96" s="1"/>
      <c r="B96" s="1"/>
      <c r="C96" s="3"/>
      <c r="D96" s="1"/>
      <c r="E96" s="1"/>
      <c r="F96" s="1"/>
      <c r="G96" s="3"/>
      <c r="H96" s="3"/>
      <c r="I96" s="1"/>
      <c r="J96" s="1"/>
      <c r="K96" s="1"/>
      <c r="L96" s="1"/>
      <c r="M96" s="1"/>
      <c r="N96" s="1"/>
      <c r="O96" s="1"/>
    </row>
    <row r="97" spans="1:15" ht="15.75" customHeight="1">
      <c r="A97" s="1"/>
      <c r="B97" s="1"/>
      <c r="C97" s="3"/>
      <c r="D97" s="1"/>
      <c r="E97" s="1"/>
      <c r="F97" s="1"/>
      <c r="G97" s="3"/>
      <c r="H97" s="3"/>
      <c r="I97" s="1"/>
      <c r="J97" s="1"/>
      <c r="K97" s="1"/>
      <c r="L97" s="1"/>
      <c r="M97" s="1"/>
      <c r="N97" s="1"/>
      <c r="O97" s="1"/>
    </row>
    <row r="98" spans="1:15" ht="15.75" customHeight="1">
      <c r="A98" s="1"/>
      <c r="B98" s="1"/>
      <c r="C98" s="3"/>
      <c r="D98" s="1"/>
      <c r="E98" s="1"/>
      <c r="F98" s="1"/>
      <c r="G98" s="3"/>
      <c r="H98" s="3"/>
      <c r="I98" s="1"/>
      <c r="J98" s="1"/>
      <c r="K98" s="1"/>
      <c r="L98" s="1"/>
      <c r="M98" s="1"/>
      <c r="N98" s="1"/>
      <c r="O98" s="1"/>
    </row>
    <row r="99" spans="1:15" ht="15.75" customHeight="1">
      <c r="A99" s="1"/>
      <c r="B99" s="1"/>
      <c r="C99" s="3"/>
      <c r="D99" s="1"/>
      <c r="E99" s="1"/>
      <c r="F99" s="1"/>
      <c r="G99" s="3"/>
      <c r="H99" s="3"/>
      <c r="I99" s="1"/>
      <c r="J99" s="1"/>
      <c r="K99" s="1"/>
      <c r="L99" s="1"/>
      <c r="M99" s="1"/>
      <c r="N99" s="1"/>
      <c r="O99" s="1"/>
    </row>
    <row r="100" spans="1:15" ht="15.75" customHeight="1">
      <c r="A100" s="1"/>
      <c r="B100" s="1"/>
      <c r="C100" s="3"/>
      <c r="D100" s="1"/>
      <c r="E100" s="1"/>
      <c r="F100" s="1"/>
      <c r="G100" s="3"/>
      <c r="H100" s="3"/>
      <c r="I100" s="1"/>
      <c r="J100" s="1"/>
      <c r="K100" s="1"/>
      <c r="L100" s="1"/>
      <c r="M100" s="1"/>
      <c r="N100" s="1"/>
      <c r="O100" s="1"/>
    </row>
    <row r="101" spans="1:15" ht="15.75" customHeight="1">
      <c r="A101" s="1"/>
      <c r="B101" s="1"/>
      <c r="C101" s="3"/>
      <c r="D101" s="1"/>
      <c r="E101" s="1"/>
      <c r="F101" s="1"/>
      <c r="G101" s="3"/>
      <c r="H101" s="3"/>
      <c r="I101" s="1"/>
      <c r="J101" s="1"/>
      <c r="K101" s="1"/>
      <c r="L101" s="1"/>
      <c r="M101" s="1"/>
      <c r="N101" s="1"/>
      <c r="O101" s="1"/>
    </row>
    <row r="102" spans="1:15" ht="15.75" customHeight="1">
      <c r="A102" s="1"/>
      <c r="B102" s="1"/>
      <c r="C102" s="3"/>
      <c r="D102" s="1"/>
      <c r="E102" s="1"/>
      <c r="F102" s="1"/>
      <c r="G102" s="1"/>
      <c r="H102" s="1"/>
      <c r="I102" s="1"/>
      <c r="J102" s="1"/>
      <c r="K102" s="1"/>
      <c r="L102" s="1"/>
      <c r="M102" s="1"/>
      <c r="N102" s="1"/>
      <c r="O102" s="1"/>
    </row>
    <row r="103" spans="1:15" ht="15.75" customHeight="1">
      <c r="A103" s="1"/>
      <c r="B103" s="1"/>
      <c r="C103" s="3"/>
      <c r="D103" s="1"/>
      <c r="E103" s="1"/>
      <c r="F103" s="1"/>
      <c r="G103" s="1"/>
      <c r="H103" s="1"/>
      <c r="I103" s="1"/>
      <c r="J103" s="1"/>
      <c r="K103" s="1"/>
      <c r="L103" s="1"/>
      <c r="M103" s="1"/>
      <c r="N103" s="1"/>
      <c r="O103" s="1"/>
    </row>
    <row r="104" spans="1:15" ht="15.75" customHeight="1">
      <c r="A104" s="1"/>
      <c r="B104" s="1"/>
      <c r="C104" s="3"/>
      <c r="D104" s="1"/>
      <c r="E104" s="1"/>
      <c r="F104" s="1"/>
      <c r="G104" s="1"/>
      <c r="H104" s="1"/>
      <c r="I104" s="1"/>
      <c r="J104" s="1"/>
      <c r="K104" s="1"/>
      <c r="L104" s="1"/>
      <c r="M104" s="1"/>
      <c r="N104" s="1"/>
      <c r="O104" s="1"/>
    </row>
    <row r="105" spans="1:15" ht="15.75" customHeight="1">
      <c r="A105" s="1"/>
      <c r="B105" s="1"/>
      <c r="C105" s="3"/>
      <c r="D105" s="1"/>
      <c r="E105" s="1"/>
      <c r="F105" s="1"/>
      <c r="G105" s="1"/>
      <c r="H105" s="1"/>
      <c r="I105" s="1"/>
      <c r="J105" s="1"/>
      <c r="K105" s="1"/>
      <c r="L105" s="1"/>
      <c r="M105" s="1"/>
      <c r="N105" s="1"/>
      <c r="O105" s="1"/>
    </row>
    <row r="106" spans="1:15" ht="15.75" customHeight="1">
      <c r="A106" s="1"/>
      <c r="B106" s="1"/>
      <c r="C106" s="3"/>
      <c r="D106" s="1"/>
      <c r="E106" s="1"/>
      <c r="F106" s="1"/>
      <c r="G106" s="3"/>
      <c r="H106" s="3"/>
      <c r="I106" s="1"/>
      <c r="J106" s="1"/>
      <c r="K106" s="1"/>
      <c r="L106" s="1"/>
      <c r="M106" s="1"/>
      <c r="N106" s="1"/>
      <c r="O106" s="1"/>
    </row>
    <row r="107" spans="1:15" ht="15.75" customHeight="1">
      <c r="A107" s="1"/>
      <c r="B107" s="1"/>
      <c r="C107" s="3"/>
      <c r="D107" s="1"/>
      <c r="E107" s="1"/>
      <c r="F107" s="1"/>
      <c r="G107" s="3"/>
      <c r="H107" s="3"/>
      <c r="I107" s="1"/>
      <c r="J107" s="1"/>
      <c r="K107" s="1"/>
      <c r="L107" s="1"/>
      <c r="M107" s="1"/>
      <c r="N107" s="1"/>
      <c r="O107" s="1"/>
    </row>
    <row r="108" spans="1:15" ht="15.75" customHeight="1">
      <c r="A108" s="1"/>
      <c r="B108" s="1"/>
      <c r="C108" s="3"/>
      <c r="D108" s="1"/>
      <c r="E108" s="1"/>
      <c r="F108" s="1"/>
      <c r="G108" s="3"/>
      <c r="H108" s="3"/>
      <c r="I108" s="1"/>
      <c r="J108" s="1"/>
      <c r="K108" s="1"/>
      <c r="L108" s="1"/>
      <c r="M108" s="1"/>
      <c r="N108" s="1"/>
      <c r="O108" s="1"/>
    </row>
    <row r="109" spans="1:15" ht="15.75" customHeight="1">
      <c r="A109" s="1"/>
      <c r="B109" s="1"/>
      <c r="C109" s="3"/>
      <c r="D109" s="1"/>
      <c r="E109" s="1"/>
      <c r="F109" s="1"/>
      <c r="G109" s="3"/>
      <c r="H109" s="3"/>
      <c r="I109" s="1"/>
      <c r="J109" s="1"/>
      <c r="K109" s="1"/>
      <c r="L109" s="1"/>
      <c r="M109" s="1"/>
      <c r="N109" s="1"/>
      <c r="O109" s="1"/>
    </row>
    <row r="110" spans="1:15" ht="15.75" customHeight="1">
      <c r="A110" s="1"/>
      <c r="B110" s="1"/>
      <c r="C110" s="3"/>
      <c r="D110" s="1"/>
      <c r="E110" s="1"/>
      <c r="F110" s="1"/>
      <c r="G110" s="3"/>
      <c r="H110" s="3"/>
      <c r="I110" s="1"/>
      <c r="J110" s="1"/>
      <c r="K110" s="1"/>
      <c r="L110" s="1"/>
      <c r="M110" s="1"/>
      <c r="N110" s="1"/>
      <c r="O110" s="1"/>
    </row>
    <row r="111" spans="1:15" ht="15.75" customHeight="1">
      <c r="A111" s="1"/>
      <c r="B111" s="1"/>
      <c r="C111" s="3"/>
      <c r="D111" s="1"/>
      <c r="E111" s="1"/>
      <c r="F111" s="1"/>
      <c r="G111" s="3"/>
      <c r="H111" s="3"/>
      <c r="I111" s="1"/>
      <c r="J111" s="1"/>
      <c r="K111" s="1"/>
      <c r="L111" s="1"/>
      <c r="M111" s="1"/>
      <c r="N111" s="1"/>
      <c r="O111" s="1"/>
    </row>
    <row r="112" spans="1:15" ht="15.75" customHeight="1">
      <c r="A112" s="1"/>
      <c r="B112" s="1"/>
      <c r="C112" s="3"/>
      <c r="D112" s="1"/>
      <c r="E112" s="1"/>
      <c r="F112" s="1"/>
      <c r="G112" s="3"/>
      <c r="H112" s="3"/>
      <c r="I112" s="1"/>
      <c r="J112" s="1"/>
      <c r="K112" s="1"/>
      <c r="L112" s="1"/>
      <c r="M112" s="1"/>
      <c r="N112" s="1"/>
      <c r="O112" s="1"/>
    </row>
    <row r="113" spans="1:15" ht="15.75" customHeight="1">
      <c r="A113" s="1"/>
      <c r="B113" s="1"/>
      <c r="C113" s="3"/>
      <c r="D113" s="1"/>
      <c r="E113" s="1"/>
      <c r="F113" s="1"/>
      <c r="G113" s="3"/>
      <c r="H113" s="3"/>
      <c r="I113" s="1"/>
      <c r="J113" s="1"/>
      <c r="K113" s="1"/>
      <c r="L113" s="1"/>
      <c r="M113" s="1"/>
      <c r="N113" s="1"/>
      <c r="O113" s="1"/>
    </row>
    <row r="114" spans="1:15" ht="15.75" customHeight="1">
      <c r="A114" s="1"/>
      <c r="B114" s="1"/>
      <c r="C114" s="3"/>
      <c r="D114" s="1"/>
      <c r="E114" s="1"/>
      <c r="F114" s="1"/>
      <c r="G114" s="3"/>
      <c r="H114" s="3"/>
      <c r="I114" s="1"/>
      <c r="J114" s="1"/>
      <c r="K114" s="1"/>
      <c r="L114" s="1"/>
      <c r="M114" s="1"/>
      <c r="N114" s="1"/>
      <c r="O114" s="1"/>
    </row>
    <row r="115" spans="1:15" ht="15.75" customHeight="1">
      <c r="A115" s="1"/>
      <c r="B115" s="1"/>
      <c r="C115" s="3"/>
      <c r="D115" s="1"/>
      <c r="E115" s="1"/>
      <c r="F115" s="1"/>
      <c r="G115" s="3"/>
      <c r="H115" s="3"/>
      <c r="I115" s="1"/>
      <c r="J115" s="1"/>
      <c r="K115" s="1"/>
      <c r="L115" s="1"/>
      <c r="M115" s="1"/>
      <c r="N115" s="1"/>
      <c r="O115" s="1"/>
    </row>
    <row r="116" spans="1:15" ht="15.75" customHeight="1">
      <c r="A116" s="1"/>
      <c r="B116" s="1"/>
      <c r="C116" s="3"/>
      <c r="D116" s="1"/>
      <c r="E116" s="1"/>
      <c r="F116" s="1"/>
      <c r="G116" s="3"/>
      <c r="H116" s="3"/>
      <c r="I116" s="1"/>
      <c r="J116" s="1"/>
      <c r="K116" s="1"/>
      <c r="L116" s="1"/>
      <c r="M116" s="1"/>
      <c r="N116" s="1"/>
      <c r="O116" s="1"/>
    </row>
    <row r="117" spans="1:15" ht="15.75" customHeight="1">
      <c r="A117" s="1"/>
      <c r="B117" s="1"/>
      <c r="C117" s="3"/>
      <c r="D117" s="1"/>
      <c r="E117" s="1"/>
      <c r="F117" s="1"/>
      <c r="G117" s="1"/>
      <c r="H117" s="1"/>
      <c r="I117" s="1"/>
      <c r="J117" s="1"/>
      <c r="K117" s="1"/>
      <c r="L117" s="1"/>
      <c r="M117" s="1"/>
      <c r="N117" s="1"/>
      <c r="O117" s="1"/>
    </row>
    <row r="118" spans="1:15" ht="15.75" customHeight="1">
      <c r="A118" s="1"/>
      <c r="B118" s="1"/>
      <c r="C118" s="3"/>
      <c r="D118" s="1"/>
      <c r="E118" s="1"/>
      <c r="F118" s="1"/>
      <c r="G118" s="1"/>
      <c r="H118" s="1"/>
      <c r="I118" s="1"/>
      <c r="J118" s="1"/>
      <c r="K118" s="1"/>
      <c r="L118" s="1"/>
      <c r="M118" s="1"/>
      <c r="N118" s="1"/>
      <c r="O118" s="1"/>
    </row>
    <row r="119" spans="1:15" ht="15.75" customHeight="1">
      <c r="A119" s="1"/>
      <c r="B119" s="1"/>
      <c r="C119" s="3"/>
      <c r="D119" s="1"/>
      <c r="E119" s="1"/>
      <c r="F119" s="1"/>
      <c r="G119" s="1"/>
      <c r="H119" s="1"/>
      <c r="I119" s="1"/>
      <c r="J119" s="1"/>
      <c r="K119" s="1"/>
      <c r="L119" s="1"/>
      <c r="M119" s="1"/>
      <c r="N119" s="1"/>
      <c r="O119" s="1"/>
    </row>
    <row r="120" spans="1:15" ht="15.75" customHeight="1">
      <c r="A120" s="1"/>
      <c r="B120" s="1"/>
      <c r="C120" s="3"/>
      <c r="D120" s="1"/>
      <c r="E120" s="1"/>
      <c r="F120" s="1"/>
      <c r="G120" s="1"/>
      <c r="H120" s="1"/>
      <c r="I120" s="1"/>
      <c r="J120" s="1"/>
      <c r="K120" s="1"/>
      <c r="L120" s="1"/>
      <c r="M120" s="1"/>
      <c r="N120" s="1"/>
      <c r="O120" s="1"/>
    </row>
    <row r="121" spans="1:15" ht="15.75" customHeight="1">
      <c r="A121" s="1"/>
      <c r="B121" s="1"/>
      <c r="C121" s="3"/>
      <c r="D121" s="1"/>
      <c r="E121" s="1"/>
      <c r="F121" s="1"/>
      <c r="G121" s="1"/>
      <c r="H121" s="1"/>
      <c r="I121" s="1"/>
      <c r="J121" s="1"/>
      <c r="K121" s="1"/>
      <c r="L121" s="1"/>
      <c r="M121" s="1"/>
      <c r="N121" s="1"/>
      <c r="O121" s="1"/>
    </row>
    <row r="122" spans="1:15" ht="15.75" customHeight="1">
      <c r="A122" s="1"/>
      <c r="B122" s="1"/>
      <c r="C122" s="3"/>
      <c r="D122" s="1"/>
      <c r="E122" s="1"/>
      <c r="F122" s="1"/>
      <c r="G122" s="1"/>
      <c r="H122" s="1"/>
      <c r="I122" s="1"/>
      <c r="J122" s="1"/>
      <c r="K122" s="1"/>
      <c r="L122" s="1"/>
      <c r="M122" s="1"/>
      <c r="N122" s="1"/>
      <c r="O122" s="1"/>
    </row>
    <row r="123" spans="1:15" ht="15.75" customHeight="1">
      <c r="A123" s="1"/>
      <c r="B123" s="1"/>
      <c r="C123" s="3"/>
      <c r="D123" s="1"/>
      <c r="E123" s="1"/>
      <c r="F123" s="1"/>
      <c r="G123" s="1"/>
      <c r="H123" s="1"/>
      <c r="I123" s="1"/>
      <c r="J123" s="1"/>
      <c r="K123" s="1"/>
      <c r="L123" s="1"/>
      <c r="M123" s="1"/>
      <c r="N123" s="1"/>
      <c r="O123" s="1"/>
    </row>
    <row r="124" spans="1:15" ht="15.75" customHeight="1">
      <c r="A124" s="1"/>
      <c r="B124" s="1"/>
      <c r="C124" s="3"/>
      <c r="D124" s="1"/>
      <c r="E124" s="1"/>
      <c r="F124" s="1"/>
      <c r="G124" s="1"/>
      <c r="H124" s="1"/>
      <c r="I124" s="1"/>
      <c r="J124" s="1"/>
      <c r="K124" s="1"/>
      <c r="L124" s="1"/>
      <c r="M124" s="1"/>
      <c r="N124" s="1"/>
      <c r="O124" s="1"/>
    </row>
    <row r="125" spans="1:15" ht="15.75" customHeight="1">
      <c r="A125" s="1"/>
      <c r="B125" s="1"/>
      <c r="C125" s="3"/>
      <c r="D125" s="1"/>
      <c r="E125" s="1"/>
      <c r="F125" s="1"/>
      <c r="G125" s="1"/>
      <c r="H125" s="1"/>
      <c r="I125" s="1"/>
      <c r="J125" s="1"/>
      <c r="K125" s="1"/>
      <c r="L125" s="1"/>
      <c r="M125" s="1"/>
      <c r="N125" s="1"/>
      <c r="O125" s="1"/>
    </row>
    <row r="126" spans="1:15" ht="15.75" customHeight="1">
      <c r="A126" s="1"/>
      <c r="B126" s="1"/>
      <c r="C126" s="3"/>
      <c r="D126" s="1"/>
      <c r="E126" s="1"/>
      <c r="F126" s="1"/>
      <c r="G126" s="1"/>
      <c r="H126" s="1"/>
      <c r="I126" s="1"/>
      <c r="J126" s="1"/>
      <c r="K126" s="1"/>
      <c r="L126" s="1"/>
      <c r="M126" s="1"/>
      <c r="N126" s="1"/>
      <c r="O126" s="1"/>
    </row>
    <row r="127" spans="1:15" ht="15.75" customHeight="1">
      <c r="A127" s="1"/>
      <c r="B127" s="1"/>
      <c r="C127" s="3"/>
      <c r="D127" s="1"/>
      <c r="E127" s="1"/>
      <c r="F127" s="1"/>
      <c r="G127" s="1"/>
      <c r="H127" s="1"/>
      <c r="I127" s="1"/>
      <c r="J127" s="1"/>
      <c r="K127" s="1"/>
      <c r="L127" s="1"/>
      <c r="M127" s="1"/>
      <c r="N127" s="1"/>
      <c r="O127" s="1"/>
    </row>
    <row r="128" spans="1:15" ht="15.75" customHeight="1">
      <c r="A128" s="1"/>
      <c r="B128" s="1"/>
      <c r="C128" s="3"/>
      <c r="D128" s="1"/>
      <c r="E128" s="1"/>
      <c r="F128" s="1"/>
      <c r="G128" s="1"/>
      <c r="H128" s="1"/>
      <c r="I128" s="1"/>
      <c r="J128" s="1"/>
      <c r="K128" s="1"/>
      <c r="L128" s="1"/>
      <c r="M128" s="1"/>
      <c r="N128" s="1"/>
      <c r="O128" s="1"/>
    </row>
    <row r="129" spans="1:15" ht="15.75" customHeight="1">
      <c r="A129" s="1"/>
      <c r="B129" s="1"/>
      <c r="C129" s="3"/>
      <c r="D129" s="1"/>
      <c r="E129" s="1"/>
      <c r="F129" s="1"/>
      <c r="G129" s="1"/>
      <c r="H129" s="1"/>
      <c r="I129" s="1"/>
      <c r="J129" s="1"/>
      <c r="K129" s="1"/>
      <c r="L129" s="1"/>
      <c r="M129" s="1"/>
      <c r="N129" s="1"/>
      <c r="O129" s="1"/>
    </row>
    <row r="130" spans="1:15" ht="15.75" customHeight="1">
      <c r="A130" s="1"/>
      <c r="B130" s="1"/>
      <c r="C130" s="3"/>
      <c r="D130" s="1"/>
      <c r="E130" s="1"/>
      <c r="F130" s="1"/>
      <c r="G130" s="1"/>
      <c r="H130" s="1"/>
      <c r="I130" s="1"/>
      <c r="J130" s="1"/>
      <c r="K130" s="1"/>
      <c r="L130" s="1"/>
      <c r="M130" s="1"/>
      <c r="N130" s="1"/>
      <c r="O130" s="1"/>
    </row>
    <row r="131" spans="1:15" ht="15.75" customHeight="1">
      <c r="A131" s="1"/>
      <c r="B131" s="1"/>
      <c r="C131" s="3"/>
      <c r="D131" s="1"/>
      <c r="E131" s="1"/>
      <c r="F131" s="1"/>
      <c r="G131" s="1"/>
      <c r="H131" s="1"/>
      <c r="I131" s="1"/>
      <c r="J131" s="1"/>
      <c r="K131" s="1"/>
      <c r="L131" s="1"/>
      <c r="M131" s="1"/>
      <c r="N131" s="1"/>
      <c r="O131" s="1"/>
    </row>
    <row r="132" spans="1:15" ht="15.75" customHeight="1">
      <c r="A132" s="1"/>
      <c r="B132" s="1"/>
      <c r="C132" s="3"/>
      <c r="D132" s="1"/>
      <c r="E132" s="1"/>
      <c r="F132" s="1"/>
      <c r="G132" s="1"/>
      <c r="H132" s="1"/>
      <c r="I132" s="1"/>
      <c r="J132" s="1"/>
      <c r="K132" s="1"/>
      <c r="L132" s="1"/>
      <c r="M132" s="1"/>
      <c r="N132" s="1"/>
      <c r="O132" s="1"/>
    </row>
    <row r="133" spans="1:15" ht="15.75" customHeight="1">
      <c r="A133" s="1"/>
      <c r="B133" s="1"/>
      <c r="C133" s="3"/>
      <c r="D133" s="1"/>
      <c r="E133" s="1"/>
      <c r="F133" s="1"/>
      <c r="G133" s="1"/>
      <c r="H133" s="1"/>
      <c r="I133" s="1"/>
      <c r="J133" s="1"/>
      <c r="K133" s="1"/>
      <c r="L133" s="1"/>
      <c r="M133" s="1"/>
      <c r="N133" s="1"/>
      <c r="O133" s="1"/>
    </row>
    <row r="134" spans="1:15" ht="15.75" customHeight="1">
      <c r="A134" s="1"/>
      <c r="B134" s="1"/>
      <c r="C134" s="3"/>
      <c r="D134" s="1"/>
      <c r="E134" s="1"/>
      <c r="F134" s="1"/>
      <c r="G134" s="1"/>
      <c r="H134" s="1"/>
      <c r="I134" s="1"/>
      <c r="J134" s="1"/>
      <c r="K134" s="1"/>
      <c r="L134" s="1"/>
      <c r="M134" s="1"/>
      <c r="N134" s="1"/>
      <c r="O134" s="1"/>
    </row>
    <row r="135" spans="1:15" ht="15.75" customHeight="1">
      <c r="A135" s="1"/>
      <c r="B135" s="1"/>
      <c r="C135" s="3"/>
      <c r="D135" s="1"/>
      <c r="E135" s="1"/>
      <c r="F135" s="1"/>
      <c r="G135" s="1"/>
      <c r="H135" s="1"/>
      <c r="I135" s="1"/>
      <c r="J135" s="1"/>
      <c r="K135" s="1"/>
      <c r="L135" s="1"/>
      <c r="M135" s="1"/>
      <c r="N135" s="1"/>
      <c r="O135" s="1"/>
    </row>
    <row r="136" spans="1:15" ht="15.75" customHeight="1">
      <c r="A136" s="1"/>
      <c r="B136" s="1"/>
      <c r="C136" s="3"/>
      <c r="D136" s="1"/>
      <c r="E136" s="1"/>
      <c r="F136" s="1"/>
      <c r="G136" s="1"/>
      <c r="H136" s="1"/>
      <c r="I136" s="1"/>
      <c r="J136" s="1"/>
      <c r="K136" s="1"/>
      <c r="L136" s="1"/>
      <c r="M136" s="1"/>
      <c r="N136" s="1"/>
      <c r="O136" s="1"/>
    </row>
    <row r="137" spans="1:15" ht="15.75" customHeight="1">
      <c r="A137" s="1"/>
      <c r="B137" s="1"/>
      <c r="C137" s="3"/>
      <c r="D137" s="1"/>
      <c r="E137" s="1"/>
      <c r="F137" s="1"/>
      <c r="G137" s="1"/>
      <c r="H137" s="1"/>
      <c r="I137" s="1"/>
      <c r="J137" s="1"/>
      <c r="K137" s="1"/>
      <c r="L137" s="1"/>
      <c r="M137" s="1"/>
      <c r="N137" s="1"/>
      <c r="O137" s="1"/>
    </row>
    <row r="138" spans="1:15" ht="15.75" customHeight="1">
      <c r="A138" s="1"/>
      <c r="B138" s="1"/>
      <c r="C138" s="3"/>
      <c r="D138" s="1"/>
      <c r="E138" s="1"/>
      <c r="F138" s="1"/>
      <c r="G138" s="1"/>
      <c r="H138" s="1"/>
      <c r="I138" s="1"/>
      <c r="J138" s="1"/>
      <c r="K138" s="1"/>
      <c r="L138" s="1"/>
      <c r="M138" s="1"/>
      <c r="N138" s="1"/>
      <c r="O138" s="1"/>
    </row>
    <row r="139" spans="1:15" ht="15.75" customHeight="1">
      <c r="A139" s="1"/>
      <c r="B139" s="1"/>
      <c r="C139" s="3"/>
      <c r="D139" s="1"/>
      <c r="E139" s="1"/>
      <c r="F139" s="1"/>
      <c r="G139" s="1"/>
      <c r="H139" s="1"/>
      <c r="I139" s="1"/>
      <c r="J139" s="1"/>
      <c r="K139" s="1"/>
      <c r="L139" s="1"/>
      <c r="M139" s="1"/>
      <c r="N139" s="1"/>
      <c r="O139" s="1"/>
    </row>
    <row r="140" spans="1:15" ht="15.75" customHeight="1">
      <c r="A140" s="1"/>
      <c r="B140" s="1"/>
      <c r="C140" s="3"/>
      <c r="D140" s="1"/>
      <c r="E140" s="1"/>
      <c r="F140" s="1"/>
      <c r="G140" s="1"/>
      <c r="H140" s="1"/>
      <c r="I140" s="1"/>
      <c r="J140" s="1"/>
      <c r="K140" s="1"/>
      <c r="L140" s="1"/>
      <c r="M140" s="1"/>
      <c r="N140" s="1"/>
      <c r="O140" s="1"/>
    </row>
    <row r="141" spans="1:15" ht="15.75" customHeight="1">
      <c r="A141" s="1"/>
      <c r="B141" s="1"/>
      <c r="C141" s="3"/>
      <c r="D141" s="1"/>
      <c r="E141" s="1"/>
      <c r="F141" s="1"/>
      <c r="G141" s="1"/>
      <c r="H141" s="1"/>
      <c r="I141" s="1"/>
      <c r="J141" s="1"/>
      <c r="K141" s="1"/>
      <c r="L141" s="1"/>
      <c r="M141" s="1"/>
      <c r="N141" s="1"/>
      <c r="O141" s="1"/>
    </row>
    <row r="142" spans="1:15" ht="15.75" customHeight="1">
      <c r="A142" s="1"/>
      <c r="B142" s="1"/>
      <c r="C142" s="3"/>
      <c r="D142" s="1"/>
      <c r="E142" s="1"/>
      <c r="F142" s="1"/>
      <c r="G142" s="1"/>
      <c r="H142" s="1"/>
      <c r="I142" s="1"/>
      <c r="J142" s="1"/>
      <c r="K142" s="1"/>
      <c r="L142" s="1"/>
      <c r="M142" s="1"/>
      <c r="N142" s="1"/>
      <c r="O142" s="1"/>
    </row>
    <row r="143" spans="1:15" ht="15.75" customHeight="1">
      <c r="A143" s="1"/>
      <c r="B143" s="1"/>
      <c r="C143" s="3"/>
      <c r="D143" s="1"/>
      <c r="E143" s="1"/>
      <c r="F143" s="1"/>
      <c r="G143" s="1"/>
      <c r="H143" s="1"/>
      <c r="I143" s="1"/>
      <c r="J143" s="1"/>
      <c r="K143" s="1"/>
      <c r="L143" s="1"/>
      <c r="M143" s="1"/>
      <c r="N143" s="1"/>
      <c r="O143" s="1"/>
    </row>
    <row r="144" spans="1:15" ht="15.75" customHeight="1">
      <c r="A144" s="1"/>
      <c r="B144" s="1"/>
      <c r="C144" s="3"/>
      <c r="D144" s="1"/>
      <c r="E144" s="1"/>
      <c r="F144" s="1"/>
      <c r="G144" s="1"/>
      <c r="H144" s="1"/>
      <c r="I144" s="1"/>
      <c r="J144" s="1"/>
      <c r="K144" s="1"/>
      <c r="L144" s="1"/>
      <c r="M144" s="1"/>
      <c r="N144" s="1"/>
      <c r="O144" s="1"/>
    </row>
    <row r="145" spans="1:15" ht="15.75" customHeight="1">
      <c r="A145" s="1"/>
      <c r="B145" s="1"/>
      <c r="C145" s="3"/>
      <c r="D145" s="1"/>
      <c r="E145" s="1"/>
      <c r="F145" s="1"/>
      <c r="G145" s="1"/>
      <c r="H145" s="1"/>
      <c r="I145" s="1"/>
      <c r="J145" s="1"/>
      <c r="K145" s="1"/>
      <c r="L145" s="1"/>
      <c r="M145" s="1"/>
      <c r="N145" s="1"/>
      <c r="O145" s="1"/>
    </row>
    <row r="146" spans="1:15" ht="15.75" customHeight="1">
      <c r="A146" s="1"/>
      <c r="B146" s="1"/>
      <c r="C146" s="3"/>
      <c r="D146" s="1"/>
      <c r="E146" s="1"/>
      <c r="F146" s="1"/>
      <c r="G146" s="1"/>
      <c r="H146" s="1"/>
      <c r="I146" s="1"/>
      <c r="J146" s="1"/>
      <c r="K146" s="1"/>
      <c r="L146" s="1"/>
      <c r="M146" s="1"/>
      <c r="N146" s="1"/>
      <c r="O146" s="1"/>
    </row>
    <row r="147" spans="1:15" ht="15.75" customHeight="1">
      <c r="A147" s="1"/>
      <c r="B147" s="1"/>
      <c r="C147" s="3"/>
      <c r="D147" s="1"/>
      <c r="E147" s="1"/>
      <c r="F147" s="1"/>
      <c r="G147" s="1"/>
      <c r="H147" s="1"/>
      <c r="I147" s="1"/>
      <c r="J147" s="1"/>
      <c r="K147" s="1"/>
      <c r="L147" s="1"/>
      <c r="M147" s="1"/>
      <c r="N147" s="1"/>
      <c r="O147" s="1"/>
    </row>
    <row r="148" spans="1:15" ht="15.75" customHeight="1">
      <c r="A148" s="1"/>
      <c r="B148" s="1"/>
      <c r="C148" s="3"/>
      <c r="D148" s="1"/>
      <c r="E148" s="1"/>
      <c r="F148" s="1"/>
      <c r="G148" s="1"/>
      <c r="H148" s="1"/>
      <c r="I148" s="1"/>
      <c r="J148" s="1"/>
      <c r="K148" s="1"/>
      <c r="L148" s="1"/>
      <c r="M148" s="1"/>
      <c r="N148" s="1"/>
      <c r="O148" s="1"/>
    </row>
    <row r="149" spans="1:15" ht="15.75" customHeight="1">
      <c r="A149" s="1"/>
      <c r="B149" s="1"/>
      <c r="C149" s="3"/>
      <c r="D149" s="1"/>
      <c r="E149" s="1"/>
      <c r="F149" s="1"/>
      <c r="G149" s="1"/>
      <c r="H149" s="1"/>
      <c r="I149" s="1"/>
      <c r="J149" s="1"/>
      <c r="K149" s="1"/>
      <c r="L149" s="1"/>
      <c r="M149" s="1"/>
      <c r="N149" s="1"/>
      <c r="O149" s="1"/>
    </row>
    <row r="150" spans="1:15" ht="15.75" customHeight="1">
      <c r="A150" s="1"/>
      <c r="B150" s="1"/>
      <c r="C150" s="3"/>
      <c r="D150" s="1"/>
      <c r="E150" s="1"/>
      <c r="F150" s="1"/>
      <c r="G150" s="1"/>
      <c r="H150" s="1"/>
      <c r="I150" s="1"/>
      <c r="J150" s="1"/>
      <c r="K150" s="1"/>
      <c r="L150" s="1"/>
      <c r="M150" s="1"/>
      <c r="N150" s="1"/>
      <c r="O150" s="1"/>
    </row>
    <row r="151" spans="1:15" ht="15.75" customHeight="1">
      <c r="A151" s="1"/>
      <c r="B151" s="1"/>
      <c r="C151" s="3"/>
      <c r="D151" s="1"/>
      <c r="E151" s="1"/>
      <c r="F151" s="1"/>
      <c r="G151" s="1"/>
      <c r="H151" s="1"/>
      <c r="I151" s="1"/>
      <c r="J151" s="1"/>
      <c r="K151" s="1"/>
      <c r="L151" s="1"/>
      <c r="M151" s="1"/>
      <c r="N151" s="1"/>
      <c r="O151" s="1"/>
    </row>
    <row r="152" spans="1:15" ht="15.75" customHeight="1">
      <c r="A152" s="1"/>
      <c r="B152" s="1"/>
      <c r="C152" s="3"/>
      <c r="D152" s="1"/>
      <c r="E152" s="1"/>
      <c r="F152" s="1"/>
      <c r="G152" s="1"/>
      <c r="H152" s="1"/>
      <c r="I152" s="1"/>
      <c r="J152" s="1"/>
      <c r="K152" s="1"/>
      <c r="L152" s="1"/>
      <c r="M152" s="1"/>
      <c r="N152" s="1"/>
      <c r="O152" s="1"/>
    </row>
    <row r="153" spans="1:15" ht="15.75" customHeight="1">
      <c r="A153" s="1"/>
      <c r="B153" s="1"/>
      <c r="C153" s="3"/>
      <c r="D153" s="1"/>
      <c r="E153" s="1"/>
      <c r="F153" s="1"/>
      <c r="G153" s="1"/>
      <c r="H153" s="1"/>
      <c r="I153" s="1"/>
      <c r="J153" s="1"/>
      <c r="K153" s="1"/>
      <c r="L153" s="1"/>
      <c r="M153" s="1"/>
      <c r="N153" s="1"/>
      <c r="O153" s="1"/>
    </row>
    <row r="154" spans="1:15" ht="15.75" customHeight="1">
      <c r="A154" s="1"/>
      <c r="B154" s="1"/>
      <c r="C154" s="3"/>
      <c r="D154" s="1"/>
      <c r="E154" s="1"/>
      <c r="F154" s="1"/>
      <c r="G154" s="1"/>
      <c r="H154" s="1"/>
      <c r="I154" s="1"/>
      <c r="J154" s="1"/>
      <c r="K154" s="1"/>
      <c r="L154" s="1"/>
      <c r="M154" s="1"/>
      <c r="N154" s="1"/>
      <c r="O154" s="1"/>
    </row>
    <row r="155" spans="1:15" ht="15.75" customHeight="1">
      <c r="A155" s="1"/>
      <c r="B155" s="1"/>
      <c r="C155" s="3"/>
      <c r="D155" s="1"/>
      <c r="E155" s="1"/>
      <c r="F155" s="1"/>
      <c r="G155" s="1"/>
      <c r="H155" s="1"/>
      <c r="I155" s="1"/>
      <c r="J155" s="1"/>
      <c r="K155" s="1"/>
      <c r="L155" s="1"/>
      <c r="M155" s="1"/>
      <c r="N155" s="1"/>
      <c r="O155" s="1"/>
    </row>
    <row r="156" spans="1:15" ht="15.75" customHeight="1">
      <c r="A156" s="1"/>
      <c r="B156" s="1"/>
      <c r="C156" s="3"/>
      <c r="D156" s="1"/>
      <c r="E156" s="1"/>
      <c r="F156" s="1"/>
      <c r="G156" s="1"/>
      <c r="H156" s="1"/>
      <c r="I156" s="1"/>
      <c r="J156" s="1"/>
      <c r="K156" s="1"/>
      <c r="L156" s="1"/>
      <c r="M156" s="1"/>
      <c r="N156" s="1"/>
      <c r="O156" s="1"/>
    </row>
    <row r="157" spans="1:15" ht="15.75" customHeight="1">
      <c r="A157" s="1"/>
      <c r="B157" s="1"/>
      <c r="C157" s="3"/>
      <c r="D157" s="1"/>
      <c r="E157" s="1"/>
      <c r="F157" s="1"/>
      <c r="G157" s="1"/>
      <c r="H157" s="1"/>
      <c r="I157" s="1"/>
      <c r="J157" s="1"/>
      <c r="K157" s="1"/>
      <c r="L157" s="1"/>
      <c r="M157" s="1"/>
      <c r="N157" s="1"/>
      <c r="O157" s="1"/>
    </row>
    <row r="158" spans="1:15" ht="15.75" customHeight="1">
      <c r="A158" s="1"/>
      <c r="B158" s="1"/>
      <c r="C158" s="3"/>
      <c r="D158" s="1"/>
      <c r="E158" s="1"/>
      <c r="F158" s="1"/>
      <c r="G158" s="1"/>
      <c r="H158" s="1"/>
      <c r="I158" s="1"/>
      <c r="J158" s="1"/>
      <c r="K158" s="1"/>
      <c r="L158" s="1"/>
      <c r="M158" s="1"/>
      <c r="N158" s="1"/>
      <c r="O158" s="1"/>
    </row>
    <row r="159" spans="1:15" ht="15.75" customHeight="1">
      <c r="A159" s="1"/>
      <c r="B159" s="1"/>
      <c r="C159" s="3"/>
      <c r="D159" s="1"/>
      <c r="E159" s="1"/>
      <c r="F159" s="1"/>
      <c r="G159" s="1"/>
      <c r="H159" s="1"/>
      <c r="I159" s="1"/>
      <c r="J159" s="1"/>
      <c r="K159" s="1"/>
      <c r="L159" s="1"/>
      <c r="M159" s="1"/>
      <c r="N159" s="1"/>
      <c r="O159" s="1"/>
    </row>
    <row r="160" spans="1:15" ht="15.75" customHeight="1">
      <c r="A160" s="1"/>
      <c r="B160" s="1"/>
      <c r="C160" s="3"/>
      <c r="D160" s="1"/>
      <c r="E160" s="1"/>
      <c r="F160" s="1"/>
      <c r="G160" s="1"/>
      <c r="H160" s="1"/>
      <c r="I160" s="1"/>
      <c r="J160" s="1"/>
      <c r="K160" s="1"/>
      <c r="L160" s="1"/>
      <c r="M160" s="1"/>
      <c r="N160" s="1"/>
      <c r="O160" s="1"/>
    </row>
    <row r="161" spans="1:15" ht="15.75" customHeight="1">
      <c r="A161" s="1"/>
      <c r="B161" s="1"/>
      <c r="C161" s="3"/>
      <c r="D161" s="1"/>
      <c r="E161" s="1"/>
      <c r="F161" s="1"/>
      <c r="G161" s="1"/>
      <c r="H161" s="1"/>
      <c r="I161" s="1"/>
      <c r="J161" s="1"/>
      <c r="K161" s="1"/>
      <c r="L161" s="1"/>
      <c r="M161" s="1"/>
      <c r="N161" s="1"/>
      <c r="O161" s="1"/>
    </row>
    <row r="162" spans="1:15" ht="15.75" customHeight="1">
      <c r="A162" s="1"/>
      <c r="B162" s="1"/>
      <c r="C162" s="3"/>
      <c r="D162" s="1"/>
      <c r="E162" s="1"/>
      <c r="F162" s="1"/>
      <c r="G162" s="1"/>
      <c r="H162" s="1"/>
      <c r="I162" s="1"/>
      <c r="J162" s="1"/>
      <c r="K162" s="1"/>
      <c r="L162" s="1"/>
      <c r="M162" s="1"/>
      <c r="N162" s="1"/>
      <c r="O162" s="1"/>
    </row>
    <row r="163" spans="1:15" ht="15.75" customHeight="1">
      <c r="A163" s="1"/>
      <c r="B163" s="1"/>
      <c r="C163" s="3"/>
      <c r="D163" s="1"/>
      <c r="E163" s="1"/>
      <c r="F163" s="1"/>
      <c r="G163" s="1"/>
      <c r="H163" s="1"/>
      <c r="I163" s="1"/>
      <c r="J163" s="1"/>
      <c r="K163" s="1"/>
      <c r="L163" s="1"/>
      <c r="M163" s="1"/>
      <c r="N163" s="1"/>
      <c r="O163" s="1"/>
    </row>
    <row r="164" spans="1:15" ht="15.75" customHeight="1">
      <c r="A164" s="1"/>
      <c r="B164" s="1"/>
      <c r="C164" s="3"/>
      <c r="D164" s="1"/>
      <c r="E164" s="1"/>
      <c r="F164" s="1"/>
      <c r="G164" s="1"/>
      <c r="H164" s="1"/>
      <c r="I164" s="1"/>
      <c r="J164" s="1"/>
      <c r="K164" s="1"/>
      <c r="L164" s="1"/>
      <c r="M164" s="1"/>
      <c r="N164" s="1"/>
      <c r="O164" s="1"/>
    </row>
    <row r="165" spans="1:15" ht="15.75" customHeight="1">
      <c r="A165" s="1"/>
      <c r="B165" s="1"/>
      <c r="C165" s="3"/>
      <c r="D165" s="1"/>
      <c r="E165" s="1"/>
      <c r="F165" s="1"/>
      <c r="G165" s="1"/>
      <c r="H165" s="1"/>
      <c r="I165" s="1"/>
      <c r="J165" s="1"/>
      <c r="K165" s="1"/>
      <c r="L165" s="1"/>
      <c r="M165" s="1"/>
      <c r="N165" s="1"/>
      <c r="O165" s="1"/>
    </row>
    <row r="166" spans="1:15" ht="15.75" customHeight="1">
      <c r="A166" s="1"/>
      <c r="B166" s="1"/>
      <c r="C166" s="3"/>
      <c r="D166" s="1"/>
      <c r="E166" s="1"/>
      <c r="F166" s="1"/>
      <c r="G166" s="1"/>
      <c r="H166" s="1"/>
      <c r="I166" s="1"/>
      <c r="J166" s="1"/>
      <c r="K166" s="1"/>
      <c r="L166" s="1"/>
      <c r="M166" s="1"/>
      <c r="N166" s="1"/>
      <c r="O166" s="1"/>
    </row>
    <row r="167" spans="1:15" ht="15.75" customHeight="1">
      <c r="A167" s="1"/>
      <c r="B167" s="1"/>
      <c r="C167" s="3"/>
      <c r="D167" s="1"/>
      <c r="E167" s="1"/>
      <c r="F167" s="1"/>
      <c r="G167" s="1"/>
      <c r="H167" s="1"/>
      <c r="I167" s="1"/>
      <c r="J167" s="1"/>
      <c r="K167" s="1"/>
      <c r="L167" s="1"/>
      <c r="M167" s="1"/>
      <c r="N167" s="1"/>
      <c r="O167" s="1"/>
    </row>
    <row r="168" spans="1:15" ht="15.75" customHeight="1">
      <c r="A168" s="1"/>
      <c r="B168" s="1"/>
      <c r="C168" s="3"/>
      <c r="D168" s="1"/>
      <c r="E168" s="1"/>
      <c r="F168" s="1"/>
      <c r="G168" s="1"/>
      <c r="H168" s="1"/>
      <c r="I168" s="1"/>
      <c r="J168" s="1"/>
      <c r="K168" s="1"/>
      <c r="L168" s="1"/>
      <c r="M168" s="1"/>
      <c r="N168" s="1"/>
      <c r="O168" s="1"/>
    </row>
    <row r="169" spans="1:15" ht="15.75" customHeight="1">
      <c r="A169" s="1"/>
      <c r="B169" s="1"/>
      <c r="C169" s="3"/>
      <c r="D169" s="1"/>
      <c r="E169" s="1"/>
      <c r="F169" s="1"/>
      <c r="G169" s="1"/>
      <c r="H169" s="1"/>
      <c r="I169" s="1"/>
      <c r="J169" s="1"/>
      <c r="K169" s="1"/>
      <c r="L169" s="1"/>
      <c r="M169" s="1"/>
      <c r="N169" s="1"/>
      <c r="O169" s="1"/>
    </row>
    <row r="170" spans="1:15" ht="15.75" customHeight="1">
      <c r="A170" s="1"/>
      <c r="B170" s="1"/>
      <c r="C170" s="3"/>
      <c r="D170" s="1"/>
      <c r="E170" s="1"/>
      <c r="F170" s="1"/>
      <c r="G170" s="1"/>
      <c r="H170" s="1"/>
      <c r="I170" s="1"/>
      <c r="J170" s="1"/>
      <c r="K170" s="1"/>
      <c r="L170" s="1"/>
      <c r="M170" s="1"/>
      <c r="N170" s="1"/>
      <c r="O170" s="1"/>
    </row>
    <row r="171" spans="1:15" ht="15.75" customHeight="1">
      <c r="A171" s="1"/>
      <c r="B171" s="1"/>
      <c r="C171" s="3"/>
      <c r="D171" s="1"/>
      <c r="E171" s="1"/>
      <c r="F171" s="1"/>
      <c r="G171" s="1"/>
      <c r="H171" s="1"/>
      <c r="I171" s="1"/>
      <c r="J171" s="1"/>
      <c r="K171" s="1"/>
      <c r="L171" s="1"/>
      <c r="M171" s="1"/>
      <c r="N171" s="1"/>
      <c r="O171" s="1"/>
    </row>
    <row r="172" spans="1:15" ht="15.75" customHeight="1">
      <c r="A172" s="1"/>
      <c r="B172" s="1"/>
      <c r="C172" s="3"/>
      <c r="D172" s="1"/>
      <c r="E172" s="1"/>
      <c r="F172" s="1"/>
      <c r="G172" s="1"/>
      <c r="H172" s="1"/>
      <c r="I172" s="1"/>
      <c r="J172" s="1"/>
      <c r="K172" s="1"/>
      <c r="L172" s="1"/>
      <c r="M172" s="1"/>
      <c r="N172" s="1"/>
      <c r="O172" s="1"/>
    </row>
    <row r="173" spans="1:15" ht="15.75" customHeight="1">
      <c r="A173" s="1"/>
      <c r="B173" s="1"/>
      <c r="C173" s="3"/>
      <c r="D173" s="1"/>
      <c r="E173" s="1"/>
      <c r="F173" s="1"/>
      <c r="G173" s="1"/>
      <c r="H173" s="1"/>
      <c r="I173" s="1"/>
      <c r="J173" s="1"/>
      <c r="K173" s="1"/>
      <c r="L173" s="1"/>
      <c r="M173" s="1"/>
      <c r="N173" s="1"/>
      <c r="O173" s="1"/>
    </row>
    <row r="174" spans="1:15" ht="15.75" customHeight="1">
      <c r="A174" s="1"/>
      <c r="B174" s="1"/>
      <c r="C174" s="3"/>
      <c r="D174" s="1"/>
      <c r="E174" s="1"/>
      <c r="F174" s="1"/>
      <c r="G174" s="1"/>
      <c r="H174" s="1"/>
      <c r="I174" s="1"/>
      <c r="J174" s="1"/>
      <c r="K174" s="1"/>
      <c r="L174" s="1"/>
      <c r="M174" s="1"/>
      <c r="N174" s="1"/>
      <c r="O174" s="1"/>
    </row>
    <row r="175" spans="1:15" ht="15.75" customHeight="1">
      <c r="A175" s="1"/>
      <c r="B175" s="1"/>
      <c r="C175" s="3"/>
      <c r="D175" s="1"/>
      <c r="E175" s="1"/>
      <c r="F175" s="1"/>
      <c r="G175" s="1"/>
      <c r="H175" s="1"/>
      <c r="I175" s="1"/>
      <c r="J175" s="1"/>
      <c r="K175" s="1"/>
      <c r="L175" s="1"/>
      <c r="M175" s="1"/>
      <c r="N175" s="1"/>
      <c r="O175" s="1"/>
    </row>
    <row r="176" spans="1:15" ht="15.75" customHeight="1">
      <c r="A176" s="1"/>
      <c r="B176" s="1"/>
      <c r="C176" s="3"/>
      <c r="D176" s="1"/>
      <c r="E176" s="1"/>
      <c r="F176" s="1"/>
      <c r="G176" s="1"/>
      <c r="H176" s="1"/>
      <c r="I176" s="1"/>
      <c r="J176" s="1"/>
      <c r="K176" s="1"/>
      <c r="L176" s="1"/>
      <c r="M176" s="1"/>
      <c r="N176" s="1"/>
      <c r="O176" s="1"/>
    </row>
    <row r="177" spans="1:15" ht="15.75" customHeight="1">
      <c r="A177" s="1"/>
      <c r="B177" s="1"/>
      <c r="C177" s="3"/>
      <c r="D177" s="1"/>
      <c r="E177" s="1"/>
      <c r="F177" s="1"/>
      <c r="G177" s="1"/>
      <c r="H177" s="1"/>
      <c r="I177" s="1"/>
      <c r="J177" s="1"/>
      <c r="K177" s="1"/>
      <c r="L177" s="1"/>
      <c r="M177" s="1"/>
      <c r="N177" s="1"/>
      <c r="O177" s="1"/>
    </row>
    <row r="178" spans="1:15" ht="15.75" customHeight="1">
      <c r="A178" s="1"/>
      <c r="B178" s="1"/>
      <c r="C178" s="3"/>
      <c r="D178" s="1"/>
      <c r="E178" s="1"/>
      <c r="F178" s="1"/>
      <c r="G178" s="1"/>
      <c r="H178" s="1"/>
      <c r="I178" s="1"/>
      <c r="J178" s="1"/>
      <c r="K178" s="1"/>
      <c r="L178" s="1"/>
      <c r="M178" s="1"/>
      <c r="N178" s="1"/>
      <c r="O178" s="1"/>
    </row>
    <row r="179" spans="1:15" ht="15.75" customHeight="1">
      <c r="A179" s="1"/>
      <c r="B179" s="1"/>
      <c r="C179" s="3"/>
      <c r="D179" s="1"/>
      <c r="E179" s="1"/>
      <c r="F179" s="1"/>
      <c r="G179" s="1"/>
      <c r="H179" s="1"/>
      <c r="I179" s="1"/>
      <c r="J179" s="1"/>
      <c r="K179" s="1"/>
      <c r="L179" s="1"/>
      <c r="M179" s="1"/>
      <c r="N179" s="1"/>
      <c r="O179" s="1"/>
    </row>
    <row r="180" spans="1:15" ht="15.75" customHeight="1">
      <c r="A180" s="1"/>
      <c r="B180" s="1"/>
      <c r="C180" s="3"/>
      <c r="D180" s="1"/>
      <c r="E180" s="1"/>
      <c r="F180" s="1"/>
      <c r="G180" s="1"/>
      <c r="H180" s="1"/>
      <c r="I180" s="1"/>
      <c r="J180" s="1"/>
      <c r="K180" s="1"/>
      <c r="L180" s="1"/>
      <c r="M180" s="1"/>
      <c r="N180" s="1"/>
      <c r="O180" s="1"/>
    </row>
    <row r="181" spans="1:15" ht="15.75" customHeight="1">
      <c r="A181" s="1"/>
      <c r="B181" s="1"/>
      <c r="C181" s="3"/>
      <c r="D181" s="1"/>
      <c r="E181" s="1"/>
      <c r="F181" s="1"/>
      <c r="G181" s="1"/>
      <c r="H181" s="1"/>
      <c r="I181" s="1"/>
      <c r="J181" s="1"/>
      <c r="K181" s="1"/>
      <c r="L181" s="1"/>
      <c r="M181" s="1"/>
      <c r="N181" s="1"/>
      <c r="O181" s="1"/>
    </row>
    <row r="182" spans="1:15" ht="15.75" customHeight="1">
      <c r="A182" s="1"/>
      <c r="B182" s="1"/>
      <c r="C182" s="3"/>
      <c r="D182" s="1"/>
      <c r="E182" s="1"/>
      <c r="F182" s="1"/>
      <c r="G182" s="1"/>
      <c r="H182" s="1"/>
      <c r="I182" s="1"/>
      <c r="J182" s="1"/>
      <c r="K182" s="1"/>
      <c r="L182" s="1"/>
      <c r="M182" s="1"/>
      <c r="N182" s="1"/>
      <c r="O182" s="1"/>
    </row>
    <row r="183" spans="1:15" ht="15.75" customHeight="1">
      <c r="A183" s="1"/>
      <c r="B183" s="1"/>
      <c r="C183" s="3"/>
      <c r="D183" s="1"/>
      <c r="E183" s="1"/>
      <c r="F183" s="1"/>
      <c r="G183" s="1"/>
      <c r="H183" s="1"/>
      <c r="I183" s="1"/>
      <c r="J183" s="1"/>
      <c r="K183" s="1"/>
      <c r="L183" s="1"/>
      <c r="M183" s="1"/>
      <c r="N183" s="1"/>
      <c r="O183" s="1"/>
    </row>
    <row r="184" spans="1:15" ht="15.75" customHeight="1">
      <c r="A184" s="1"/>
      <c r="B184" s="1"/>
      <c r="C184" s="3"/>
      <c r="D184" s="1"/>
      <c r="E184" s="1"/>
      <c r="F184" s="1"/>
      <c r="G184" s="1"/>
      <c r="H184" s="1"/>
      <c r="I184" s="1"/>
      <c r="J184" s="1"/>
      <c r="K184" s="1"/>
      <c r="L184" s="1"/>
      <c r="M184" s="1"/>
      <c r="N184" s="1"/>
      <c r="O184" s="1"/>
    </row>
    <row r="185" spans="1:15" ht="15.75" customHeight="1">
      <c r="A185" s="1"/>
      <c r="B185" s="1"/>
      <c r="C185" s="3"/>
      <c r="D185" s="1"/>
      <c r="E185" s="1"/>
      <c r="F185" s="1"/>
      <c r="G185" s="1"/>
      <c r="H185" s="1"/>
      <c r="I185" s="1"/>
      <c r="J185" s="1"/>
      <c r="K185" s="1"/>
      <c r="L185" s="1"/>
      <c r="M185" s="1"/>
      <c r="N185" s="1"/>
      <c r="O185" s="1"/>
    </row>
    <row r="186" spans="1:15" ht="15.75" customHeight="1">
      <c r="A186" s="1"/>
      <c r="B186" s="1"/>
      <c r="C186" s="3"/>
      <c r="D186" s="1"/>
      <c r="E186" s="1"/>
      <c r="F186" s="1"/>
      <c r="G186" s="1"/>
      <c r="H186" s="1"/>
      <c r="I186" s="1"/>
      <c r="J186" s="1"/>
      <c r="K186" s="1"/>
      <c r="L186" s="1"/>
      <c r="M186" s="1"/>
      <c r="N186" s="1"/>
      <c r="O186" s="1"/>
    </row>
    <row r="187" spans="1:15" ht="15.75" customHeight="1">
      <c r="A187" s="1"/>
      <c r="B187" s="1"/>
      <c r="C187" s="3"/>
      <c r="D187" s="1"/>
      <c r="E187" s="1"/>
      <c r="F187" s="1"/>
      <c r="G187" s="1"/>
      <c r="H187" s="1"/>
      <c r="I187" s="1"/>
      <c r="J187" s="1"/>
      <c r="K187" s="1"/>
      <c r="L187" s="1"/>
      <c r="M187" s="1"/>
      <c r="N187" s="1"/>
      <c r="O187" s="1"/>
    </row>
    <row r="188" spans="1:15" ht="15.75" customHeight="1">
      <c r="A188" s="1"/>
      <c r="B188" s="1"/>
      <c r="C188" s="3"/>
      <c r="D188" s="1"/>
      <c r="E188" s="1"/>
      <c r="F188" s="1"/>
      <c r="G188" s="1"/>
      <c r="H188" s="1"/>
      <c r="I188" s="1"/>
      <c r="J188" s="1"/>
      <c r="K188" s="1"/>
      <c r="L188" s="1"/>
      <c r="M188" s="1"/>
      <c r="N188" s="1"/>
      <c r="O188" s="1"/>
    </row>
    <row r="189" spans="1:15" ht="15.75" customHeight="1">
      <c r="A189" s="1"/>
      <c r="B189" s="1"/>
      <c r="C189" s="3"/>
      <c r="D189" s="1"/>
      <c r="E189" s="1"/>
      <c r="F189" s="1"/>
      <c r="G189" s="1"/>
      <c r="H189" s="1"/>
      <c r="I189" s="1"/>
      <c r="J189" s="1"/>
      <c r="K189" s="1"/>
      <c r="L189" s="1"/>
      <c r="M189" s="1"/>
      <c r="N189" s="1"/>
      <c r="O189" s="1"/>
    </row>
    <row r="190" spans="1:15" ht="15.75" customHeight="1">
      <c r="A190" s="1"/>
      <c r="B190" s="1"/>
      <c r="C190" s="3"/>
      <c r="D190" s="1"/>
      <c r="E190" s="1"/>
      <c r="F190" s="1"/>
      <c r="G190" s="1"/>
      <c r="H190" s="1"/>
      <c r="I190" s="1"/>
      <c r="J190" s="1"/>
      <c r="K190" s="1"/>
      <c r="L190" s="1"/>
      <c r="M190" s="1"/>
      <c r="N190" s="1"/>
      <c r="O190" s="1"/>
    </row>
    <row r="191" spans="1:15" ht="15.75" customHeight="1">
      <c r="A191" s="1"/>
      <c r="B191" s="1"/>
      <c r="C191" s="3"/>
      <c r="D191" s="1"/>
      <c r="E191" s="1"/>
      <c r="F191" s="1"/>
      <c r="G191" s="1"/>
      <c r="H191" s="1"/>
      <c r="I191" s="1"/>
      <c r="J191" s="1"/>
      <c r="K191" s="1"/>
      <c r="L191" s="1"/>
      <c r="M191" s="1"/>
      <c r="N191" s="1"/>
      <c r="O191" s="1"/>
    </row>
    <row r="192" spans="1:15" ht="15.75" customHeight="1">
      <c r="A192" s="1"/>
      <c r="B192" s="1"/>
      <c r="C192" s="3"/>
      <c r="D192" s="1"/>
      <c r="E192" s="1"/>
      <c r="F192" s="1"/>
      <c r="G192" s="1"/>
      <c r="H192" s="1"/>
      <c r="I192" s="1"/>
      <c r="J192" s="1"/>
      <c r="K192" s="1"/>
      <c r="L192" s="1"/>
      <c r="M192" s="1"/>
      <c r="N192" s="1"/>
      <c r="O192" s="1"/>
    </row>
    <row r="193" spans="1:15" ht="15.75" customHeight="1">
      <c r="A193" s="1"/>
      <c r="B193" s="1"/>
      <c r="C193" s="3"/>
      <c r="D193" s="1"/>
      <c r="E193" s="1"/>
      <c r="F193" s="1"/>
      <c r="G193" s="1"/>
      <c r="H193" s="1"/>
      <c r="I193" s="1"/>
      <c r="J193" s="1"/>
      <c r="K193" s="1"/>
      <c r="L193" s="1"/>
      <c r="M193" s="1"/>
      <c r="N193" s="1"/>
      <c r="O193" s="1"/>
    </row>
    <row r="194" spans="1:15" ht="15.75" customHeight="1">
      <c r="A194" s="1"/>
      <c r="B194" s="1"/>
      <c r="C194" s="3"/>
      <c r="D194" s="1"/>
      <c r="E194" s="1"/>
      <c r="F194" s="1"/>
      <c r="G194" s="1"/>
      <c r="H194" s="1"/>
      <c r="I194" s="1"/>
      <c r="J194" s="1"/>
      <c r="K194" s="1"/>
      <c r="L194" s="1"/>
      <c r="M194" s="1"/>
      <c r="N194" s="1"/>
      <c r="O194" s="1"/>
    </row>
    <row r="195" spans="1:15" ht="15.75" customHeight="1">
      <c r="A195" s="1"/>
      <c r="B195" s="1"/>
      <c r="C195" s="3"/>
      <c r="D195" s="1"/>
      <c r="E195" s="1"/>
      <c r="F195" s="1"/>
      <c r="G195" s="1"/>
      <c r="H195" s="1"/>
      <c r="I195" s="1"/>
      <c r="J195" s="1"/>
      <c r="K195" s="1"/>
      <c r="L195" s="1"/>
      <c r="M195" s="1"/>
      <c r="N195" s="1"/>
      <c r="O195" s="1"/>
    </row>
    <row r="196" spans="1:15" ht="15.75" customHeight="1">
      <c r="A196" s="1"/>
      <c r="B196" s="1"/>
      <c r="C196" s="3"/>
      <c r="D196" s="1"/>
      <c r="E196" s="1"/>
      <c r="F196" s="1"/>
      <c r="G196" s="1"/>
      <c r="H196" s="1"/>
      <c r="I196" s="1"/>
      <c r="J196" s="1"/>
      <c r="K196" s="1"/>
      <c r="L196" s="1"/>
      <c r="M196" s="1"/>
      <c r="N196" s="1"/>
      <c r="O196" s="1"/>
    </row>
    <row r="197" spans="1:15" ht="15.75" customHeight="1">
      <c r="A197" s="1"/>
      <c r="B197" s="1"/>
      <c r="C197" s="3"/>
      <c r="D197" s="1"/>
      <c r="E197" s="1"/>
      <c r="F197" s="1"/>
      <c r="G197" s="1"/>
      <c r="H197" s="1"/>
      <c r="I197" s="1"/>
      <c r="J197" s="1"/>
      <c r="K197" s="1"/>
      <c r="L197" s="1"/>
      <c r="M197" s="1"/>
      <c r="N197" s="1"/>
      <c r="O197" s="1"/>
    </row>
    <row r="198" spans="1:15" ht="15.75" customHeight="1">
      <c r="A198" s="1"/>
      <c r="B198" s="1"/>
      <c r="C198" s="3"/>
      <c r="D198" s="1"/>
      <c r="E198" s="1"/>
      <c r="F198" s="1"/>
      <c r="G198" s="1"/>
      <c r="H198" s="1"/>
      <c r="I198" s="1"/>
      <c r="J198" s="1"/>
      <c r="K198" s="1"/>
      <c r="L198" s="1"/>
      <c r="M198" s="1"/>
      <c r="N198" s="1"/>
      <c r="O198" s="1"/>
    </row>
    <row r="199" spans="1:15" ht="15.75" customHeight="1">
      <c r="A199" s="1"/>
      <c r="B199" s="1"/>
      <c r="C199" s="3"/>
      <c r="D199" s="1"/>
      <c r="E199" s="1"/>
      <c r="F199" s="1"/>
      <c r="G199" s="1"/>
      <c r="H199" s="1"/>
      <c r="I199" s="1"/>
      <c r="J199" s="1"/>
      <c r="K199" s="1"/>
      <c r="L199" s="1"/>
      <c r="M199" s="1"/>
      <c r="N199" s="1"/>
      <c r="O199" s="1"/>
    </row>
    <row r="200" spans="1:15" ht="15.75" customHeight="1">
      <c r="A200" s="1"/>
      <c r="B200" s="1"/>
      <c r="C200" s="3"/>
      <c r="D200" s="1"/>
      <c r="E200" s="1"/>
      <c r="F200" s="1"/>
      <c r="G200" s="1"/>
      <c r="H200" s="1"/>
      <c r="I200" s="1"/>
      <c r="J200" s="1"/>
      <c r="K200" s="1"/>
      <c r="L200" s="1"/>
      <c r="M200" s="1"/>
      <c r="N200" s="1"/>
      <c r="O200" s="1"/>
    </row>
    <row r="201" spans="1:15" ht="15.75" customHeight="1">
      <c r="A201" s="1"/>
      <c r="B201" s="1"/>
      <c r="C201" s="3"/>
      <c r="D201" s="1"/>
      <c r="E201" s="1"/>
      <c r="F201" s="1"/>
      <c r="G201" s="1"/>
      <c r="H201" s="1"/>
      <c r="I201" s="1"/>
      <c r="J201" s="1"/>
      <c r="K201" s="1"/>
      <c r="L201" s="1"/>
      <c r="M201" s="1"/>
      <c r="N201" s="1"/>
      <c r="O201" s="1"/>
    </row>
    <row r="202" spans="1:15" ht="15.75" customHeight="1">
      <c r="A202" s="1"/>
      <c r="B202" s="1"/>
      <c r="C202" s="3"/>
      <c r="D202" s="1"/>
      <c r="E202" s="1"/>
      <c r="F202" s="1"/>
      <c r="G202" s="1"/>
      <c r="H202" s="1"/>
      <c r="I202" s="1"/>
      <c r="J202" s="1"/>
      <c r="K202" s="1"/>
      <c r="L202" s="1"/>
      <c r="M202" s="1"/>
      <c r="N202" s="1"/>
      <c r="O202" s="1"/>
    </row>
    <row r="203" spans="1:15" ht="15.75" customHeight="1">
      <c r="A203" s="1"/>
      <c r="B203" s="1"/>
      <c r="C203" s="3"/>
      <c r="D203" s="1"/>
      <c r="E203" s="1"/>
      <c r="F203" s="1"/>
      <c r="G203" s="1"/>
      <c r="H203" s="1"/>
      <c r="I203" s="1"/>
      <c r="J203" s="1"/>
      <c r="K203" s="1"/>
      <c r="L203" s="1"/>
      <c r="M203" s="1"/>
      <c r="N203" s="1"/>
      <c r="O203" s="1"/>
    </row>
    <row r="204" spans="1:15" ht="15.75" customHeight="1">
      <c r="A204" s="1"/>
      <c r="B204" s="1"/>
      <c r="C204" s="3"/>
      <c r="D204" s="1"/>
      <c r="E204" s="1"/>
      <c r="F204" s="1"/>
      <c r="G204" s="1"/>
      <c r="H204" s="1"/>
      <c r="I204" s="1"/>
      <c r="J204" s="1"/>
      <c r="K204" s="1"/>
      <c r="L204" s="1"/>
      <c r="M204" s="1"/>
      <c r="N204" s="1"/>
      <c r="O204" s="1"/>
    </row>
    <row r="205" spans="1:15" ht="15.75" customHeight="1">
      <c r="A205" s="1"/>
      <c r="B205" s="1"/>
      <c r="C205" s="3"/>
      <c r="D205" s="1"/>
      <c r="E205" s="1"/>
      <c r="F205" s="1"/>
      <c r="G205" s="1"/>
      <c r="H205" s="1"/>
      <c r="I205" s="1"/>
      <c r="J205" s="1"/>
      <c r="K205" s="1"/>
      <c r="L205" s="1"/>
      <c r="M205" s="1"/>
      <c r="N205" s="1"/>
      <c r="O205" s="1"/>
    </row>
    <row r="206" spans="1:15" ht="15.75" customHeight="1">
      <c r="A206" s="1"/>
      <c r="B206" s="1"/>
      <c r="C206" s="3"/>
      <c r="D206" s="1"/>
      <c r="E206" s="1"/>
      <c r="F206" s="1"/>
      <c r="G206" s="1"/>
      <c r="H206" s="1"/>
      <c r="I206" s="1"/>
      <c r="J206" s="1"/>
      <c r="K206" s="1"/>
      <c r="L206" s="1"/>
      <c r="M206" s="1"/>
      <c r="N206" s="1"/>
      <c r="O206" s="1"/>
    </row>
    <row r="207" spans="1:15" ht="15.75" customHeight="1">
      <c r="A207" s="1"/>
      <c r="B207" s="1"/>
      <c r="C207" s="3"/>
      <c r="D207" s="1"/>
      <c r="E207" s="1"/>
      <c r="F207" s="1"/>
      <c r="G207" s="1"/>
      <c r="H207" s="1"/>
      <c r="I207" s="1"/>
      <c r="J207" s="1"/>
      <c r="K207" s="1"/>
      <c r="L207" s="1"/>
      <c r="M207" s="1"/>
      <c r="N207" s="1"/>
      <c r="O207" s="1"/>
    </row>
    <row r="208" spans="1:15" ht="15.75" customHeight="1">
      <c r="A208" s="1"/>
      <c r="B208" s="1"/>
      <c r="C208" s="3"/>
      <c r="D208" s="1"/>
      <c r="E208" s="1"/>
      <c r="F208" s="1"/>
      <c r="G208" s="1"/>
      <c r="H208" s="1"/>
      <c r="I208" s="1"/>
      <c r="J208" s="1"/>
      <c r="K208" s="1"/>
      <c r="L208" s="1"/>
      <c r="M208" s="1"/>
      <c r="N208" s="1"/>
      <c r="O208" s="1"/>
    </row>
    <row r="209" spans="1:15" ht="15.75" customHeight="1">
      <c r="A209" s="1"/>
      <c r="B209" s="1"/>
      <c r="C209" s="3"/>
      <c r="D209" s="1"/>
      <c r="E209" s="1"/>
      <c r="F209" s="1"/>
      <c r="G209" s="1"/>
      <c r="H209" s="1"/>
      <c r="I209" s="1"/>
      <c r="J209" s="1"/>
      <c r="K209" s="1"/>
      <c r="L209" s="1"/>
      <c r="M209" s="1"/>
      <c r="N209" s="1"/>
      <c r="O209" s="1"/>
    </row>
    <row r="210" spans="1:15" ht="15.75" customHeight="1">
      <c r="A210" s="1"/>
      <c r="B210" s="1"/>
      <c r="C210" s="3"/>
      <c r="D210" s="1"/>
      <c r="E210" s="1"/>
      <c r="F210" s="1"/>
      <c r="G210" s="1"/>
      <c r="H210" s="1"/>
      <c r="I210" s="1"/>
      <c r="J210" s="1"/>
      <c r="K210" s="1"/>
      <c r="L210" s="1"/>
      <c r="M210" s="1"/>
      <c r="N210" s="1"/>
      <c r="O210" s="1"/>
    </row>
    <row r="211" spans="1:15" ht="15.75" customHeight="1">
      <c r="A211" s="1"/>
      <c r="B211" s="1"/>
      <c r="C211" s="3"/>
      <c r="D211" s="1"/>
      <c r="E211" s="1"/>
      <c r="F211" s="1"/>
      <c r="G211" s="1"/>
      <c r="H211" s="1"/>
      <c r="I211" s="1"/>
      <c r="J211" s="1"/>
      <c r="K211" s="1"/>
      <c r="L211" s="1"/>
      <c r="M211" s="1"/>
      <c r="N211" s="1"/>
      <c r="O211" s="1"/>
    </row>
    <row r="212" spans="1:15" ht="15.75" customHeight="1">
      <c r="A212" s="1"/>
      <c r="B212" s="1"/>
      <c r="C212" s="3"/>
      <c r="D212" s="1"/>
      <c r="E212" s="1"/>
      <c r="F212" s="1"/>
      <c r="G212" s="1"/>
      <c r="H212" s="1"/>
      <c r="I212" s="1"/>
      <c r="J212" s="1"/>
      <c r="K212" s="1"/>
      <c r="L212" s="1"/>
      <c r="M212" s="1"/>
      <c r="N212" s="1"/>
      <c r="O212" s="1"/>
    </row>
    <row r="213" spans="1:15" ht="15.75" customHeight="1">
      <c r="A213" s="1"/>
      <c r="B213" s="1"/>
      <c r="C213" s="3"/>
      <c r="D213" s="1"/>
      <c r="E213" s="1"/>
      <c r="F213" s="1"/>
      <c r="G213" s="1"/>
      <c r="H213" s="1"/>
      <c r="I213" s="1"/>
      <c r="J213" s="1"/>
      <c r="K213" s="1"/>
      <c r="L213" s="1"/>
      <c r="M213" s="1"/>
      <c r="N213" s="1"/>
      <c r="O213" s="1"/>
    </row>
    <row r="214" spans="1:15" ht="15.75" customHeight="1">
      <c r="A214" s="1"/>
      <c r="B214" s="1"/>
      <c r="C214" s="3"/>
      <c r="D214" s="1"/>
      <c r="E214" s="1"/>
      <c r="F214" s="1"/>
      <c r="G214" s="1"/>
      <c r="H214" s="1"/>
      <c r="I214" s="1"/>
      <c r="J214" s="1"/>
      <c r="K214" s="1"/>
      <c r="L214" s="1"/>
      <c r="M214" s="1"/>
      <c r="N214" s="1"/>
      <c r="O214" s="1"/>
    </row>
    <row r="215" spans="1:15" ht="15.75" customHeight="1">
      <c r="A215" s="1"/>
      <c r="B215" s="1"/>
      <c r="C215" s="3"/>
      <c r="D215" s="1"/>
      <c r="E215" s="1"/>
      <c r="F215" s="1"/>
      <c r="G215" s="1"/>
      <c r="H215" s="1"/>
      <c r="I215" s="1"/>
      <c r="J215" s="1"/>
      <c r="K215" s="1"/>
      <c r="L215" s="1"/>
      <c r="M215" s="1"/>
      <c r="N215" s="1"/>
      <c r="O215" s="1"/>
    </row>
    <row r="216" spans="1:15" ht="15.75" customHeight="1">
      <c r="A216" s="1"/>
      <c r="B216" s="1"/>
      <c r="C216" s="3"/>
      <c r="D216" s="1"/>
      <c r="E216" s="1"/>
      <c r="F216" s="1"/>
      <c r="G216" s="1"/>
      <c r="H216" s="1"/>
      <c r="I216" s="1"/>
      <c r="J216" s="1"/>
      <c r="K216" s="1"/>
      <c r="L216" s="1"/>
      <c r="M216" s="1"/>
      <c r="N216" s="1"/>
      <c r="O216" s="1"/>
    </row>
    <row r="217" spans="1:15" ht="15.75" customHeight="1">
      <c r="A217" s="1"/>
      <c r="B217" s="1"/>
      <c r="C217" s="3"/>
      <c r="D217" s="1"/>
      <c r="E217" s="1"/>
      <c r="F217" s="1"/>
      <c r="G217" s="1"/>
      <c r="H217" s="1"/>
      <c r="I217" s="1"/>
      <c r="J217" s="1"/>
      <c r="K217" s="1"/>
      <c r="L217" s="1"/>
      <c r="M217" s="1"/>
      <c r="N217" s="1"/>
      <c r="O217" s="1"/>
    </row>
    <row r="218" spans="1:15" ht="15.75" customHeight="1">
      <c r="A218" s="1"/>
      <c r="B218" s="1"/>
      <c r="C218" s="3"/>
      <c r="D218" s="1"/>
      <c r="E218" s="1"/>
      <c r="F218" s="1"/>
      <c r="G218" s="1"/>
      <c r="H218" s="1"/>
      <c r="I218" s="1"/>
      <c r="J218" s="1"/>
      <c r="K218" s="1"/>
      <c r="L218" s="1"/>
      <c r="M218" s="1"/>
      <c r="N218" s="1"/>
      <c r="O218" s="1"/>
    </row>
    <row r="219" spans="1:15" ht="15.75" customHeight="1">
      <c r="A219" s="1"/>
      <c r="B219" s="1"/>
      <c r="C219" s="3"/>
      <c r="D219" s="1"/>
      <c r="E219" s="1"/>
      <c r="F219" s="1"/>
      <c r="G219" s="1"/>
      <c r="H219" s="1"/>
      <c r="I219" s="1"/>
      <c r="J219" s="1"/>
      <c r="K219" s="1"/>
      <c r="L219" s="1"/>
      <c r="M219" s="1"/>
      <c r="N219" s="1"/>
      <c r="O219" s="1"/>
    </row>
    <row r="220" spans="1:15" ht="15.75" customHeight="1">
      <c r="A220" s="1"/>
      <c r="B220" s="1"/>
      <c r="C220" s="3"/>
      <c r="D220" s="1"/>
      <c r="E220" s="1"/>
      <c r="F220" s="1"/>
      <c r="G220" s="1"/>
      <c r="H220" s="1"/>
      <c r="I220" s="1"/>
      <c r="J220" s="1"/>
      <c r="K220" s="1"/>
      <c r="L220" s="1"/>
      <c r="M220" s="1"/>
      <c r="N220" s="1"/>
      <c r="O220" s="1"/>
    </row>
    <row r="221" spans="1:15" ht="15.75" customHeight="1">
      <c r="A221" s="1"/>
      <c r="B221" s="1"/>
      <c r="C221" s="3"/>
      <c r="D221" s="1"/>
      <c r="E221" s="1"/>
      <c r="F221" s="1"/>
      <c r="G221" s="1"/>
      <c r="H221" s="1"/>
      <c r="I221" s="1"/>
      <c r="J221" s="1"/>
      <c r="K221" s="1"/>
      <c r="L221" s="1"/>
      <c r="M221" s="1"/>
      <c r="N221" s="1"/>
      <c r="O221" s="1"/>
    </row>
    <row r="222" spans="1:15" ht="15.75" customHeight="1">
      <c r="A222" s="1"/>
      <c r="B222" s="1"/>
      <c r="C222" s="3"/>
      <c r="D222" s="1"/>
      <c r="E222" s="1"/>
      <c r="F222" s="1"/>
      <c r="G222" s="1"/>
      <c r="H222" s="1"/>
      <c r="I222" s="1"/>
      <c r="J222" s="1"/>
      <c r="K222" s="1"/>
      <c r="L222" s="1"/>
      <c r="M222" s="1"/>
      <c r="N222" s="1"/>
      <c r="O222" s="1"/>
    </row>
    <row r="223" spans="1:15" ht="15.75" customHeight="1">
      <c r="A223" s="1"/>
      <c r="B223" s="1"/>
      <c r="C223" s="3"/>
      <c r="D223" s="1"/>
      <c r="E223" s="1"/>
      <c r="F223" s="1"/>
      <c r="G223" s="1"/>
      <c r="H223" s="1"/>
      <c r="I223" s="1"/>
      <c r="J223" s="1"/>
      <c r="K223" s="1"/>
      <c r="L223" s="1"/>
      <c r="M223" s="1"/>
      <c r="N223" s="1"/>
      <c r="O223" s="1"/>
    </row>
    <row r="224" spans="1:15" ht="15.75" customHeight="1">
      <c r="A224" s="1"/>
      <c r="B224" s="1"/>
      <c r="C224" s="3"/>
      <c r="D224" s="1"/>
      <c r="E224" s="1"/>
      <c r="F224" s="1"/>
      <c r="G224" s="1"/>
      <c r="H224" s="1"/>
      <c r="I224" s="1"/>
      <c r="J224" s="1"/>
      <c r="K224" s="1"/>
      <c r="L224" s="1"/>
      <c r="M224" s="1"/>
      <c r="N224" s="1"/>
      <c r="O224" s="1"/>
    </row>
    <row r="225" spans="1:15" ht="15.75" customHeight="1">
      <c r="A225" s="1"/>
      <c r="B225" s="1"/>
      <c r="C225" s="3"/>
      <c r="D225" s="1"/>
      <c r="E225" s="1"/>
      <c r="F225" s="1"/>
      <c r="G225" s="1"/>
      <c r="H225" s="1"/>
      <c r="I225" s="1"/>
      <c r="J225" s="1"/>
      <c r="K225" s="1"/>
      <c r="L225" s="1"/>
      <c r="M225" s="1"/>
      <c r="N225" s="1"/>
      <c r="O225" s="1"/>
    </row>
    <row r="226" spans="1:15" ht="15.75" customHeight="1">
      <c r="A226" s="1"/>
      <c r="B226" s="1"/>
      <c r="C226" s="3"/>
      <c r="D226" s="1"/>
      <c r="E226" s="1"/>
      <c r="F226" s="1"/>
      <c r="G226" s="1"/>
      <c r="H226" s="1"/>
      <c r="I226" s="1"/>
      <c r="J226" s="1"/>
      <c r="K226" s="1"/>
      <c r="L226" s="1"/>
      <c r="M226" s="1"/>
      <c r="N226" s="1"/>
      <c r="O226" s="1"/>
    </row>
    <row r="227" spans="1:15" ht="15.75" customHeight="1">
      <c r="A227" s="1"/>
      <c r="B227" s="1"/>
      <c r="C227" s="3"/>
      <c r="D227" s="1"/>
      <c r="E227" s="1"/>
      <c r="F227" s="1"/>
      <c r="G227" s="1"/>
      <c r="H227" s="1"/>
      <c r="I227" s="1"/>
      <c r="J227" s="1"/>
      <c r="K227" s="1"/>
      <c r="L227" s="1"/>
      <c r="M227" s="1"/>
      <c r="N227" s="1"/>
      <c r="O227" s="1"/>
    </row>
    <row r="228" spans="1:15" ht="15.75" customHeight="1">
      <c r="A228" s="1"/>
      <c r="B228" s="1"/>
      <c r="C228" s="3"/>
      <c r="D228" s="1"/>
      <c r="E228" s="1"/>
      <c r="F228" s="1"/>
      <c r="G228" s="1"/>
      <c r="H228" s="1"/>
      <c r="I228" s="1"/>
      <c r="J228" s="1"/>
      <c r="K228" s="1"/>
      <c r="L228" s="1"/>
      <c r="M228" s="1"/>
      <c r="N228" s="1"/>
      <c r="O228" s="1"/>
    </row>
    <row r="229" spans="1:15" ht="15.75" customHeight="1">
      <c r="A229" s="1"/>
      <c r="B229" s="1"/>
      <c r="C229" s="3"/>
      <c r="D229" s="1"/>
      <c r="E229" s="1"/>
      <c r="F229" s="1"/>
      <c r="G229" s="1"/>
      <c r="H229" s="1"/>
      <c r="I229" s="1"/>
      <c r="J229" s="1"/>
      <c r="K229" s="1"/>
      <c r="L229" s="1"/>
      <c r="M229" s="1"/>
      <c r="N229" s="1"/>
      <c r="O229" s="1"/>
    </row>
    <row r="230" spans="1:15" ht="15.75" customHeight="1">
      <c r="A230" s="1"/>
      <c r="B230" s="1"/>
      <c r="C230" s="3"/>
      <c r="D230" s="1"/>
      <c r="E230" s="1"/>
      <c r="F230" s="1"/>
      <c r="G230" s="1"/>
      <c r="H230" s="1"/>
      <c r="I230" s="1"/>
      <c r="J230" s="1"/>
      <c r="K230" s="1"/>
      <c r="L230" s="1"/>
      <c r="M230" s="1"/>
      <c r="N230" s="1"/>
      <c r="O230" s="1"/>
    </row>
    <row r="231" spans="1:15" ht="15.75" customHeight="1">
      <c r="A231" s="1"/>
      <c r="B231" s="1"/>
      <c r="C231" s="3"/>
      <c r="D231" s="1"/>
      <c r="E231" s="1"/>
      <c r="F231" s="1"/>
      <c r="G231" s="1"/>
      <c r="H231" s="1"/>
      <c r="I231" s="1"/>
      <c r="J231" s="1"/>
      <c r="K231" s="1"/>
      <c r="L231" s="1"/>
      <c r="M231" s="1"/>
      <c r="N231" s="1"/>
      <c r="O231" s="1"/>
    </row>
    <row r="232" spans="1:15" ht="15.75" customHeight="1">
      <c r="A232" s="1"/>
      <c r="B232" s="1"/>
      <c r="C232" s="3"/>
      <c r="D232" s="1"/>
      <c r="E232" s="1"/>
      <c r="F232" s="1"/>
      <c r="G232" s="1"/>
      <c r="H232" s="1"/>
      <c r="I232" s="1"/>
      <c r="J232" s="1"/>
      <c r="K232" s="1"/>
      <c r="L232" s="1"/>
      <c r="M232" s="1"/>
      <c r="N232" s="1"/>
      <c r="O232" s="1"/>
    </row>
    <row r="233" spans="1:15" ht="15.75" customHeight="1">
      <c r="A233" s="1"/>
      <c r="B233" s="1"/>
      <c r="C233" s="3"/>
      <c r="D233" s="1"/>
      <c r="E233" s="1"/>
      <c r="F233" s="1"/>
      <c r="G233" s="1"/>
      <c r="H233" s="1"/>
      <c r="I233" s="1"/>
      <c r="J233" s="1"/>
      <c r="K233" s="1"/>
      <c r="L233" s="1"/>
      <c r="M233" s="1"/>
      <c r="N233" s="1"/>
      <c r="O233" s="1"/>
    </row>
    <row r="234" spans="1:15" ht="15.75" customHeight="1">
      <c r="A234" s="1"/>
      <c r="B234" s="1"/>
      <c r="C234" s="3"/>
      <c r="D234" s="1"/>
      <c r="E234" s="1"/>
      <c r="F234" s="1"/>
      <c r="G234" s="1"/>
      <c r="H234" s="1"/>
      <c r="I234" s="1"/>
      <c r="J234" s="1"/>
      <c r="K234" s="1"/>
      <c r="L234" s="1"/>
      <c r="M234" s="1"/>
      <c r="N234" s="1"/>
      <c r="O234" s="1"/>
    </row>
    <row r="235" spans="1:15" ht="15.75" customHeight="1">
      <c r="A235" s="1"/>
      <c r="B235" s="1"/>
      <c r="C235" s="3"/>
      <c r="D235" s="1"/>
      <c r="E235" s="1"/>
      <c r="F235" s="1"/>
      <c r="G235" s="1"/>
      <c r="H235" s="1"/>
      <c r="I235" s="1"/>
      <c r="J235" s="1"/>
      <c r="K235" s="1"/>
      <c r="L235" s="1"/>
      <c r="M235" s="1"/>
      <c r="N235" s="1"/>
      <c r="O235" s="1"/>
    </row>
    <row r="236" spans="1:15" ht="15.75" customHeight="1">
      <c r="A236" s="1"/>
      <c r="B236" s="1"/>
      <c r="C236" s="3"/>
      <c r="D236" s="1"/>
      <c r="E236" s="1"/>
      <c r="F236" s="1"/>
      <c r="G236" s="1"/>
      <c r="H236" s="1"/>
      <c r="I236" s="1"/>
      <c r="J236" s="1"/>
      <c r="K236" s="1"/>
      <c r="L236" s="1"/>
      <c r="M236" s="1"/>
      <c r="N236" s="1"/>
      <c r="O236" s="1"/>
    </row>
    <row r="237" spans="1:15" ht="15.75" customHeight="1">
      <c r="A237" s="1"/>
      <c r="B237" s="1"/>
      <c r="C237" s="3"/>
      <c r="D237" s="1"/>
      <c r="E237" s="1"/>
      <c r="F237" s="1"/>
      <c r="G237" s="1"/>
      <c r="H237" s="1"/>
      <c r="I237" s="1"/>
      <c r="J237" s="1"/>
      <c r="K237" s="1"/>
      <c r="L237" s="1"/>
      <c r="M237" s="1"/>
      <c r="N237" s="1"/>
      <c r="O237" s="1"/>
    </row>
    <row r="238" spans="1:15" ht="15.75" customHeight="1">
      <c r="A238" s="1"/>
      <c r="B238" s="1"/>
      <c r="C238" s="3"/>
      <c r="D238" s="1"/>
      <c r="E238" s="1"/>
      <c r="F238" s="1"/>
      <c r="G238" s="1"/>
      <c r="H238" s="1"/>
      <c r="I238" s="1"/>
      <c r="J238" s="1"/>
      <c r="K238" s="1"/>
      <c r="L238" s="1"/>
      <c r="M238" s="1"/>
      <c r="N238" s="1"/>
      <c r="O238" s="1"/>
    </row>
    <row r="239" spans="1:15" ht="15.75" customHeight="1">
      <c r="A239" s="1"/>
      <c r="B239" s="1"/>
      <c r="C239" s="3"/>
      <c r="D239" s="1"/>
      <c r="E239" s="1"/>
      <c r="F239" s="1"/>
      <c r="G239" s="1"/>
      <c r="H239" s="1"/>
      <c r="I239" s="1"/>
      <c r="J239" s="1"/>
      <c r="K239" s="1"/>
      <c r="L239" s="1"/>
      <c r="M239" s="1"/>
      <c r="N239" s="1"/>
      <c r="O239" s="1"/>
    </row>
    <row r="240" spans="1:15" ht="15.75" customHeight="1">
      <c r="A240" s="1"/>
      <c r="B240" s="1"/>
      <c r="C240" s="3"/>
      <c r="D240" s="1"/>
      <c r="E240" s="1"/>
      <c r="F240" s="1"/>
      <c r="G240" s="1"/>
      <c r="H240" s="1"/>
      <c r="I240" s="1"/>
      <c r="J240" s="1"/>
      <c r="K240" s="1"/>
      <c r="L240" s="1"/>
      <c r="M240" s="1"/>
      <c r="N240" s="1"/>
      <c r="O240" s="1"/>
    </row>
    <row r="241" spans="1:15" ht="15.75" customHeight="1">
      <c r="A241" s="1"/>
      <c r="B241" s="1"/>
      <c r="C241" s="3"/>
      <c r="D241" s="1"/>
      <c r="E241" s="1"/>
      <c r="F241" s="1"/>
      <c r="G241" s="1"/>
      <c r="H241" s="1"/>
      <c r="I241" s="1"/>
      <c r="J241" s="1"/>
      <c r="K241" s="1"/>
      <c r="L241" s="1"/>
      <c r="M241" s="1"/>
      <c r="N241" s="1"/>
      <c r="O241" s="1"/>
    </row>
    <row r="242" spans="1:15" ht="15.75" customHeight="1">
      <c r="A242" s="1"/>
      <c r="B242" s="1"/>
      <c r="C242" s="3"/>
      <c r="D242" s="1"/>
      <c r="E242" s="1"/>
      <c r="F242" s="1"/>
      <c r="G242" s="1"/>
      <c r="H242" s="1"/>
      <c r="I242" s="1"/>
      <c r="J242" s="1"/>
      <c r="K242" s="1"/>
      <c r="L242" s="1"/>
      <c r="M242" s="1"/>
      <c r="N242" s="1"/>
      <c r="O242" s="1"/>
    </row>
    <row r="243" spans="1:15" ht="15.75" customHeight="1">
      <c r="A243" s="1"/>
      <c r="B243" s="1"/>
      <c r="C243" s="3"/>
      <c r="D243" s="1"/>
      <c r="E243" s="1"/>
      <c r="F243" s="1"/>
      <c r="G243" s="1"/>
      <c r="H243" s="1"/>
      <c r="I243" s="1"/>
      <c r="J243" s="1"/>
      <c r="K243" s="1"/>
      <c r="L243" s="1"/>
      <c r="M243" s="1"/>
      <c r="N243" s="1"/>
      <c r="O243" s="1"/>
    </row>
    <row r="244" spans="1:15" ht="15.75" customHeight="1">
      <c r="A244" s="1"/>
      <c r="B244" s="1"/>
      <c r="C244" s="3"/>
      <c r="D244" s="1"/>
      <c r="E244" s="1"/>
      <c r="F244" s="1"/>
      <c r="G244" s="1"/>
      <c r="H244" s="1"/>
      <c r="I244" s="1"/>
      <c r="J244" s="1"/>
      <c r="K244" s="1"/>
      <c r="L244" s="1"/>
      <c r="M244" s="1"/>
      <c r="N244" s="1"/>
      <c r="O244" s="1"/>
    </row>
    <row r="245" spans="1:15" ht="15.75" customHeight="1">
      <c r="A245" s="1"/>
      <c r="B245" s="1"/>
      <c r="C245" s="3"/>
      <c r="D245" s="1"/>
      <c r="E245" s="1"/>
      <c r="F245" s="1"/>
      <c r="G245" s="1"/>
      <c r="H245" s="1"/>
      <c r="I245" s="1"/>
      <c r="J245" s="1"/>
      <c r="K245" s="1"/>
      <c r="L245" s="1"/>
      <c r="M245" s="1"/>
      <c r="N245" s="1"/>
      <c r="O245" s="1"/>
    </row>
    <row r="246" spans="1:15" ht="15.75" customHeight="1">
      <c r="A246" s="1"/>
      <c r="B246" s="1"/>
      <c r="C246" s="3"/>
      <c r="D246" s="1"/>
      <c r="E246" s="1"/>
      <c r="F246" s="1"/>
      <c r="G246" s="1"/>
      <c r="H246" s="1"/>
      <c r="I246" s="1"/>
      <c r="J246" s="1"/>
      <c r="K246" s="1"/>
      <c r="L246" s="1"/>
      <c r="M246" s="1"/>
      <c r="N246" s="1"/>
      <c r="O246" s="1"/>
    </row>
    <row r="247" spans="1:15" ht="15.75" customHeight="1">
      <c r="A247" s="1"/>
      <c r="B247" s="1"/>
      <c r="C247" s="3"/>
      <c r="D247" s="1"/>
      <c r="E247" s="1"/>
      <c r="F247" s="1"/>
      <c r="G247" s="1"/>
      <c r="H247" s="1"/>
      <c r="I247" s="1"/>
      <c r="J247" s="1"/>
      <c r="K247" s="1"/>
      <c r="L247" s="1"/>
      <c r="M247" s="1"/>
      <c r="N247" s="1"/>
      <c r="O247" s="1"/>
    </row>
    <row r="248" spans="1:15" ht="15.75" customHeight="1">
      <c r="A248" s="1"/>
      <c r="B248" s="1"/>
      <c r="C248" s="3"/>
      <c r="D248" s="1"/>
      <c r="E248" s="1"/>
      <c r="F248" s="1"/>
      <c r="G248" s="1"/>
      <c r="H248" s="1"/>
      <c r="I248" s="1"/>
      <c r="J248" s="1"/>
      <c r="K248" s="1"/>
      <c r="L248" s="1"/>
      <c r="M248" s="1"/>
      <c r="N248" s="1"/>
      <c r="O248" s="1"/>
    </row>
    <row r="249" spans="1:15" ht="15.75" customHeight="1">
      <c r="A249" s="1"/>
      <c r="B249" s="1"/>
      <c r="C249" s="3"/>
      <c r="D249" s="1"/>
      <c r="E249" s="1"/>
      <c r="F249" s="1"/>
      <c r="G249" s="1"/>
      <c r="H249" s="1"/>
      <c r="I249" s="1"/>
      <c r="J249" s="1"/>
      <c r="K249" s="1"/>
      <c r="L249" s="1"/>
      <c r="M249" s="1"/>
      <c r="N249" s="1"/>
      <c r="O249" s="1"/>
    </row>
    <row r="250" spans="1:15" ht="15.75" customHeight="1">
      <c r="A250" s="1"/>
      <c r="B250" s="1"/>
      <c r="C250" s="3"/>
      <c r="D250" s="1"/>
      <c r="E250" s="1"/>
      <c r="F250" s="1"/>
      <c r="G250" s="1"/>
      <c r="H250" s="1"/>
      <c r="I250" s="1"/>
      <c r="J250" s="1"/>
      <c r="K250" s="1"/>
      <c r="L250" s="1"/>
      <c r="M250" s="1"/>
      <c r="N250" s="1"/>
      <c r="O250" s="1"/>
    </row>
    <row r="251" spans="1:15" ht="15.75" customHeight="1">
      <c r="A251" s="1"/>
      <c r="B251" s="1"/>
      <c r="C251" s="3"/>
      <c r="D251" s="1"/>
      <c r="E251" s="1"/>
      <c r="F251" s="1"/>
      <c r="G251" s="1"/>
      <c r="H251" s="1"/>
      <c r="I251" s="1"/>
      <c r="J251" s="1"/>
      <c r="K251" s="1"/>
      <c r="L251" s="1"/>
      <c r="M251" s="1"/>
      <c r="N251" s="1"/>
      <c r="O251" s="1"/>
    </row>
    <row r="252" spans="1:15" ht="15.75" customHeight="1">
      <c r="A252" s="1"/>
      <c r="B252" s="1"/>
      <c r="C252" s="3"/>
      <c r="D252" s="1"/>
      <c r="E252" s="1"/>
      <c r="F252" s="1"/>
      <c r="G252" s="1"/>
      <c r="H252" s="1"/>
      <c r="I252" s="1"/>
      <c r="J252" s="1"/>
      <c r="K252" s="1"/>
      <c r="L252" s="1"/>
      <c r="M252" s="1"/>
      <c r="N252" s="1"/>
      <c r="O252" s="1"/>
    </row>
    <row r="253" spans="1:15" ht="15.75" customHeight="1">
      <c r="A253" s="1"/>
      <c r="B253" s="1"/>
      <c r="C253" s="3"/>
      <c r="D253" s="1"/>
      <c r="E253" s="1"/>
      <c r="F253" s="1"/>
      <c r="G253" s="1"/>
      <c r="H253" s="1"/>
      <c r="I253" s="1"/>
      <c r="J253" s="1"/>
      <c r="K253" s="1"/>
      <c r="L253" s="1"/>
      <c r="M253" s="1"/>
      <c r="N253" s="1"/>
      <c r="O253" s="1"/>
    </row>
    <row r="254" spans="1:15" ht="15.75" customHeight="1">
      <c r="A254" s="1"/>
      <c r="B254" s="1"/>
      <c r="C254" s="3"/>
      <c r="D254" s="1"/>
      <c r="E254" s="1"/>
      <c r="F254" s="1"/>
      <c r="G254" s="1"/>
      <c r="H254" s="1"/>
      <c r="I254" s="1"/>
      <c r="J254" s="1"/>
      <c r="K254" s="1"/>
      <c r="L254" s="1"/>
      <c r="M254" s="1"/>
      <c r="N254" s="1"/>
      <c r="O254" s="1"/>
    </row>
    <row r="255" spans="1:15" ht="15.75" customHeight="1">
      <c r="A255" s="1"/>
      <c r="B255" s="1"/>
      <c r="C255" s="3"/>
      <c r="D255" s="1"/>
      <c r="E255" s="1"/>
      <c r="F255" s="1"/>
      <c r="G255" s="1"/>
      <c r="H255" s="1"/>
      <c r="I255" s="1"/>
      <c r="J255" s="1"/>
      <c r="K255" s="1"/>
      <c r="L255" s="1"/>
      <c r="M255" s="1"/>
      <c r="N255" s="1"/>
      <c r="O255" s="1"/>
    </row>
    <row r="256" spans="1:15" ht="15.75" customHeight="1">
      <c r="A256" s="1"/>
      <c r="B256" s="1"/>
      <c r="C256" s="3"/>
      <c r="D256" s="1"/>
      <c r="E256" s="1"/>
      <c r="F256" s="1"/>
      <c r="G256" s="1"/>
      <c r="H256" s="1"/>
      <c r="I256" s="1"/>
      <c r="J256" s="1"/>
      <c r="K256" s="1"/>
      <c r="L256" s="1"/>
      <c r="M256" s="1"/>
      <c r="N256" s="1"/>
      <c r="O256" s="1"/>
    </row>
    <row r="257" spans="1:15" ht="15.75" customHeight="1">
      <c r="A257" s="1"/>
      <c r="B257" s="1"/>
      <c r="C257" s="3"/>
      <c r="D257" s="1"/>
      <c r="E257" s="1"/>
      <c r="F257" s="1"/>
      <c r="G257" s="1"/>
      <c r="H257" s="1"/>
      <c r="I257" s="1"/>
      <c r="J257" s="1"/>
      <c r="K257" s="1"/>
      <c r="L257" s="1"/>
      <c r="M257" s="1"/>
      <c r="N257" s="1"/>
      <c r="O257" s="1"/>
    </row>
    <row r="258" spans="1:15" ht="15.75" customHeight="1">
      <c r="A258" s="1"/>
      <c r="B258" s="1"/>
      <c r="C258" s="3"/>
      <c r="D258" s="1"/>
      <c r="E258" s="1"/>
      <c r="F258" s="1"/>
      <c r="G258" s="1"/>
      <c r="H258" s="1"/>
      <c r="I258" s="1"/>
      <c r="J258" s="1"/>
      <c r="K258" s="1"/>
      <c r="L258" s="1"/>
      <c r="M258" s="1"/>
      <c r="N258" s="1"/>
      <c r="O258" s="1"/>
    </row>
    <row r="259" spans="1:15" ht="15.75" customHeight="1">
      <c r="A259" s="1"/>
      <c r="B259" s="1"/>
      <c r="C259" s="3"/>
      <c r="D259" s="1"/>
      <c r="E259" s="1"/>
      <c r="F259" s="1"/>
      <c r="G259" s="1"/>
      <c r="H259" s="1"/>
      <c r="I259" s="1"/>
      <c r="J259" s="1"/>
      <c r="K259" s="1"/>
      <c r="L259" s="1"/>
      <c r="M259" s="1"/>
      <c r="N259" s="1"/>
      <c r="O259" s="1"/>
    </row>
    <row r="260" spans="1:15" ht="15.75" customHeight="1">
      <c r="A260" s="1"/>
      <c r="B260" s="1"/>
      <c r="C260" s="3"/>
      <c r="D260" s="1"/>
      <c r="E260" s="1"/>
      <c r="F260" s="1"/>
      <c r="G260" s="1"/>
      <c r="H260" s="1"/>
      <c r="I260" s="1"/>
      <c r="J260" s="1"/>
      <c r="K260" s="1"/>
      <c r="L260" s="1"/>
      <c r="M260" s="1"/>
      <c r="N260" s="1"/>
      <c r="O260" s="1"/>
    </row>
    <row r="261" spans="1:15" ht="15.75" customHeight="1">
      <c r="A261" s="1"/>
      <c r="B261" s="1"/>
      <c r="C261" s="3"/>
      <c r="D261" s="1"/>
      <c r="E261" s="1"/>
      <c r="F261" s="1"/>
      <c r="G261" s="1"/>
      <c r="H261" s="1"/>
      <c r="I261" s="1"/>
      <c r="J261" s="1"/>
      <c r="K261" s="1"/>
      <c r="L261" s="1"/>
      <c r="M261" s="1"/>
      <c r="N261" s="1"/>
      <c r="O261" s="1"/>
    </row>
    <row r="262" spans="1:15" ht="15.75" customHeight="1">
      <c r="A262" s="1"/>
      <c r="B262" s="1"/>
      <c r="C262" s="3"/>
      <c r="D262" s="1"/>
      <c r="E262" s="1"/>
      <c r="F262" s="1"/>
      <c r="G262" s="1"/>
      <c r="H262" s="1"/>
      <c r="I262" s="1"/>
      <c r="J262" s="1"/>
      <c r="K262" s="1"/>
      <c r="L262" s="1"/>
      <c r="M262" s="1"/>
      <c r="N262" s="1"/>
      <c r="O262" s="1"/>
    </row>
    <row r="263" spans="1:15" ht="15.75" customHeight="1">
      <c r="A263" s="1"/>
      <c r="B263" s="1"/>
      <c r="C263" s="3"/>
      <c r="D263" s="1"/>
      <c r="E263" s="1"/>
      <c r="F263" s="1"/>
      <c r="G263" s="1"/>
      <c r="H263" s="1"/>
      <c r="I263" s="1"/>
      <c r="J263" s="1"/>
      <c r="K263" s="1"/>
      <c r="L263" s="1"/>
      <c r="M263" s="1"/>
      <c r="N263" s="1"/>
      <c r="O263" s="1"/>
    </row>
    <row r="264" spans="1:15" ht="15.75" customHeight="1">
      <c r="A264" s="1"/>
      <c r="B264" s="1"/>
      <c r="C264" s="3"/>
      <c r="D264" s="1"/>
      <c r="E264" s="1"/>
      <c r="F264" s="1"/>
      <c r="G264" s="1"/>
      <c r="H264" s="1"/>
      <c r="I264" s="1"/>
      <c r="J264" s="1"/>
      <c r="K264" s="1"/>
      <c r="L264" s="1"/>
      <c r="M264" s="1"/>
      <c r="N264" s="1"/>
      <c r="O264" s="1"/>
    </row>
    <row r="265" spans="1:15" ht="15.75" customHeight="1">
      <c r="A265" s="1"/>
      <c r="B265" s="1"/>
      <c r="C265" s="3"/>
      <c r="D265" s="1"/>
      <c r="E265" s="1"/>
      <c r="F265" s="1"/>
      <c r="G265" s="1"/>
      <c r="H265" s="1"/>
      <c r="I265" s="1"/>
      <c r="J265" s="1"/>
      <c r="K265" s="1"/>
      <c r="L265" s="1"/>
      <c r="M265" s="1"/>
      <c r="N265" s="1"/>
      <c r="O265" s="1"/>
    </row>
    <row r="266" spans="1:15" ht="15.75" customHeight="1">
      <c r="A266" s="1"/>
      <c r="B266" s="1"/>
      <c r="C266" s="3"/>
      <c r="D266" s="1"/>
      <c r="E266" s="1"/>
      <c r="F266" s="1"/>
      <c r="G266" s="1"/>
      <c r="H266" s="1"/>
      <c r="I266" s="1"/>
      <c r="J266" s="1"/>
      <c r="K266" s="1"/>
      <c r="L266" s="1"/>
      <c r="M266" s="1"/>
      <c r="N266" s="1"/>
      <c r="O266" s="1"/>
    </row>
    <row r="267" spans="1:15" ht="15.75" customHeight="1">
      <c r="A267" s="1"/>
      <c r="B267" s="1"/>
      <c r="C267" s="3"/>
      <c r="D267" s="1"/>
      <c r="E267" s="1"/>
      <c r="F267" s="1"/>
      <c r="G267" s="1"/>
      <c r="H267" s="1"/>
      <c r="I267" s="1"/>
      <c r="J267" s="1"/>
      <c r="K267" s="1"/>
      <c r="L267" s="1"/>
      <c r="M267" s="1"/>
      <c r="N267" s="1"/>
      <c r="O267" s="1"/>
    </row>
    <row r="268" spans="1:15" ht="15.75" customHeight="1">
      <c r="A268" s="1"/>
      <c r="B268" s="1"/>
      <c r="C268" s="3"/>
      <c r="D268" s="1"/>
      <c r="E268" s="1"/>
      <c r="F268" s="1"/>
      <c r="G268" s="1"/>
      <c r="H268" s="1"/>
      <c r="I268" s="1"/>
      <c r="J268" s="1"/>
      <c r="K268" s="1"/>
      <c r="L268" s="1"/>
      <c r="M268" s="1"/>
      <c r="N268" s="1"/>
      <c r="O268" s="1"/>
    </row>
    <row r="269" spans="1:15" ht="15.75" customHeight="1">
      <c r="A269" s="1"/>
      <c r="B269" s="1"/>
      <c r="C269" s="3"/>
      <c r="D269" s="1"/>
      <c r="E269" s="1"/>
      <c r="F269" s="1"/>
      <c r="G269" s="1"/>
      <c r="H269" s="1"/>
      <c r="I269" s="1"/>
      <c r="J269" s="1"/>
      <c r="K269" s="1"/>
      <c r="L269" s="1"/>
      <c r="M269" s="1"/>
      <c r="N269" s="1"/>
      <c r="O269" s="1"/>
    </row>
    <row r="270" spans="1:15" ht="15.75" customHeight="1">
      <c r="A270" s="1"/>
      <c r="B270" s="1"/>
      <c r="C270" s="3"/>
      <c r="D270" s="1"/>
      <c r="E270" s="1"/>
      <c r="F270" s="1"/>
      <c r="G270" s="1"/>
      <c r="H270" s="1"/>
      <c r="I270" s="1"/>
      <c r="J270" s="1"/>
      <c r="K270" s="1"/>
      <c r="L270" s="1"/>
      <c r="M270" s="1"/>
      <c r="N270" s="1"/>
      <c r="O270" s="1"/>
    </row>
    <row r="271" spans="1:15" ht="15.75" customHeight="1">
      <c r="A271" s="1"/>
      <c r="B271" s="1"/>
      <c r="C271" s="3"/>
      <c r="D271" s="1"/>
      <c r="E271" s="1"/>
      <c r="F271" s="1"/>
      <c r="G271" s="1"/>
      <c r="H271" s="1"/>
      <c r="I271" s="1"/>
      <c r="J271" s="1"/>
      <c r="K271" s="1"/>
      <c r="L271" s="1"/>
      <c r="M271" s="1"/>
      <c r="N271" s="1"/>
      <c r="O271" s="1"/>
    </row>
    <row r="272" spans="1:15" ht="15.75" customHeight="1">
      <c r="A272" s="1"/>
      <c r="B272" s="1"/>
      <c r="C272" s="3"/>
      <c r="D272" s="1"/>
      <c r="E272" s="1"/>
      <c r="F272" s="1"/>
      <c r="G272" s="1"/>
      <c r="H272" s="1"/>
      <c r="I272" s="1"/>
      <c r="J272" s="1"/>
      <c r="K272" s="1"/>
      <c r="L272" s="1"/>
      <c r="M272" s="1"/>
      <c r="N272" s="1"/>
      <c r="O272" s="1"/>
    </row>
    <row r="273" spans="1:15" ht="15.75" customHeight="1">
      <c r="A273" s="1"/>
      <c r="B273" s="1"/>
      <c r="C273" s="3"/>
      <c r="D273" s="1"/>
      <c r="E273" s="1"/>
      <c r="F273" s="1"/>
      <c r="G273" s="1"/>
      <c r="H273" s="1"/>
      <c r="I273" s="1"/>
      <c r="J273" s="1"/>
      <c r="K273" s="1"/>
      <c r="L273" s="1"/>
      <c r="M273" s="1"/>
      <c r="N273" s="1"/>
      <c r="O273" s="1"/>
    </row>
    <row r="274" spans="1:15" ht="15.75" customHeight="1">
      <c r="A274" s="1"/>
      <c r="B274" s="1"/>
      <c r="C274" s="3"/>
      <c r="D274" s="1"/>
      <c r="E274" s="1"/>
      <c r="F274" s="1"/>
      <c r="G274" s="1"/>
      <c r="H274" s="1"/>
      <c r="I274" s="1"/>
      <c r="J274" s="1"/>
      <c r="K274" s="1"/>
      <c r="L274" s="1"/>
      <c r="M274" s="1"/>
      <c r="N274" s="1"/>
      <c r="O274" s="1"/>
    </row>
    <row r="275" spans="1:15" ht="15.75" customHeight="1">
      <c r="A275" s="1"/>
      <c r="B275" s="1"/>
      <c r="C275" s="3"/>
      <c r="D275" s="1"/>
      <c r="E275" s="1"/>
      <c r="F275" s="1"/>
      <c r="G275" s="1"/>
      <c r="H275" s="1"/>
      <c r="I275" s="1"/>
      <c r="J275" s="1"/>
      <c r="K275" s="1"/>
      <c r="L275" s="1"/>
      <c r="M275" s="1"/>
      <c r="N275" s="1"/>
      <c r="O275" s="1"/>
    </row>
    <row r="276" spans="1:15" ht="15.75" customHeight="1">
      <c r="A276" s="1"/>
      <c r="B276" s="1"/>
      <c r="C276" s="3"/>
      <c r="D276" s="1"/>
      <c r="E276" s="1"/>
      <c r="F276" s="1"/>
      <c r="G276" s="1"/>
      <c r="H276" s="1"/>
      <c r="I276" s="1"/>
      <c r="J276" s="1"/>
      <c r="K276" s="1"/>
      <c r="L276" s="1"/>
      <c r="M276" s="1"/>
      <c r="N276" s="1"/>
      <c r="O276" s="1"/>
    </row>
    <row r="277" spans="1:15" ht="15.75" customHeight="1">
      <c r="A277" s="1"/>
      <c r="B277" s="1"/>
      <c r="C277" s="3"/>
      <c r="D277" s="1"/>
      <c r="E277" s="1"/>
      <c r="F277" s="1"/>
      <c r="G277" s="1"/>
      <c r="H277" s="1"/>
      <c r="I277" s="1"/>
      <c r="J277" s="1"/>
      <c r="K277" s="1"/>
      <c r="L277" s="1"/>
      <c r="M277" s="1"/>
      <c r="N277" s="1"/>
      <c r="O277" s="1"/>
    </row>
    <row r="278" spans="1:15" ht="15.75" customHeight="1">
      <c r="A278" s="1"/>
      <c r="B278" s="1"/>
      <c r="C278" s="3"/>
      <c r="D278" s="1"/>
      <c r="E278" s="1"/>
      <c r="F278" s="1"/>
      <c r="G278" s="1"/>
      <c r="H278" s="1"/>
      <c r="I278" s="1"/>
      <c r="J278" s="1"/>
      <c r="K278" s="1"/>
      <c r="L278" s="1"/>
      <c r="M278" s="1"/>
      <c r="N278" s="1"/>
      <c r="O278" s="1"/>
    </row>
    <row r="279" spans="1:15" ht="15.75" customHeight="1">
      <c r="A279" s="1"/>
      <c r="B279" s="1"/>
      <c r="C279" s="3"/>
      <c r="D279" s="1"/>
      <c r="E279" s="1"/>
      <c r="F279" s="1"/>
      <c r="G279" s="1"/>
      <c r="H279" s="1"/>
      <c r="I279" s="1"/>
      <c r="J279" s="1"/>
      <c r="K279" s="1"/>
      <c r="L279" s="1"/>
      <c r="M279" s="1"/>
      <c r="N279" s="1"/>
      <c r="O279" s="1"/>
    </row>
    <row r="280" spans="1:15" ht="15.75" customHeight="1">
      <c r="A280" s="1"/>
      <c r="B280" s="1"/>
      <c r="C280" s="3"/>
      <c r="D280" s="1"/>
      <c r="E280" s="1"/>
      <c r="F280" s="1"/>
      <c r="G280" s="1"/>
      <c r="H280" s="1"/>
      <c r="I280" s="1"/>
      <c r="J280" s="1"/>
      <c r="K280" s="1"/>
      <c r="L280" s="1"/>
      <c r="M280" s="1"/>
      <c r="N280" s="1"/>
      <c r="O280" s="1"/>
    </row>
    <row r="281" spans="1:15" ht="15.75" customHeight="1">
      <c r="A281" s="1"/>
      <c r="B281" s="1"/>
      <c r="C281" s="3"/>
      <c r="D281" s="1"/>
      <c r="E281" s="1"/>
      <c r="F281" s="1"/>
      <c r="G281" s="1"/>
      <c r="H281" s="1"/>
      <c r="I281" s="1"/>
      <c r="J281" s="1"/>
      <c r="K281" s="1"/>
      <c r="L281" s="1"/>
      <c r="M281" s="1"/>
      <c r="N281" s="1"/>
      <c r="O281" s="1"/>
    </row>
    <row r="282" spans="1:15" ht="15.75" customHeight="1">
      <c r="A282" s="1"/>
      <c r="B282" s="1"/>
      <c r="C282" s="3"/>
      <c r="D282" s="1"/>
      <c r="E282" s="1"/>
      <c r="F282" s="1"/>
      <c r="G282" s="1"/>
      <c r="H282" s="1"/>
      <c r="I282" s="1"/>
      <c r="J282" s="1"/>
      <c r="K282" s="1"/>
      <c r="L282" s="1"/>
      <c r="M282" s="1"/>
      <c r="N282" s="1"/>
      <c r="O282" s="1"/>
    </row>
    <row r="283" spans="1:15" ht="15.75" customHeight="1">
      <c r="A283" s="1"/>
      <c r="B283" s="1"/>
      <c r="C283" s="3"/>
      <c r="D283" s="1"/>
      <c r="E283" s="1"/>
      <c r="F283" s="1"/>
      <c r="G283" s="1"/>
      <c r="H283" s="1"/>
      <c r="I283" s="1"/>
      <c r="J283" s="1"/>
      <c r="K283" s="1"/>
      <c r="L283" s="1"/>
      <c r="M283" s="1"/>
      <c r="N283" s="1"/>
      <c r="O283" s="1"/>
    </row>
    <row r="284" spans="1:15" ht="15.75" customHeight="1">
      <c r="A284" s="1"/>
      <c r="B284" s="1"/>
      <c r="C284" s="3"/>
      <c r="D284" s="1"/>
      <c r="E284" s="1"/>
      <c r="F284" s="1"/>
      <c r="G284" s="1"/>
      <c r="H284" s="1"/>
      <c r="I284" s="1"/>
      <c r="J284" s="1"/>
      <c r="K284" s="1"/>
      <c r="L284" s="1"/>
      <c r="M284" s="1"/>
      <c r="N284" s="1"/>
      <c r="O284" s="1"/>
    </row>
    <row r="285" spans="1:15" ht="15.75" customHeight="1">
      <c r="A285" s="1"/>
      <c r="B285" s="1"/>
      <c r="C285" s="3"/>
      <c r="D285" s="1"/>
      <c r="E285" s="1"/>
      <c r="F285" s="1"/>
      <c r="G285" s="1"/>
      <c r="H285" s="1"/>
      <c r="I285" s="1"/>
      <c r="J285" s="1"/>
      <c r="K285" s="1"/>
      <c r="L285" s="1"/>
      <c r="M285" s="1"/>
      <c r="N285" s="1"/>
      <c r="O285" s="1"/>
    </row>
    <row r="286" spans="1:15" ht="15.75" customHeight="1">
      <c r="A286" s="1"/>
      <c r="B286" s="1"/>
      <c r="C286" s="3"/>
      <c r="D286" s="1"/>
      <c r="E286" s="1"/>
      <c r="F286" s="1"/>
      <c r="G286" s="1"/>
      <c r="H286" s="1"/>
      <c r="I286" s="1"/>
      <c r="J286" s="1"/>
      <c r="K286" s="1"/>
      <c r="L286" s="1"/>
      <c r="M286" s="1"/>
      <c r="N286" s="1"/>
      <c r="O286" s="1"/>
    </row>
    <row r="287" spans="1:15" ht="15.75" customHeight="1">
      <c r="A287" s="1"/>
      <c r="B287" s="1"/>
      <c r="C287" s="3"/>
      <c r="D287" s="1"/>
      <c r="E287" s="1"/>
      <c r="F287" s="1"/>
      <c r="G287" s="1"/>
      <c r="H287" s="1"/>
      <c r="I287" s="1"/>
      <c r="J287" s="1"/>
      <c r="K287" s="1"/>
      <c r="L287" s="1"/>
      <c r="M287" s="1"/>
      <c r="N287" s="1"/>
      <c r="O287" s="1"/>
    </row>
    <row r="288" spans="1:15" ht="15.75" customHeight="1">
      <c r="A288" s="1"/>
      <c r="B288" s="1"/>
      <c r="C288" s="3"/>
      <c r="D288" s="1"/>
      <c r="E288" s="1"/>
      <c r="F288" s="1"/>
      <c r="G288" s="1"/>
      <c r="H288" s="1"/>
      <c r="I288" s="1"/>
      <c r="J288" s="1"/>
      <c r="K288" s="1"/>
      <c r="L288" s="1"/>
      <c r="M288" s="1"/>
      <c r="N288" s="1"/>
      <c r="O288" s="1"/>
    </row>
    <row r="289" spans="1:15" ht="15.75" customHeight="1">
      <c r="A289" s="1"/>
      <c r="B289" s="1"/>
      <c r="C289" s="3"/>
      <c r="D289" s="1"/>
      <c r="E289" s="1"/>
      <c r="F289" s="1"/>
      <c r="G289" s="1"/>
      <c r="H289" s="1"/>
      <c r="I289" s="1"/>
      <c r="J289" s="1"/>
      <c r="K289" s="1"/>
      <c r="L289" s="1"/>
      <c r="M289" s="1"/>
      <c r="N289" s="1"/>
      <c r="O289" s="1"/>
    </row>
    <row r="290" spans="1:15" ht="15.75" customHeight="1">
      <c r="A290" s="1"/>
      <c r="B290" s="1"/>
      <c r="C290" s="3"/>
      <c r="D290" s="1"/>
      <c r="E290" s="1"/>
      <c r="F290" s="1"/>
      <c r="G290" s="1"/>
      <c r="H290" s="1"/>
      <c r="I290" s="1"/>
      <c r="J290" s="1"/>
      <c r="K290" s="1"/>
      <c r="L290" s="1"/>
      <c r="M290" s="1"/>
      <c r="N290" s="1"/>
      <c r="O290" s="1"/>
    </row>
    <row r="291" spans="1:15" ht="15.75" customHeight="1">
      <c r="A291" s="1"/>
      <c r="B291" s="1"/>
      <c r="C291" s="3"/>
      <c r="D291" s="1"/>
      <c r="E291" s="1"/>
      <c r="F291" s="1"/>
      <c r="G291" s="1"/>
      <c r="H291" s="1"/>
      <c r="I291" s="1"/>
      <c r="J291" s="1"/>
      <c r="K291" s="1"/>
      <c r="L291" s="1"/>
      <c r="M291" s="1"/>
      <c r="N291" s="1"/>
      <c r="O291" s="1"/>
    </row>
    <row r="292" spans="1:15" ht="15.75" customHeight="1">
      <c r="A292" s="1"/>
      <c r="B292" s="1"/>
      <c r="C292" s="3"/>
      <c r="D292" s="1"/>
      <c r="E292" s="1"/>
      <c r="F292" s="1"/>
      <c r="G292" s="1"/>
      <c r="H292" s="1"/>
      <c r="I292" s="1"/>
      <c r="J292" s="1"/>
      <c r="K292" s="1"/>
      <c r="L292" s="1"/>
      <c r="M292" s="1"/>
      <c r="N292" s="1"/>
      <c r="O292" s="1"/>
    </row>
    <row r="293" spans="1:15" ht="15.75" customHeight="1">
      <c r="A293" s="1"/>
      <c r="B293" s="1"/>
      <c r="C293" s="3"/>
      <c r="D293" s="1"/>
      <c r="E293" s="1"/>
      <c r="F293" s="1"/>
      <c r="G293" s="1"/>
      <c r="H293" s="1"/>
      <c r="I293" s="1"/>
      <c r="J293" s="1"/>
      <c r="K293" s="1"/>
      <c r="L293" s="1"/>
      <c r="M293" s="1"/>
      <c r="N293" s="1"/>
      <c r="O293" s="1"/>
    </row>
    <row r="294" spans="1:15" ht="15.75" customHeight="1">
      <c r="A294" s="1"/>
      <c r="B294" s="1"/>
      <c r="C294" s="3"/>
      <c r="D294" s="1"/>
      <c r="E294" s="1"/>
      <c r="F294" s="1"/>
      <c r="G294" s="1"/>
      <c r="H294" s="1"/>
      <c r="I294" s="1"/>
      <c r="J294" s="1"/>
      <c r="K294" s="1"/>
      <c r="L294" s="1"/>
      <c r="M294" s="1"/>
      <c r="N294" s="1"/>
      <c r="O294" s="1"/>
    </row>
    <row r="295" spans="1:15" ht="15.75" customHeight="1">
      <c r="A295" s="1"/>
      <c r="B295" s="1"/>
      <c r="C295" s="3"/>
      <c r="D295" s="1"/>
      <c r="E295" s="1"/>
      <c r="F295" s="1"/>
      <c r="G295" s="1"/>
      <c r="H295" s="1"/>
      <c r="I295" s="1"/>
      <c r="J295" s="1"/>
      <c r="K295" s="1"/>
      <c r="L295" s="1"/>
      <c r="M295" s="1"/>
      <c r="N295" s="1"/>
      <c r="O295" s="1"/>
    </row>
    <row r="296" spans="1:15" ht="15.75" customHeight="1">
      <c r="A296" s="1"/>
      <c r="B296" s="1"/>
      <c r="C296" s="3"/>
      <c r="D296" s="1"/>
      <c r="E296" s="1"/>
      <c r="F296" s="1"/>
      <c r="G296" s="1"/>
      <c r="H296" s="1"/>
      <c r="I296" s="1"/>
      <c r="J296" s="1"/>
      <c r="K296" s="1"/>
      <c r="L296" s="1"/>
      <c r="M296" s="1"/>
      <c r="N296" s="1"/>
      <c r="O296" s="1"/>
    </row>
    <row r="297" spans="1:15" ht="15.75" customHeight="1">
      <c r="A297" s="1"/>
      <c r="B297" s="1"/>
      <c r="C297" s="3"/>
      <c r="D297" s="1"/>
      <c r="E297" s="1"/>
      <c r="F297" s="1"/>
      <c r="G297" s="1"/>
      <c r="H297" s="1"/>
      <c r="I297" s="1"/>
      <c r="J297" s="1"/>
      <c r="K297" s="1"/>
      <c r="L297" s="1"/>
      <c r="M297" s="1"/>
      <c r="N297" s="1"/>
      <c r="O297" s="1"/>
    </row>
    <row r="298" spans="1:15" ht="15.75" customHeight="1">
      <c r="A298" s="1"/>
      <c r="B298" s="1"/>
      <c r="C298" s="3"/>
      <c r="D298" s="1"/>
      <c r="E298" s="1"/>
      <c r="F298" s="1"/>
      <c r="G298" s="1"/>
      <c r="H298" s="1"/>
      <c r="I298" s="1"/>
      <c r="J298" s="1"/>
      <c r="K298" s="1"/>
      <c r="L298" s="1"/>
      <c r="M298" s="1"/>
      <c r="N298" s="1"/>
      <c r="O298" s="1"/>
    </row>
    <row r="299" spans="1:15" ht="15.75" customHeight="1">
      <c r="A299" s="1"/>
      <c r="B299" s="1"/>
      <c r="C299" s="3"/>
      <c r="D299" s="1"/>
      <c r="E299" s="1"/>
      <c r="F299" s="1"/>
      <c r="G299" s="1"/>
      <c r="H299" s="1"/>
      <c r="I299" s="1"/>
      <c r="J299" s="1"/>
      <c r="K299" s="1"/>
      <c r="L299" s="1"/>
      <c r="M299" s="1"/>
      <c r="N299" s="1"/>
      <c r="O299" s="1"/>
    </row>
    <row r="300" spans="1:15" ht="15.75" customHeight="1">
      <c r="A300" s="1"/>
      <c r="B300" s="1"/>
      <c r="C300" s="3"/>
      <c r="D300" s="1"/>
      <c r="E300" s="1"/>
      <c r="F300" s="1"/>
      <c r="G300" s="1"/>
      <c r="H300" s="1"/>
      <c r="I300" s="1"/>
      <c r="J300" s="1"/>
      <c r="K300" s="1"/>
      <c r="L300" s="1"/>
      <c r="M300" s="1"/>
      <c r="N300" s="1"/>
      <c r="O300" s="1"/>
    </row>
    <row r="301" spans="1:15" ht="15.75" customHeight="1">
      <c r="A301" s="1"/>
      <c r="B301" s="1"/>
      <c r="C301" s="3"/>
      <c r="D301" s="1"/>
      <c r="E301" s="1"/>
      <c r="F301" s="1"/>
      <c r="G301" s="1"/>
      <c r="H301" s="1"/>
      <c r="I301" s="1"/>
      <c r="J301" s="1"/>
      <c r="K301" s="1"/>
      <c r="L301" s="1"/>
      <c r="M301" s="1"/>
      <c r="N301" s="1"/>
      <c r="O301" s="1"/>
    </row>
    <row r="302" spans="1:15" ht="15.75" customHeight="1">
      <c r="A302" s="1"/>
      <c r="B302" s="1"/>
      <c r="C302" s="3"/>
      <c r="D302" s="1"/>
      <c r="E302" s="1"/>
      <c r="F302" s="1"/>
      <c r="G302" s="1"/>
      <c r="H302" s="1"/>
      <c r="I302" s="1"/>
      <c r="J302" s="1"/>
      <c r="K302" s="1"/>
      <c r="L302" s="1"/>
      <c r="M302" s="1"/>
      <c r="N302" s="1"/>
      <c r="O302" s="1"/>
    </row>
    <row r="303" spans="1:15" ht="15.75" customHeight="1">
      <c r="A303" s="1"/>
      <c r="B303" s="1"/>
      <c r="C303" s="3"/>
      <c r="D303" s="1"/>
      <c r="E303" s="1"/>
      <c r="F303" s="1"/>
      <c r="G303" s="1"/>
      <c r="H303" s="1"/>
      <c r="I303" s="1"/>
      <c r="J303" s="1"/>
      <c r="K303" s="1"/>
      <c r="L303" s="1"/>
      <c r="M303" s="1"/>
      <c r="N303" s="1"/>
      <c r="O303" s="1"/>
    </row>
    <row r="304" spans="1:15" ht="15.75" customHeight="1">
      <c r="A304" s="1"/>
      <c r="B304" s="1"/>
      <c r="C304" s="3"/>
      <c r="D304" s="1"/>
      <c r="E304" s="1"/>
      <c r="F304" s="1"/>
      <c r="G304" s="1"/>
      <c r="H304" s="1"/>
      <c r="I304" s="1"/>
      <c r="J304" s="1"/>
      <c r="K304" s="1"/>
      <c r="L304" s="1"/>
      <c r="M304" s="1"/>
      <c r="N304" s="1"/>
      <c r="O304" s="1"/>
    </row>
    <row r="305" spans="1:15" ht="15.75" customHeight="1">
      <c r="A305" s="1"/>
      <c r="B305" s="1"/>
      <c r="C305" s="3"/>
      <c r="D305" s="1"/>
      <c r="E305" s="1"/>
      <c r="F305" s="1"/>
      <c r="G305" s="1"/>
      <c r="H305" s="1"/>
      <c r="I305" s="1"/>
      <c r="J305" s="1"/>
      <c r="K305" s="1"/>
      <c r="L305" s="1"/>
      <c r="M305" s="1"/>
      <c r="N305" s="1"/>
      <c r="O305" s="1"/>
    </row>
    <row r="306" spans="1:15" ht="15.75" customHeight="1">
      <c r="A306" s="1"/>
      <c r="B306" s="1"/>
      <c r="C306" s="3"/>
      <c r="D306" s="1"/>
      <c r="E306" s="1"/>
      <c r="F306" s="1"/>
      <c r="G306" s="1"/>
      <c r="H306" s="1"/>
      <c r="I306" s="1"/>
      <c r="J306" s="1"/>
      <c r="K306" s="1"/>
      <c r="L306" s="1"/>
      <c r="M306" s="1"/>
      <c r="N306" s="1"/>
      <c r="O306" s="1"/>
    </row>
    <row r="307" spans="1:15" ht="15.75" customHeight="1">
      <c r="A307" s="1"/>
      <c r="B307" s="1"/>
      <c r="C307" s="3"/>
      <c r="D307" s="1"/>
      <c r="E307" s="1"/>
      <c r="F307" s="1"/>
      <c r="G307" s="1"/>
      <c r="H307" s="1"/>
      <c r="I307" s="1"/>
      <c r="J307" s="1"/>
      <c r="K307" s="1"/>
      <c r="L307" s="1"/>
      <c r="M307" s="1"/>
      <c r="N307" s="1"/>
      <c r="O307" s="1"/>
    </row>
    <row r="308" spans="1:15" ht="15.75" customHeight="1">
      <c r="A308" s="1"/>
      <c r="B308" s="1"/>
      <c r="C308" s="3"/>
      <c r="D308" s="1"/>
      <c r="E308" s="1"/>
      <c r="F308" s="1"/>
      <c r="G308" s="1"/>
      <c r="H308" s="1"/>
      <c r="I308" s="1"/>
      <c r="J308" s="1"/>
      <c r="K308" s="1"/>
      <c r="L308" s="1"/>
      <c r="M308" s="1"/>
      <c r="N308" s="1"/>
      <c r="O308" s="1"/>
    </row>
    <row r="309" spans="1:15" ht="15.75" customHeight="1">
      <c r="A309" s="1"/>
      <c r="B309" s="1"/>
      <c r="C309" s="3"/>
      <c r="D309" s="1"/>
      <c r="E309" s="1"/>
      <c r="F309" s="1"/>
      <c r="G309" s="1"/>
      <c r="H309" s="1"/>
      <c r="I309" s="1"/>
      <c r="J309" s="1"/>
      <c r="K309" s="1"/>
      <c r="L309" s="1"/>
      <c r="M309" s="1"/>
      <c r="N309" s="1"/>
      <c r="O309" s="1"/>
    </row>
    <row r="310" spans="1:15" ht="15.75" customHeight="1">
      <c r="A310" s="1"/>
      <c r="B310" s="1"/>
      <c r="C310" s="3"/>
      <c r="D310" s="1"/>
      <c r="E310" s="1"/>
      <c r="F310" s="1"/>
      <c r="G310" s="1"/>
      <c r="H310" s="1"/>
      <c r="I310" s="1"/>
      <c r="J310" s="1"/>
      <c r="K310" s="1"/>
      <c r="L310" s="1"/>
      <c r="M310" s="1"/>
      <c r="N310" s="1"/>
      <c r="O310" s="1"/>
    </row>
    <row r="311" spans="1:15" ht="15.75" customHeight="1">
      <c r="A311" s="1"/>
      <c r="B311" s="1"/>
      <c r="C311" s="3"/>
      <c r="D311" s="1"/>
      <c r="E311" s="1"/>
      <c r="F311" s="1"/>
      <c r="G311" s="1"/>
      <c r="H311" s="1"/>
      <c r="I311" s="1"/>
      <c r="J311" s="1"/>
      <c r="K311" s="1"/>
      <c r="L311" s="1"/>
      <c r="M311" s="1"/>
      <c r="N311" s="1"/>
      <c r="O311" s="1"/>
    </row>
    <row r="312" spans="1:15" ht="15.75" customHeight="1">
      <c r="A312" s="1"/>
      <c r="B312" s="1"/>
      <c r="C312" s="3"/>
      <c r="D312" s="1"/>
      <c r="E312" s="1"/>
      <c r="F312" s="1"/>
      <c r="G312" s="1"/>
      <c r="H312" s="1"/>
      <c r="I312" s="1"/>
      <c r="J312" s="1"/>
      <c r="K312" s="1"/>
      <c r="L312" s="1"/>
      <c r="M312" s="1"/>
      <c r="N312" s="1"/>
      <c r="O312" s="1"/>
    </row>
    <row r="313" spans="1:15" ht="15.75" customHeight="1">
      <c r="A313" s="1"/>
      <c r="B313" s="1"/>
      <c r="C313" s="3"/>
      <c r="D313" s="1"/>
      <c r="E313" s="1"/>
      <c r="F313" s="1"/>
      <c r="G313" s="1"/>
      <c r="H313" s="1"/>
      <c r="I313" s="1"/>
      <c r="J313" s="1"/>
      <c r="K313" s="1"/>
      <c r="L313" s="1"/>
      <c r="M313" s="1"/>
      <c r="N313" s="1"/>
      <c r="O313" s="1"/>
    </row>
    <row r="314" spans="1:15" ht="15.75" customHeight="1">
      <c r="A314" s="1"/>
      <c r="B314" s="1"/>
      <c r="C314" s="3"/>
      <c r="D314" s="1"/>
      <c r="E314" s="1"/>
      <c r="F314" s="1"/>
      <c r="G314" s="1"/>
      <c r="H314" s="1"/>
      <c r="I314" s="1"/>
      <c r="J314" s="1"/>
      <c r="K314" s="1"/>
      <c r="L314" s="1"/>
      <c r="M314" s="1"/>
      <c r="N314" s="1"/>
      <c r="O314" s="1"/>
    </row>
    <row r="315" spans="1:15" ht="15.75" customHeight="1">
      <c r="A315" s="1"/>
      <c r="B315" s="1"/>
      <c r="C315" s="3"/>
      <c r="D315" s="1"/>
      <c r="E315" s="1"/>
      <c r="F315" s="1"/>
      <c r="G315" s="1"/>
      <c r="H315" s="1"/>
      <c r="I315" s="1"/>
      <c r="J315" s="1"/>
      <c r="K315" s="1"/>
      <c r="L315" s="1"/>
      <c r="M315" s="1"/>
      <c r="N315" s="1"/>
      <c r="O315" s="1"/>
    </row>
    <row r="316" spans="1:15" ht="15.75" customHeight="1">
      <c r="A316" s="1"/>
      <c r="B316" s="1"/>
      <c r="C316" s="3"/>
      <c r="D316" s="1"/>
      <c r="E316" s="1"/>
      <c r="F316" s="1"/>
      <c r="G316" s="1"/>
      <c r="H316" s="1"/>
      <c r="I316" s="1"/>
      <c r="J316" s="1"/>
      <c r="K316" s="1"/>
      <c r="L316" s="1"/>
      <c r="M316" s="1"/>
      <c r="N316" s="1"/>
      <c r="O316" s="1"/>
    </row>
    <row r="317" spans="1:15" ht="15.75" customHeight="1">
      <c r="A317" s="1"/>
      <c r="B317" s="1"/>
      <c r="C317" s="3"/>
      <c r="D317" s="1"/>
      <c r="E317" s="1"/>
      <c r="F317" s="1"/>
      <c r="G317" s="1"/>
      <c r="H317" s="1"/>
      <c r="I317" s="1"/>
      <c r="J317" s="1"/>
      <c r="K317" s="1"/>
      <c r="L317" s="1"/>
      <c r="M317" s="1"/>
      <c r="N317" s="1"/>
      <c r="O317" s="1"/>
    </row>
    <row r="318" spans="1:15" ht="15.75" customHeight="1">
      <c r="A318" s="1"/>
      <c r="B318" s="1"/>
      <c r="C318" s="3"/>
      <c r="D318" s="1"/>
      <c r="E318" s="1"/>
      <c r="F318" s="1"/>
      <c r="G318" s="1"/>
      <c r="H318" s="1"/>
      <c r="I318" s="1"/>
      <c r="J318" s="1"/>
      <c r="K318" s="1"/>
      <c r="L318" s="1"/>
      <c r="M318" s="1"/>
      <c r="N318" s="1"/>
      <c r="O318" s="1"/>
    </row>
    <row r="319" spans="1:15" ht="15.75" customHeight="1">
      <c r="A319" s="1"/>
      <c r="B319" s="1"/>
      <c r="C319" s="3"/>
      <c r="D319" s="1"/>
      <c r="E319" s="1"/>
      <c r="F319" s="1"/>
      <c r="G319" s="1"/>
      <c r="H319" s="1"/>
      <c r="I319" s="1"/>
      <c r="J319" s="1"/>
      <c r="K319" s="1"/>
      <c r="L319" s="1"/>
      <c r="M319" s="1"/>
      <c r="N319" s="1"/>
      <c r="O319" s="1"/>
    </row>
    <row r="320" spans="1:15" ht="15.75" customHeight="1">
      <c r="A320" s="1"/>
      <c r="B320" s="1"/>
      <c r="C320" s="3"/>
      <c r="D320" s="1"/>
      <c r="E320" s="1"/>
      <c r="F320" s="1"/>
      <c r="G320" s="1"/>
      <c r="H320" s="1"/>
      <c r="I320" s="1"/>
      <c r="J320" s="1"/>
      <c r="K320" s="1"/>
      <c r="L320" s="1"/>
      <c r="M320" s="1"/>
      <c r="N320" s="1"/>
      <c r="O320" s="1"/>
    </row>
    <row r="321" spans="1:15" ht="15.75" customHeight="1">
      <c r="A321" s="1"/>
      <c r="B321" s="1"/>
      <c r="C321" s="3"/>
      <c r="D321" s="1"/>
      <c r="E321" s="1"/>
      <c r="F321" s="1"/>
      <c r="G321" s="1"/>
      <c r="H321" s="1"/>
      <c r="I321" s="1"/>
      <c r="J321" s="1"/>
      <c r="K321" s="1"/>
      <c r="L321" s="1"/>
      <c r="M321" s="1"/>
      <c r="N321" s="1"/>
      <c r="O321" s="1"/>
    </row>
    <row r="322" spans="1:15" ht="15.75" customHeight="1">
      <c r="A322" s="1"/>
      <c r="B322" s="1"/>
      <c r="C322" s="3"/>
      <c r="D322" s="1"/>
      <c r="E322" s="1"/>
      <c r="F322" s="1"/>
      <c r="G322" s="1"/>
      <c r="H322" s="1"/>
      <c r="I322" s="1"/>
      <c r="J322" s="1"/>
      <c r="K322" s="1"/>
      <c r="L322" s="1"/>
      <c r="M322" s="1"/>
      <c r="N322" s="1"/>
      <c r="O322" s="1"/>
    </row>
    <row r="323" spans="1:15" ht="15.75" customHeight="1">
      <c r="A323" s="1"/>
      <c r="B323" s="1"/>
      <c r="C323" s="3"/>
      <c r="D323" s="1"/>
      <c r="E323" s="1"/>
      <c r="F323" s="1"/>
      <c r="G323" s="1"/>
      <c r="H323" s="1"/>
      <c r="I323" s="1"/>
      <c r="J323" s="1"/>
      <c r="K323" s="1"/>
      <c r="L323" s="1"/>
      <c r="M323" s="1"/>
      <c r="N323" s="1"/>
      <c r="O323" s="1"/>
    </row>
    <row r="324" spans="1:15" ht="15.75" customHeight="1">
      <c r="A324" s="1"/>
      <c r="B324" s="1"/>
      <c r="C324" s="3"/>
      <c r="D324" s="1"/>
      <c r="E324" s="1"/>
      <c r="F324" s="1"/>
      <c r="G324" s="1"/>
      <c r="H324" s="1"/>
      <c r="I324" s="1"/>
      <c r="J324" s="1"/>
      <c r="K324" s="1"/>
      <c r="L324" s="1"/>
      <c r="M324" s="1"/>
      <c r="N324" s="1"/>
      <c r="O324" s="1"/>
    </row>
    <row r="325" spans="1:15" ht="15.75" customHeight="1">
      <c r="A325" s="1"/>
      <c r="B325" s="1"/>
      <c r="C325" s="3"/>
      <c r="D325" s="1"/>
      <c r="E325" s="1"/>
      <c r="F325" s="1"/>
      <c r="G325" s="1"/>
      <c r="H325" s="1"/>
      <c r="I325" s="1"/>
      <c r="J325" s="1"/>
      <c r="K325" s="1"/>
      <c r="L325" s="1"/>
      <c r="M325" s="1"/>
      <c r="N325" s="1"/>
      <c r="O325" s="1"/>
    </row>
    <row r="326" spans="1:15" ht="15.75" customHeight="1">
      <c r="A326" s="1"/>
      <c r="B326" s="1"/>
      <c r="C326" s="3"/>
      <c r="D326" s="1"/>
      <c r="E326" s="1"/>
      <c r="F326" s="1"/>
      <c r="G326" s="1"/>
      <c r="H326" s="1"/>
      <c r="I326" s="1"/>
      <c r="J326" s="1"/>
      <c r="K326" s="1"/>
      <c r="L326" s="1"/>
      <c r="M326" s="1"/>
      <c r="N326" s="1"/>
      <c r="O326" s="1"/>
    </row>
    <row r="327" spans="1:15" ht="15.75" customHeight="1">
      <c r="A327" s="1"/>
      <c r="B327" s="1"/>
      <c r="C327" s="3"/>
      <c r="D327" s="1"/>
      <c r="E327" s="1"/>
      <c r="F327" s="1"/>
      <c r="G327" s="1"/>
      <c r="H327" s="1"/>
      <c r="I327" s="1"/>
      <c r="J327" s="1"/>
      <c r="K327" s="1"/>
      <c r="L327" s="1"/>
      <c r="M327" s="1"/>
      <c r="N327" s="1"/>
      <c r="O327" s="1"/>
    </row>
    <row r="328" spans="1:15" ht="15.75" customHeight="1">
      <c r="A328" s="1"/>
      <c r="B328" s="1"/>
      <c r="C328" s="3"/>
      <c r="D328" s="1"/>
      <c r="E328" s="1"/>
      <c r="F328" s="1"/>
      <c r="G328" s="1"/>
      <c r="H328" s="1"/>
      <c r="I328" s="1"/>
      <c r="J328" s="1"/>
      <c r="K328" s="1"/>
      <c r="L328" s="1"/>
      <c r="M328" s="1"/>
      <c r="N328" s="1"/>
      <c r="O328" s="1"/>
    </row>
    <row r="329" spans="1:15" ht="15.75" customHeight="1">
      <c r="A329" s="1"/>
      <c r="B329" s="1"/>
      <c r="C329" s="3"/>
      <c r="D329" s="1"/>
      <c r="E329" s="1"/>
      <c r="F329" s="1"/>
      <c r="G329" s="1"/>
      <c r="H329" s="1"/>
      <c r="I329" s="1"/>
      <c r="J329" s="1"/>
      <c r="K329" s="1"/>
      <c r="L329" s="1"/>
      <c r="M329" s="1"/>
      <c r="N329" s="1"/>
      <c r="O329" s="1"/>
    </row>
    <row r="330" spans="1:15" ht="15.75" customHeight="1">
      <c r="A330" s="1"/>
      <c r="B330" s="1"/>
      <c r="C330" s="3"/>
      <c r="D330" s="1"/>
      <c r="E330" s="1"/>
      <c r="F330" s="1"/>
      <c r="G330" s="1"/>
      <c r="H330" s="1"/>
      <c r="I330" s="1"/>
      <c r="J330" s="1"/>
      <c r="K330" s="1"/>
      <c r="L330" s="1"/>
      <c r="M330" s="1"/>
      <c r="N330" s="1"/>
      <c r="O330" s="1"/>
    </row>
    <row r="331" spans="1:15" ht="15.75" customHeight="1">
      <c r="A331" s="1"/>
      <c r="B331" s="1"/>
      <c r="C331" s="3"/>
      <c r="D331" s="1"/>
      <c r="E331" s="1"/>
      <c r="F331" s="1"/>
      <c r="G331" s="1"/>
      <c r="H331" s="1"/>
      <c r="I331" s="1"/>
      <c r="J331" s="1"/>
      <c r="K331" s="1"/>
      <c r="L331" s="1"/>
      <c r="M331" s="1"/>
      <c r="N331" s="1"/>
      <c r="O331" s="1"/>
    </row>
    <row r="332" spans="1:15" ht="15.75" customHeight="1">
      <c r="A332" s="1"/>
      <c r="B332" s="1"/>
      <c r="C332" s="3"/>
      <c r="D332" s="1"/>
      <c r="E332" s="1"/>
      <c r="F332" s="1"/>
      <c r="G332" s="1"/>
      <c r="H332" s="1"/>
      <c r="I332" s="1"/>
      <c r="J332" s="1"/>
      <c r="K332" s="1"/>
      <c r="L332" s="1"/>
      <c r="M332" s="1"/>
      <c r="N332" s="1"/>
      <c r="O332" s="1"/>
    </row>
    <row r="333" spans="1:15" ht="15.75" customHeight="1">
      <c r="A333" s="1"/>
      <c r="B333" s="1"/>
      <c r="C333" s="3"/>
      <c r="D333" s="1"/>
      <c r="E333" s="1"/>
      <c r="F333" s="1"/>
      <c r="G333" s="1"/>
      <c r="H333" s="1"/>
      <c r="I333" s="1"/>
      <c r="J333" s="1"/>
      <c r="K333" s="1"/>
      <c r="L333" s="1"/>
      <c r="M333" s="1"/>
      <c r="N333" s="1"/>
      <c r="O333" s="1"/>
    </row>
    <row r="334" spans="1:15" ht="15.75" customHeight="1">
      <c r="A334" s="1"/>
      <c r="B334" s="1"/>
      <c r="C334" s="3"/>
      <c r="D334" s="1"/>
      <c r="E334" s="1"/>
      <c r="F334" s="1"/>
      <c r="G334" s="1"/>
      <c r="H334" s="1"/>
      <c r="I334" s="1"/>
      <c r="J334" s="1"/>
      <c r="K334" s="1"/>
      <c r="L334" s="1"/>
      <c r="M334" s="1"/>
      <c r="N334" s="1"/>
      <c r="O334" s="1"/>
    </row>
    <row r="335" spans="1:15" ht="15.75" customHeight="1">
      <c r="A335" s="1"/>
      <c r="B335" s="1"/>
      <c r="C335" s="3"/>
      <c r="D335" s="1"/>
      <c r="E335" s="1"/>
      <c r="F335" s="1"/>
      <c r="G335" s="1"/>
      <c r="H335" s="1"/>
      <c r="I335" s="1"/>
      <c r="J335" s="1"/>
      <c r="K335" s="1"/>
      <c r="L335" s="1"/>
      <c r="M335" s="1"/>
      <c r="N335" s="1"/>
      <c r="O335" s="1"/>
    </row>
    <row r="336" spans="1:15" ht="15.75" customHeight="1">
      <c r="A336" s="1"/>
      <c r="B336" s="1"/>
      <c r="C336" s="3"/>
      <c r="D336" s="1"/>
      <c r="E336" s="1"/>
      <c r="F336" s="1"/>
      <c r="G336" s="1"/>
      <c r="H336" s="1"/>
      <c r="I336" s="1"/>
      <c r="J336" s="1"/>
      <c r="K336" s="1"/>
      <c r="L336" s="1"/>
      <c r="M336" s="1"/>
      <c r="N336" s="1"/>
      <c r="O336" s="1"/>
    </row>
    <row r="337" spans="1:15" ht="15.75" customHeight="1">
      <c r="A337" s="1"/>
      <c r="B337" s="1"/>
      <c r="C337" s="3"/>
      <c r="D337" s="1"/>
      <c r="E337" s="1"/>
      <c r="F337" s="1"/>
      <c r="G337" s="1"/>
      <c r="H337" s="1"/>
      <c r="I337" s="1"/>
      <c r="J337" s="1"/>
      <c r="K337" s="1"/>
      <c r="L337" s="1"/>
      <c r="M337" s="1"/>
      <c r="N337" s="1"/>
      <c r="O337" s="1"/>
    </row>
    <row r="338" spans="1:15" ht="15.75" customHeight="1">
      <c r="A338" s="1"/>
      <c r="B338" s="1"/>
      <c r="C338" s="3"/>
      <c r="D338" s="1"/>
      <c r="E338" s="1"/>
      <c r="F338" s="1"/>
      <c r="G338" s="1"/>
      <c r="H338" s="1"/>
      <c r="I338" s="1"/>
      <c r="J338" s="1"/>
      <c r="K338" s="1"/>
      <c r="L338" s="1"/>
      <c r="M338" s="1"/>
      <c r="N338" s="1"/>
      <c r="O338" s="1"/>
    </row>
    <row r="339" spans="1:15" ht="15.75" customHeight="1">
      <c r="A339" s="1"/>
      <c r="B339" s="1"/>
      <c r="C339" s="3"/>
      <c r="D339" s="1"/>
      <c r="E339" s="1"/>
      <c r="F339" s="1"/>
      <c r="G339" s="1"/>
      <c r="H339" s="1"/>
      <c r="I339" s="1"/>
      <c r="J339" s="1"/>
      <c r="K339" s="1"/>
      <c r="L339" s="1"/>
      <c r="M339" s="1"/>
      <c r="N339" s="1"/>
      <c r="O339" s="1"/>
    </row>
    <row r="340" spans="1:15" ht="15.75" customHeight="1">
      <c r="A340" s="1"/>
      <c r="B340" s="1"/>
      <c r="C340" s="3"/>
      <c r="D340" s="1"/>
      <c r="E340" s="1"/>
      <c r="F340" s="1"/>
      <c r="G340" s="1"/>
      <c r="H340" s="1"/>
      <c r="I340" s="1"/>
      <c r="J340" s="1"/>
      <c r="K340" s="1"/>
      <c r="L340" s="1"/>
      <c r="M340" s="1"/>
      <c r="N340" s="1"/>
      <c r="O340" s="1"/>
    </row>
    <row r="341" spans="1:15" ht="15.75" customHeight="1">
      <c r="A341" s="1"/>
      <c r="B341" s="1"/>
      <c r="C341" s="3"/>
      <c r="D341" s="1"/>
      <c r="E341" s="1"/>
      <c r="F341" s="1"/>
      <c r="G341" s="1"/>
      <c r="H341" s="1"/>
      <c r="I341" s="1"/>
      <c r="J341" s="1"/>
      <c r="K341" s="1"/>
      <c r="L341" s="1"/>
      <c r="M341" s="1"/>
      <c r="N341" s="1"/>
      <c r="O341" s="1"/>
    </row>
    <row r="342" spans="1:15" ht="15.75" customHeight="1">
      <c r="A342" s="1"/>
      <c r="B342" s="1"/>
      <c r="C342" s="3"/>
      <c r="D342" s="1"/>
      <c r="E342" s="1"/>
      <c r="F342" s="1"/>
      <c r="G342" s="1"/>
      <c r="H342" s="1"/>
      <c r="I342" s="1"/>
      <c r="J342" s="1"/>
      <c r="K342" s="1"/>
      <c r="L342" s="1"/>
      <c r="M342" s="1"/>
      <c r="N342" s="1"/>
      <c r="O342" s="1"/>
    </row>
    <row r="343" spans="1:15" ht="15.75" customHeight="1">
      <c r="A343" s="1"/>
      <c r="B343" s="1"/>
      <c r="C343" s="3"/>
      <c r="D343" s="1"/>
      <c r="E343" s="1"/>
      <c r="F343" s="1"/>
      <c r="G343" s="1"/>
      <c r="H343" s="1"/>
      <c r="I343" s="1"/>
      <c r="J343" s="1"/>
      <c r="K343" s="1"/>
      <c r="L343" s="1"/>
      <c r="M343" s="1"/>
      <c r="N343" s="1"/>
      <c r="O343" s="1"/>
    </row>
    <row r="344" spans="1:15" ht="15.75" customHeight="1">
      <c r="A344" s="1"/>
      <c r="B344" s="1"/>
      <c r="C344" s="3"/>
      <c r="D344" s="1"/>
      <c r="E344" s="1"/>
      <c r="F344" s="1"/>
      <c r="G344" s="1"/>
      <c r="H344" s="1"/>
      <c r="I344" s="1"/>
      <c r="J344" s="1"/>
      <c r="K344" s="1"/>
      <c r="L344" s="1"/>
      <c r="M344" s="1"/>
      <c r="N344" s="1"/>
      <c r="O344" s="1"/>
    </row>
    <row r="345" spans="1:15" ht="15.75" customHeight="1">
      <c r="A345" s="1"/>
      <c r="B345" s="1"/>
      <c r="C345" s="3"/>
      <c r="D345" s="1"/>
      <c r="E345" s="1"/>
      <c r="F345" s="1"/>
      <c r="G345" s="1"/>
      <c r="H345" s="1"/>
      <c r="I345" s="1"/>
      <c r="J345" s="1"/>
      <c r="K345" s="1"/>
      <c r="L345" s="1"/>
      <c r="M345" s="1"/>
      <c r="N345" s="1"/>
      <c r="O345" s="1"/>
    </row>
    <row r="346" spans="1:15" ht="15.75" customHeight="1">
      <c r="A346" s="1"/>
      <c r="B346" s="1"/>
      <c r="C346" s="3"/>
      <c r="D346" s="1"/>
      <c r="E346" s="1"/>
      <c r="F346" s="1"/>
      <c r="G346" s="1"/>
      <c r="H346" s="1"/>
      <c r="I346" s="1"/>
      <c r="J346" s="1"/>
      <c r="K346" s="1"/>
      <c r="L346" s="1"/>
      <c r="M346" s="1"/>
      <c r="N346" s="1"/>
      <c r="O346" s="1"/>
    </row>
    <row r="347" spans="1:15" ht="15.75" customHeight="1">
      <c r="A347" s="1"/>
      <c r="B347" s="1"/>
      <c r="C347" s="3"/>
      <c r="D347" s="1"/>
      <c r="E347" s="1"/>
      <c r="F347" s="1"/>
      <c r="G347" s="1"/>
      <c r="H347" s="1"/>
      <c r="I347" s="1"/>
      <c r="J347" s="1"/>
      <c r="K347" s="1"/>
      <c r="L347" s="1"/>
      <c r="M347" s="1"/>
      <c r="N347" s="1"/>
      <c r="O347" s="1"/>
    </row>
    <row r="348" spans="1:15" ht="15.75" customHeight="1">
      <c r="A348" s="1"/>
      <c r="B348" s="1"/>
      <c r="C348" s="3"/>
      <c r="D348" s="1"/>
      <c r="E348" s="1"/>
      <c r="F348" s="1"/>
      <c r="G348" s="1"/>
      <c r="H348" s="1"/>
      <c r="I348" s="1"/>
      <c r="J348" s="1"/>
      <c r="K348" s="1"/>
      <c r="L348" s="1"/>
      <c r="M348" s="1"/>
      <c r="N348" s="1"/>
      <c r="O348" s="1"/>
    </row>
    <row r="349" spans="1:15" ht="15.75" customHeight="1">
      <c r="A349" s="1"/>
      <c r="B349" s="1"/>
      <c r="C349" s="3"/>
      <c r="D349" s="1"/>
      <c r="E349" s="1"/>
      <c r="F349" s="1"/>
      <c r="G349" s="1"/>
      <c r="H349" s="1"/>
      <c r="I349" s="1"/>
      <c r="J349" s="1"/>
      <c r="K349" s="1"/>
      <c r="L349" s="1"/>
      <c r="M349" s="1"/>
      <c r="N349" s="1"/>
      <c r="O349" s="1"/>
    </row>
    <row r="350" spans="1:15" ht="15.75" customHeight="1">
      <c r="A350" s="1"/>
      <c r="B350" s="1"/>
      <c r="C350" s="3"/>
      <c r="D350" s="1"/>
      <c r="E350" s="1"/>
      <c r="F350" s="1"/>
      <c r="G350" s="1"/>
      <c r="H350" s="1"/>
      <c r="I350" s="1"/>
      <c r="J350" s="1"/>
      <c r="K350" s="1"/>
      <c r="L350" s="1"/>
      <c r="M350" s="1"/>
      <c r="N350" s="1"/>
      <c r="O350" s="1"/>
    </row>
    <row r="351" spans="1:15" ht="15.75" customHeight="1">
      <c r="A351" s="1"/>
      <c r="B351" s="1"/>
      <c r="C351" s="3"/>
      <c r="D351" s="1"/>
      <c r="E351" s="1"/>
      <c r="F351" s="1"/>
      <c r="G351" s="1"/>
      <c r="H351" s="1"/>
      <c r="I351" s="1"/>
      <c r="J351" s="1"/>
      <c r="K351" s="1"/>
      <c r="L351" s="1"/>
      <c r="M351" s="1"/>
      <c r="N351" s="1"/>
      <c r="O351" s="1"/>
    </row>
    <row r="352" spans="1:15" ht="15.75" customHeight="1">
      <c r="A352" s="1"/>
      <c r="B352" s="1"/>
      <c r="C352" s="3"/>
      <c r="D352" s="1"/>
      <c r="E352" s="1"/>
      <c r="F352" s="1"/>
      <c r="G352" s="1"/>
      <c r="H352" s="1"/>
      <c r="I352" s="1"/>
      <c r="J352" s="1"/>
      <c r="K352" s="1"/>
      <c r="L352" s="1"/>
      <c r="M352" s="1"/>
      <c r="N352" s="1"/>
      <c r="O352" s="1"/>
    </row>
    <row r="353" spans="1:15" ht="15.75" customHeight="1">
      <c r="A353" s="1"/>
      <c r="B353" s="1"/>
      <c r="C353" s="3"/>
      <c r="D353" s="1"/>
      <c r="E353" s="1"/>
      <c r="F353" s="1"/>
      <c r="G353" s="1"/>
      <c r="H353" s="1"/>
      <c r="I353" s="1"/>
      <c r="J353" s="1"/>
      <c r="K353" s="1"/>
      <c r="L353" s="1"/>
      <c r="M353" s="1"/>
      <c r="N353" s="1"/>
      <c r="O353" s="1"/>
    </row>
    <row r="354" spans="1:15" ht="15.75" customHeight="1">
      <c r="A354" s="1"/>
      <c r="B354" s="1"/>
      <c r="C354" s="3"/>
      <c r="D354" s="1"/>
      <c r="E354" s="1"/>
      <c r="F354" s="1"/>
      <c r="G354" s="1"/>
      <c r="H354" s="1"/>
      <c r="I354" s="1"/>
      <c r="J354" s="1"/>
      <c r="K354" s="1"/>
      <c r="L354" s="1"/>
      <c r="M354" s="1"/>
      <c r="N354" s="1"/>
      <c r="O354" s="1"/>
    </row>
    <row r="355" spans="1:15" ht="15.75" customHeight="1">
      <c r="A355" s="1"/>
      <c r="B355" s="1"/>
      <c r="C355" s="3"/>
      <c r="D355" s="1"/>
      <c r="E355" s="1"/>
      <c r="F355" s="1"/>
      <c r="G355" s="1"/>
      <c r="H355" s="1"/>
      <c r="I355" s="1"/>
      <c r="J355" s="1"/>
      <c r="K355" s="1"/>
      <c r="L355" s="1"/>
      <c r="M355" s="1"/>
      <c r="N355" s="1"/>
      <c r="O355" s="1"/>
    </row>
    <row r="356" spans="1:15" ht="15.75" customHeight="1">
      <c r="A356" s="1"/>
      <c r="B356" s="1"/>
      <c r="C356" s="3"/>
      <c r="D356" s="1"/>
      <c r="E356" s="1"/>
      <c r="F356" s="1"/>
      <c r="G356" s="1"/>
      <c r="H356" s="1"/>
      <c r="I356" s="1"/>
      <c r="J356" s="1"/>
      <c r="K356" s="1"/>
      <c r="L356" s="1"/>
      <c r="M356" s="1"/>
      <c r="N356" s="1"/>
      <c r="O356" s="1"/>
    </row>
    <row r="357" spans="1:15" ht="15.75" customHeight="1">
      <c r="A357" s="1"/>
      <c r="B357" s="1"/>
      <c r="C357" s="3"/>
      <c r="D357" s="1"/>
      <c r="E357" s="1"/>
      <c r="F357" s="1"/>
      <c r="G357" s="1"/>
      <c r="H357" s="1"/>
      <c r="I357" s="1"/>
      <c r="J357" s="1"/>
      <c r="K357" s="1"/>
      <c r="L357" s="1"/>
      <c r="M357" s="1"/>
      <c r="N357" s="1"/>
      <c r="O357" s="1"/>
    </row>
    <row r="358" spans="1:15" ht="15.75" customHeight="1">
      <c r="A358" s="1"/>
      <c r="B358" s="1"/>
      <c r="C358" s="3"/>
      <c r="D358" s="1"/>
      <c r="E358" s="1"/>
      <c r="F358" s="1"/>
      <c r="G358" s="1"/>
      <c r="H358" s="1"/>
      <c r="I358" s="1"/>
      <c r="J358" s="1"/>
      <c r="K358" s="1"/>
      <c r="L358" s="1"/>
      <c r="M358" s="1"/>
      <c r="N358" s="1"/>
      <c r="O358" s="1"/>
    </row>
    <row r="359" spans="1:15" ht="15.75" customHeight="1">
      <c r="A359" s="1"/>
      <c r="B359" s="1"/>
      <c r="C359" s="3"/>
      <c r="D359" s="1"/>
      <c r="E359" s="1"/>
      <c r="F359" s="1"/>
      <c r="G359" s="1"/>
      <c r="H359" s="1"/>
      <c r="I359" s="1"/>
      <c r="J359" s="1"/>
      <c r="K359" s="1"/>
      <c r="L359" s="1"/>
      <c r="M359" s="1"/>
      <c r="N359" s="1"/>
      <c r="O359" s="1"/>
    </row>
    <row r="360" spans="1:15" ht="15.75" customHeight="1">
      <c r="A360" s="1"/>
      <c r="B360" s="1"/>
      <c r="C360" s="3"/>
      <c r="D360" s="1"/>
      <c r="E360" s="1"/>
      <c r="F360" s="1"/>
      <c r="G360" s="1"/>
      <c r="H360" s="1"/>
      <c r="I360" s="1"/>
      <c r="J360" s="1"/>
      <c r="K360" s="1"/>
      <c r="L360" s="1"/>
      <c r="M360" s="1"/>
      <c r="N360" s="1"/>
      <c r="O360" s="1"/>
    </row>
    <row r="361" spans="1:15" ht="15.75" customHeight="1">
      <c r="A361" s="1"/>
      <c r="B361" s="1"/>
      <c r="C361" s="3"/>
      <c r="D361" s="1"/>
      <c r="E361" s="1"/>
      <c r="F361" s="1"/>
      <c r="G361" s="1"/>
      <c r="H361" s="1"/>
      <c r="I361" s="1"/>
      <c r="J361" s="1"/>
      <c r="K361" s="1"/>
      <c r="L361" s="1"/>
      <c r="M361" s="1"/>
      <c r="N361" s="1"/>
      <c r="O361" s="1"/>
    </row>
    <row r="362" spans="1:15" ht="15.75" customHeight="1">
      <c r="A362" s="1"/>
      <c r="B362" s="1"/>
      <c r="C362" s="3"/>
      <c r="D362" s="1"/>
      <c r="E362" s="1"/>
      <c r="F362" s="1"/>
      <c r="G362" s="1"/>
      <c r="H362" s="1"/>
      <c r="I362" s="1"/>
      <c r="J362" s="1"/>
      <c r="K362" s="1"/>
      <c r="L362" s="1"/>
      <c r="M362" s="1"/>
      <c r="N362" s="1"/>
      <c r="O362" s="1"/>
    </row>
    <row r="363" spans="1:15" ht="15.75" customHeight="1">
      <c r="A363" s="1"/>
      <c r="B363" s="1"/>
      <c r="C363" s="3"/>
      <c r="D363" s="1"/>
      <c r="E363" s="1"/>
      <c r="F363" s="1"/>
      <c r="G363" s="1"/>
      <c r="H363" s="1"/>
      <c r="I363" s="1"/>
      <c r="J363" s="1"/>
      <c r="K363" s="1"/>
      <c r="L363" s="1"/>
      <c r="M363" s="1"/>
      <c r="N363" s="1"/>
      <c r="O363" s="1"/>
    </row>
    <row r="364" spans="1:15" ht="15.75" customHeight="1">
      <c r="A364" s="1"/>
      <c r="B364" s="1"/>
      <c r="C364" s="3"/>
      <c r="D364" s="1"/>
      <c r="E364" s="1"/>
      <c r="F364" s="1"/>
      <c r="G364" s="1"/>
      <c r="H364" s="1"/>
      <c r="I364" s="1"/>
      <c r="J364" s="1"/>
      <c r="K364" s="1"/>
      <c r="L364" s="1"/>
      <c r="M364" s="1"/>
      <c r="N364" s="1"/>
      <c r="O364" s="1"/>
    </row>
    <row r="365" spans="1:15" ht="15.75" customHeight="1">
      <c r="A365" s="1"/>
      <c r="B365" s="1"/>
      <c r="C365" s="3"/>
      <c r="D365" s="1"/>
      <c r="E365" s="1"/>
      <c r="F365" s="1"/>
      <c r="G365" s="1"/>
      <c r="H365" s="1"/>
      <c r="I365" s="1"/>
      <c r="J365" s="1"/>
      <c r="K365" s="1"/>
      <c r="L365" s="1"/>
      <c r="M365" s="1"/>
      <c r="N365" s="1"/>
      <c r="O365" s="1"/>
    </row>
    <row r="366" spans="1:15" ht="15.75" customHeight="1">
      <c r="A366" s="1"/>
      <c r="B366" s="1"/>
      <c r="C366" s="3"/>
      <c r="D366" s="1"/>
      <c r="E366" s="1"/>
      <c r="F366" s="1"/>
      <c r="G366" s="1"/>
      <c r="H366" s="1"/>
      <c r="I366" s="1"/>
      <c r="J366" s="1"/>
      <c r="K366" s="1"/>
      <c r="L366" s="1"/>
      <c r="M366" s="1"/>
      <c r="N366" s="1"/>
      <c r="O366" s="1"/>
    </row>
    <row r="367" spans="1:15" ht="15.75" customHeight="1">
      <c r="A367" s="1"/>
      <c r="B367" s="1"/>
      <c r="C367" s="3"/>
      <c r="D367" s="1"/>
      <c r="E367" s="1"/>
      <c r="F367" s="1"/>
      <c r="G367" s="1"/>
      <c r="H367" s="1"/>
      <c r="I367" s="1"/>
      <c r="J367" s="1"/>
      <c r="K367" s="1"/>
      <c r="L367" s="1"/>
      <c r="M367" s="1"/>
      <c r="N367" s="1"/>
      <c r="O367" s="1"/>
    </row>
    <row r="368" spans="1:15" ht="15.75" customHeight="1">
      <c r="A368" s="1"/>
      <c r="B368" s="1"/>
      <c r="C368" s="3"/>
      <c r="D368" s="1"/>
      <c r="E368" s="1"/>
      <c r="F368" s="1"/>
      <c r="G368" s="1"/>
      <c r="H368" s="1"/>
      <c r="I368" s="1"/>
      <c r="J368" s="1"/>
      <c r="K368" s="1"/>
      <c r="L368" s="1"/>
      <c r="M368" s="1"/>
      <c r="N368" s="1"/>
      <c r="O368" s="1"/>
    </row>
    <row r="369" spans="1:15" ht="15.75" customHeight="1">
      <c r="A369" s="1"/>
      <c r="B369" s="1"/>
      <c r="C369" s="3"/>
      <c r="D369" s="1"/>
      <c r="E369" s="1"/>
      <c r="F369" s="1"/>
      <c r="G369" s="1"/>
      <c r="H369" s="1"/>
      <c r="I369" s="1"/>
      <c r="J369" s="1"/>
      <c r="K369" s="1"/>
      <c r="L369" s="1"/>
      <c r="M369" s="1"/>
      <c r="N369" s="1"/>
      <c r="O369" s="1"/>
    </row>
    <row r="370" spans="1:15" ht="15.75" customHeight="1">
      <c r="A370" s="1"/>
      <c r="B370" s="1"/>
      <c r="C370" s="3"/>
      <c r="D370" s="1"/>
      <c r="E370" s="1"/>
      <c r="F370" s="1"/>
      <c r="G370" s="1"/>
      <c r="H370" s="1"/>
      <c r="I370" s="1"/>
      <c r="J370" s="1"/>
      <c r="K370" s="1"/>
      <c r="L370" s="1"/>
      <c r="M370" s="1"/>
      <c r="N370" s="1"/>
      <c r="O370" s="1"/>
    </row>
    <row r="371" spans="1:15" ht="15.75" customHeight="1">
      <c r="A371" s="1"/>
      <c r="B371" s="1"/>
      <c r="C371" s="3"/>
      <c r="D371" s="1"/>
      <c r="E371" s="1"/>
      <c r="F371" s="1"/>
      <c r="G371" s="1"/>
      <c r="H371" s="1"/>
      <c r="I371" s="1"/>
      <c r="J371" s="1"/>
      <c r="K371" s="1"/>
      <c r="L371" s="1"/>
      <c r="M371" s="1"/>
      <c r="N371" s="1"/>
      <c r="O371" s="1"/>
    </row>
    <row r="372" spans="1:15" ht="15.75" customHeight="1">
      <c r="A372" s="1"/>
      <c r="B372" s="1"/>
      <c r="C372" s="3"/>
      <c r="D372" s="1"/>
      <c r="E372" s="1"/>
      <c r="F372" s="1"/>
      <c r="G372" s="1"/>
      <c r="H372" s="1"/>
      <c r="I372" s="1"/>
      <c r="J372" s="1"/>
      <c r="K372" s="1"/>
      <c r="L372" s="1"/>
      <c r="M372" s="1"/>
      <c r="N372" s="1"/>
      <c r="O372" s="1"/>
    </row>
    <row r="373" spans="1:15" ht="15.75" customHeight="1">
      <c r="A373" s="1"/>
      <c r="B373" s="1"/>
      <c r="C373" s="3"/>
      <c r="D373" s="1"/>
      <c r="E373" s="1"/>
      <c r="F373" s="1"/>
      <c r="G373" s="1"/>
      <c r="H373" s="1"/>
      <c r="I373" s="1"/>
      <c r="J373" s="1"/>
      <c r="K373" s="1"/>
      <c r="L373" s="1"/>
      <c r="M373" s="1"/>
      <c r="N373" s="1"/>
      <c r="O373" s="1"/>
    </row>
    <row r="374" spans="1:15" ht="15.75" customHeight="1">
      <c r="A374" s="1"/>
      <c r="B374" s="1"/>
      <c r="C374" s="3"/>
      <c r="D374" s="1"/>
      <c r="E374" s="1"/>
      <c r="F374" s="1"/>
      <c r="G374" s="1"/>
      <c r="H374" s="1"/>
      <c r="I374" s="1"/>
      <c r="J374" s="1"/>
      <c r="K374" s="1"/>
      <c r="L374" s="1"/>
      <c r="M374" s="1"/>
      <c r="N374" s="1"/>
      <c r="O374" s="1"/>
    </row>
    <row r="375" spans="1:15" ht="15.75" customHeight="1">
      <c r="A375" s="1"/>
      <c r="B375" s="1"/>
      <c r="C375" s="3"/>
      <c r="D375" s="1"/>
      <c r="E375" s="1"/>
      <c r="F375" s="1"/>
      <c r="G375" s="1"/>
      <c r="H375" s="1"/>
      <c r="I375" s="1"/>
      <c r="J375" s="1"/>
      <c r="K375" s="1"/>
      <c r="L375" s="1"/>
      <c r="M375" s="1"/>
      <c r="N375" s="1"/>
      <c r="O375" s="1"/>
    </row>
    <row r="376" spans="1:15" ht="15.75" customHeight="1">
      <c r="A376" s="1"/>
      <c r="B376" s="1"/>
      <c r="C376" s="3"/>
      <c r="D376" s="1"/>
      <c r="E376" s="1"/>
      <c r="F376" s="1"/>
      <c r="G376" s="1"/>
      <c r="H376" s="1"/>
      <c r="I376" s="1"/>
      <c r="J376" s="1"/>
      <c r="K376" s="1"/>
      <c r="L376" s="1"/>
      <c r="M376" s="1"/>
      <c r="N376" s="1"/>
      <c r="O376" s="1"/>
    </row>
    <row r="377" spans="1:15" ht="15.75" customHeight="1">
      <c r="A377" s="1"/>
      <c r="B377" s="1"/>
      <c r="C377" s="3"/>
      <c r="D377" s="1"/>
      <c r="E377" s="1"/>
      <c r="F377" s="1"/>
      <c r="G377" s="1"/>
      <c r="H377" s="1"/>
      <c r="I377" s="1"/>
      <c r="J377" s="1"/>
      <c r="K377" s="1"/>
      <c r="L377" s="1"/>
      <c r="M377" s="1"/>
      <c r="N377" s="1"/>
      <c r="O377" s="1"/>
    </row>
    <row r="378" spans="1:15" ht="15.75" customHeight="1">
      <c r="A378" s="1"/>
      <c r="B378" s="1"/>
      <c r="C378" s="3"/>
      <c r="D378" s="1"/>
      <c r="E378" s="1"/>
      <c r="F378" s="1"/>
      <c r="G378" s="1"/>
      <c r="H378" s="1"/>
      <c r="I378" s="1"/>
      <c r="J378" s="1"/>
      <c r="K378" s="1"/>
      <c r="L378" s="1"/>
      <c r="M378" s="1"/>
      <c r="N378" s="1"/>
      <c r="O378" s="1"/>
    </row>
    <row r="379" spans="1:15" ht="15.75" customHeight="1">
      <c r="A379" s="1"/>
      <c r="B379" s="1"/>
      <c r="C379" s="3"/>
      <c r="D379" s="1"/>
      <c r="E379" s="1"/>
      <c r="F379" s="1"/>
      <c r="G379" s="1"/>
      <c r="H379" s="1"/>
      <c r="I379" s="1"/>
      <c r="J379" s="1"/>
      <c r="K379" s="1"/>
      <c r="L379" s="1"/>
      <c r="M379" s="1"/>
      <c r="N379" s="1"/>
      <c r="O379" s="1"/>
    </row>
    <row r="380" spans="1:15" ht="15.75" customHeight="1">
      <c r="A380" s="1"/>
      <c r="B380" s="1"/>
      <c r="C380" s="3"/>
      <c r="D380" s="1"/>
      <c r="E380" s="1"/>
      <c r="F380" s="1"/>
      <c r="G380" s="1"/>
      <c r="H380" s="1"/>
      <c r="I380" s="1"/>
      <c r="J380" s="1"/>
      <c r="K380" s="1"/>
      <c r="L380" s="1"/>
      <c r="M380" s="1"/>
      <c r="N380" s="1"/>
      <c r="O380" s="1"/>
    </row>
    <row r="381" spans="1:15" ht="15.75" customHeight="1">
      <c r="A381" s="1"/>
      <c r="B381" s="1"/>
      <c r="C381" s="3"/>
      <c r="D381" s="1"/>
      <c r="E381" s="1"/>
      <c r="F381" s="1"/>
      <c r="G381" s="1"/>
      <c r="H381" s="1"/>
      <c r="I381" s="1"/>
      <c r="J381" s="1"/>
      <c r="K381" s="1"/>
      <c r="L381" s="1"/>
      <c r="M381" s="1"/>
      <c r="N381" s="1"/>
      <c r="O381" s="1"/>
    </row>
    <row r="382" spans="1:15" ht="15.75" customHeight="1">
      <c r="A382" s="1"/>
      <c r="B382" s="1"/>
      <c r="C382" s="3"/>
      <c r="D382" s="1"/>
      <c r="E382" s="1"/>
      <c r="F382" s="1"/>
      <c r="G382" s="1"/>
      <c r="H382" s="1"/>
      <c r="I382" s="1"/>
      <c r="J382" s="1"/>
      <c r="K382" s="1"/>
      <c r="L382" s="1"/>
      <c r="M382" s="1"/>
      <c r="N382" s="1"/>
      <c r="O382" s="1"/>
    </row>
    <row r="383" spans="1:15" ht="15.75" customHeight="1">
      <c r="A383" s="1"/>
      <c r="B383" s="1"/>
      <c r="C383" s="3"/>
      <c r="D383" s="1"/>
      <c r="E383" s="1"/>
      <c r="F383" s="1"/>
      <c r="G383" s="1"/>
      <c r="H383" s="1"/>
      <c r="I383" s="1"/>
      <c r="J383" s="1"/>
      <c r="K383" s="1"/>
      <c r="L383" s="1"/>
      <c r="M383" s="1"/>
      <c r="N383" s="1"/>
      <c r="O383" s="1"/>
    </row>
    <row r="384" spans="1:15" ht="15.75" customHeight="1">
      <c r="A384" s="1"/>
      <c r="B384" s="1"/>
      <c r="C384" s="3"/>
      <c r="D384" s="1"/>
      <c r="E384" s="1"/>
      <c r="F384" s="1"/>
      <c r="G384" s="1"/>
      <c r="H384" s="1"/>
      <c r="I384" s="1"/>
      <c r="J384" s="1"/>
      <c r="K384" s="1"/>
      <c r="L384" s="1"/>
      <c r="M384" s="1"/>
      <c r="N384" s="1"/>
      <c r="O384" s="1"/>
    </row>
    <row r="385" spans="1:15" ht="15.75" customHeight="1">
      <c r="A385" s="1"/>
      <c r="B385" s="1"/>
      <c r="C385" s="3"/>
      <c r="D385" s="1"/>
      <c r="E385" s="1"/>
      <c r="F385" s="1"/>
      <c r="G385" s="1"/>
      <c r="H385" s="1"/>
      <c r="I385" s="1"/>
      <c r="J385" s="1"/>
      <c r="K385" s="1"/>
      <c r="L385" s="1"/>
      <c r="M385" s="1"/>
      <c r="N385" s="1"/>
      <c r="O385" s="1"/>
    </row>
    <row r="386" spans="1:15" ht="15.75" customHeight="1">
      <c r="A386" s="1"/>
      <c r="B386" s="1"/>
      <c r="C386" s="3"/>
      <c r="D386" s="1"/>
      <c r="E386" s="1"/>
      <c r="F386" s="1"/>
      <c r="G386" s="1"/>
      <c r="H386" s="1"/>
      <c r="I386" s="1"/>
      <c r="J386" s="1"/>
      <c r="K386" s="1"/>
      <c r="L386" s="1"/>
      <c r="M386" s="1"/>
      <c r="N386" s="1"/>
      <c r="O386" s="1"/>
    </row>
    <row r="387" spans="1:15" ht="15.75" customHeight="1">
      <c r="A387" s="1"/>
      <c r="B387" s="1"/>
      <c r="C387" s="3"/>
      <c r="D387" s="1"/>
      <c r="E387" s="1"/>
      <c r="F387" s="1"/>
      <c r="G387" s="1"/>
      <c r="H387" s="1"/>
      <c r="I387" s="1"/>
      <c r="J387" s="1"/>
      <c r="K387" s="1"/>
      <c r="L387" s="1"/>
      <c r="M387" s="1"/>
      <c r="N387" s="1"/>
      <c r="O387" s="1"/>
    </row>
    <row r="388" spans="1:15" ht="15.75" customHeight="1">
      <c r="A388" s="1"/>
      <c r="B388" s="1"/>
      <c r="C388" s="3"/>
      <c r="D388" s="1"/>
      <c r="E388" s="1"/>
      <c r="F388" s="1"/>
      <c r="G388" s="1"/>
      <c r="H388" s="1"/>
      <c r="I388" s="1"/>
      <c r="J388" s="1"/>
      <c r="K388" s="1"/>
      <c r="L388" s="1"/>
      <c r="M388" s="1"/>
      <c r="N388" s="1"/>
      <c r="O388" s="1"/>
    </row>
    <row r="389" spans="1:15" ht="15.75" customHeight="1">
      <c r="A389" s="1"/>
      <c r="B389" s="1"/>
      <c r="C389" s="3"/>
      <c r="D389" s="1"/>
      <c r="E389" s="1"/>
      <c r="F389" s="1"/>
      <c r="G389" s="1"/>
      <c r="H389" s="1"/>
      <c r="I389" s="1"/>
      <c r="J389" s="1"/>
      <c r="K389" s="1"/>
      <c r="L389" s="1"/>
      <c r="M389" s="1"/>
      <c r="N389" s="1"/>
      <c r="O389" s="1"/>
    </row>
    <row r="390" spans="1:15" ht="15.75" customHeight="1">
      <c r="A390" s="1"/>
      <c r="B390" s="1"/>
      <c r="C390" s="3"/>
      <c r="D390" s="1"/>
      <c r="E390" s="1"/>
      <c r="F390" s="1"/>
      <c r="G390" s="1"/>
      <c r="H390" s="1"/>
      <c r="I390" s="1"/>
      <c r="J390" s="1"/>
      <c r="K390" s="1"/>
      <c r="L390" s="1"/>
      <c r="M390" s="1"/>
      <c r="N390" s="1"/>
      <c r="O390" s="1"/>
    </row>
    <row r="391" spans="1:15" ht="15.75" customHeight="1">
      <c r="A391" s="1"/>
      <c r="B391" s="1"/>
      <c r="C391" s="3"/>
      <c r="D391" s="1"/>
      <c r="E391" s="1"/>
      <c r="F391" s="1"/>
      <c r="G391" s="1"/>
      <c r="H391" s="1"/>
      <c r="I391" s="1"/>
      <c r="J391" s="1"/>
      <c r="K391" s="1"/>
      <c r="L391" s="1"/>
      <c r="M391" s="1"/>
      <c r="N391" s="1"/>
      <c r="O391" s="1"/>
    </row>
    <row r="392" spans="1:15" ht="15.75" customHeight="1">
      <c r="A392" s="1"/>
      <c r="B392" s="1"/>
      <c r="C392" s="3"/>
      <c r="D392" s="1"/>
      <c r="E392" s="1"/>
      <c r="F392" s="1"/>
      <c r="G392" s="1"/>
      <c r="H392" s="1"/>
      <c r="I392" s="1"/>
      <c r="J392" s="1"/>
      <c r="K392" s="1"/>
      <c r="L392" s="1"/>
      <c r="M392" s="1"/>
      <c r="N392" s="1"/>
      <c r="O392" s="1"/>
    </row>
    <row r="393" spans="1:15" ht="15.75" customHeight="1">
      <c r="A393" s="1"/>
      <c r="B393" s="1"/>
      <c r="C393" s="3"/>
      <c r="D393" s="1"/>
      <c r="E393" s="1"/>
      <c r="F393" s="1"/>
      <c r="G393" s="1"/>
      <c r="H393" s="1"/>
      <c r="I393" s="1"/>
      <c r="J393" s="1"/>
      <c r="K393" s="1"/>
      <c r="L393" s="1"/>
      <c r="M393" s="1"/>
      <c r="N393" s="1"/>
      <c r="O393" s="1"/>
    </row>
    <row r="394" spans="1:15" ht="15.75" customHeight="1">
      <c r="A394" s="1"/>
      <c r="B394" s="1"/>
      <c r="C394" s="3"/>
      <c r="D394" s="1"/>
      <c r="E394" s="1"/>
      <c r="F394" s="1"/>
      <c r="G394" s="1"/>
      <c r="H394" s="1"/>
      <c r="I394" s="1"/>
      <c r="J394" s="1"/>
      <c r="K394" s="1"/>
      <c r="L394" s="1"/>
      <c r="M394" s="1"/>
      <c r="N394" s="1"/>
      <c r="O394" s="1"/>
    </row>
    <row r="395" spans="1:15" ht="15.75" customHeight="1">
      <c r="A395" s="1"/>
      <c r="B395" s="1"/>
      <c r="C395" s="3"/>
      <c r="D395" s="1"/>
      <c r="E395" s="1"/>
      <c r="F395" s="1"/>
      <c r="G395" s="1"/>
      <c r="H395" s="1"/>
      <c r="I395" s="1"/>
      <c r="J395" s="1"/>
      <c r="K395" s="1"/>
      <c r="L395" s="1"/>
      <c r="M395" s="1"/>
      <c r="N395" s="1"/>
      <c r="O395" s="1"/>
    </row>
    <row r="396" spans="1:15" ht="15.75" customHeight="1">
      <c r="A396" s="1"/>
      <c r="B396" s="1"/>
      <c r="C396" s="3"/>
      <c r="D396" s="1"/>
      <c r="E396" s="1"/>
      <c r="F396" s="1"/>
      <c r="G396" s="1"/>
      <c r="H396" s="1"/>
      <c r="I396" s="1"/>
      <c r="J396" s="1"/>
      <c r="K396" s="1"/>
      <c r="L396" s="1"/>
      <c r="M396" s="1"/>
      <c r="N396" s="1"/>
      <c r="O396" s="1"/>
    </row>
    <row r="397" spans="1:15" ht="15.75" customHeight="1">
      <c r="A397" s="1"/>
      <c r="B397" s="1"/>
      <c r="C397" s="3"/>
      <c r="D397" s="1"/>
      <c r="E397" s="1"/>
      <c r="F397" s="1"/>
      <c r="G397" s="1"/>
      <c r="H397" s="1"/>
      <c r="I397" s="1"/>
      <c r="J397" s="1"/>
      <c r="K397" s="1"/>
      <c r="L397" s="1"/>
      <c r="M397" s="1"/>
      <c r="N397" s="1"/>
      <c r="O397" s="1"/>
    </row>
    <row r="398" spans="1:15" ht="15.75" customHeight="1">
      <c r="A398" s="1"/>
      <c r="B398" s="1"/>
      <c r="C398" s="3"/>
      <c r="D398" s="1"/>
      <c r="E398" s="1"/>
      <c r="F398" s="1"/>
      <c r="G398" s="1"/>
      <c r="H398" s="1"/>
      <c r="I398" s="1"/>
      <c r="J398" s="1"/>
      <c r="K398" s="1"/>
      <c r="L398" s="1"/>
      <c r="M398" s="1"/>
      <c r="N398" s="1"/>
      <c r="O398" s="1"/>
    </row>
    <row r="399" spans="1:15" ht="15.75" customHeight="1">
      <c r="A399" s="1"/>
      <c r="B399" s="1"/>
      <c r="C399" s="3"/>
      <c r="D399" s="1"/>
      <c r="E399" s="1"/>
      <c r="F399" s="1"/>
      <c r="G399" s="1"/>
      <c r="H399" s="1"/>
      <c r="I399" s="1"/>
      <c r="J399" s="1"/>
      <c r="K399" s="1"/>
      <c r="L399" s="1"/>
      <c r="M399" s="1"/>
      <c r="N399" s="1"/>
      <c r="O399" s="1"/>
    </row>
    <row r="400" spans="1:15" ht="15.75" customHeight="1">
      <c r="A400" s="1"/>
      <c r="B400" s="1"/>
      <c r="C400" s="3"/>
      <c r="D400" s="1"/>
      <c r="E400" s="1"/>
      <c r="F400" s="1"/>
      <c r="G400" s="1"/>
      <c r="H400" s="1"/>
      <c r="I400" s="1"/>
      <c r="J400" s="1"/>
      <c r="K400" s="1"/>
      <c r="L400" s="1"/>
      <c r="M400" s="1"/>
      <c r="N400" s="1"/>
      <c r="O400" s="1"/>
    </row>
    <row r="401" spans="1:15" ht="15.75" customHeight="1">
      <c r="A401" s="1"/>
      <c r="B401" s="1"/>
      <c r="C401" s="3"/>
      <c r="D401" s="1"/>
      <c r="E401" s="1"/>
      <c r="F401" s="1"/>
      <c r="G401" s="1"/>
      <c r="H401" s="1"/>
      <c r="I401" s="1"/>
      <c r="J401" s="1"/>
      <c r="K401" s="1"/>
      <c r="L401" s="1"/>
      <c r="M401" s="1"/>
      <c r="N401" s="1"/>
      <c r="O401" s="1"/>
    </row>
    <row r="402" spans="1:15" ht="15.75" customHeight="1">
      <c r="A402" s="1"/>
      <c r="B402" s="1"/>
      <c r="C402" s="3"/>
      <c r="D402" s="1"/>
      <c r="E402" s="1"/>
      <c r="F402" s="1"/>
      <c r="G402" s="1"/>
      <c r="H402" s="1"/>
      <c r="I402" s="1"/>
      <c r="J402" s="1"/>
      <c r="K402" s="1"/>
      <c r="L402" s="1"/>
      <c r="M402" s="1"/>
      <c r="N402" s="1"/>
      <c r="O402" s="1"/>
    </row>
    <row r="403" spans="1:15" ht="15.75" customHeight="1">
      <c r="A403" s="1"/>
      <c r="B403" s="1"/>
      <c r="C403" s="3"/>
      <c r="D403" s="1"/>
      <c r="E403" s="1"/>
      <c r="F403" s="1"/>
      <c r="G403" s="1"/>
      <c r="H403" s="1"/>
      <c r="I403" s="1"/>
      <c r="J403" s="1"/>
      <c r="K403" s="1"/>
      <c r="L403" s="1"/>
      <c r="M403" s="1"/>
      <c r="N403" s="1"/>
      <c r="O403" s="1"/>
    </row>
    <row r="404" spans="1:15" ht="15.75" customHeight="1">
      <c r="A404" s="1"/>
      <c r="B404" s="1"/>
      <c r="C404" s="3"/>
      <c r="D404" s="1"/>
      <c r="E404" s="1"/>
      <c r="F404" s="1"/>
      <c r="G404" s="1"/>
      <c r="H404" s="1"/>
      <c r="I404" s="1"/>
      <c r="J404" s="1"/>
      <c r="K404" s="1"/>
      <c r="L404" s="1"/>
      <c r="M404" s="1"/>
      <c r="N404" s="1"/>
      <c r="O404" s="1"/>
    </row>
    <row r="405" spans="1:15" ht="15.75" customHeight="1">
      <c r="A405" s="1"/>
      <c r="B405" s="1"/>
      <c r="C405" s="3"/>
      <c r="D405" s="1"/>
      <c r="E405" s="1"/>
      <c r="F405" s="1"/>
      <c r="G405" s="1"/>
      <c r="H405" s="1"/>
      <c r="I405" s="1"/>
      <c r="J405" s="1"/>
      <c r="K405" s="1"/>
      <c r="L405" s="1"/>
      <c r="M405" s="1"/>
      <c r="N405" s="1"/>
      <c r="O405" s="1"/>
    </row>
    <row r="406" spans="1:15" ht="15.75" customHeight="1">
      <c r="A406" s="1"/>
      <c r="B406" s="1"/>
      <c r="C406" s="3"/>
      <c r="D406" s="1"/>
      <c r="E406" s="1"/>
      <c r="F406" s="1"/>
      <c r="G406" s="1"/>
      <c r="H406" s="1"/>
      <c r="I406" s="1"/>
      <c r="J406" s="1"/>
      <c r="K406" s="1"/>
      <c r="L406" s="1"/>
      <c r="M406" s="1"/>
      <c r="N406" s="1"/>
      <c r="O406" s="1"/>
    </row>
    <row r="407" spans="1:15" ht="15.75" customHeight="1">
      <c r="A407" s="1"/>
      <c r="B407" s="1"/>
      <c r="C407" s="3"/>
      <c r="D407" s="1"/>
      <c r="E407" s="1"/>
      <c r="F407" s="1"/>
      <c r="G407" s="1"/>
      <c r="H407" s="1"/>
      <c r="I407" s="1"/>
      <c r="J407" s="1"/>
      <c r="K407" s="1"/>
      <c r="L407" s="1"/>
      <c r="M407" s="1"/>
      <c r="N407" s="1"/>
      <c r="O407" s="1"/>
    </row>
    <row r="408" spans="1:15" ht="15.75" customHeight="1">
      <c r="A408" s="1"/>
      <c r="B408" s="1"/>
      <c r="C408" s="3"/>
      <c r="D408" s="1"/>
      <c r="E408" s="1"/>
      <c r="F408" s="1"/>
      <c r="G408" s="1"/>
      <c r="H408" s="1"/>
      <c r="I408" s="1"/>
      <c r="J408" s="1"/>
      <c r="K408" s="1"/>
      <c r="L408" s="1"/>
      <c r="M408" s="1"/>
      <c r="N408" s="1"/>
      <c r="O408" s="1"/>
    </row>
    <row r="409" spans="1:15" ht="15.75" customHeight="1">
      <c r="A409" s="1"/>
      <c r="B409" s="1"/>
      <c r="C409" s="3"/>
      <c r="D409" s="1"/>
      <c r="E409" s="1"/>
      <c r="F409" s="1"/>
      <c r="G409" s="1"/>
      <c r="H409" s="1"/>
      <c r="I409" s="1"/>
      <c r="J409" s="1"/>
      <c r="K409" s="1"/>
      <c r="L409" s="1"/>
      <c r="M409" s="1"/>
      <c r="N409" s="1"/>
      <c r="O409" s="1"/>
    </row>
    <row r="410" spans="1:15" ht="15.75" customHeight="1">
      <c r="A410" s="1"/>
      <c r="B410" s="1"/>
      <c r="C410" s="3"/>
      <c r="D410" s="1"/>
      <c r="E410" s="1"/>
      <c r="F410" s="1"/>
      <c r="G410" s="1"/>
      <c r="H410" s="1"/>
      <c r="I410" s="1"/>
      <c r="J410" s="1"/>
      <c r="K410" s="1"/>
      <c r="L410" s="1"/>
      <c r="M410" s="1"/>
      <c r="N410" s="1"/>
      <c r="O410" s="1"/>
    </row>
    <row r="411" spans="1:15" ht="15.75" customHeight="1">
      <c r="A411" s="1"/>
      <c r="B411" s="1"/>
      <c r="C411" s="3"/>
      <c r="D411" s="1"/>
      <c r="E411" s="1"/>
      <c r="F411" s="1"/>
      <c r="G411" s="1"/>
      <c r="H411" s="1"/>
      <c r="I411" s="1"/>
      <c r="J411" s="1"/>
      <c r="K411" s="1"/>
      <c r="L411" s="1"/>
      <c r="M411" s="1"/>
      <c r="N411" s="1"/>
      <c r="O411" s="1"/>
    </row>
    <row r="412" spans="1:15" ht="15.75" customHeight="1">
      <c r="A412" s="1"/>
      <c r="B412" s="1"/>
      <c r="C412" s="3"/>
      <c r="D412" s="1"/>
      <c r="E412" s="1"/>
      <c r="F412" s="1"/>
      <c r="G412" s="1"/>
      <c r="H412" s="1"/>
      <c r="I412" s="1"/>
      <c r="J412" s="1"/>
      <c r="K412" s="1"/>
      <c r="L412" s="1"/>
      <c r="M412" s="1"/>
      <c r="N412" s="1"/>
      <c r="O412" s="1"/>
    </row>
    <row r="413" spans="1:15" ht="15.75" customHeight="1">
      <c r="A413" s="1"/>
      <c r="B413" s="1"/>
      <c r="C413" s="3"/>
      <c r="D413" s="1"/>
      <c r="E413" s="1"/>
      <c r="F413" s="1"/>
      <c r="G413" s="1"/>
      <c r="H413" s="1"/>
      <c r="I413" s="1"/>
      <c r="J413" s="1"/>
      <c r="K413" s="1"/>
      <c r="L413" s="1"/>
      <c r="M413" s="1"/>
      <c r="N413" s="1"/>
      <c r="O413" s="1"/>
    </row>
    <row r="414" spans="1:15" ht="15.75" customHeight="1">
      <c r="A414" s="1"/>
      <c r="B414" s="1"/>
      <c r="C414" s="3"/>
      <c r="D414" s="1"/>
      <c r="E414" s="1"/>
      <c r="F414" s="1"/>
      <c r="G414" s="1"/>
      <c r="H414" s="1"/>
      <c r="I414" s="1"/>
      <c r="J414" s="1"/>
      <c r="K414" s="1"/>
      <c r="L414" s="1"/>
      <c r="M414" s="1"/>
      <c r="N414" s="1"/>
      <c r="O414" s="1"/>
    </row>
    <row r="415" spans="1:15" ht="15.75" customHeight="1">
      <c r="A415" s="1"/>
      <c r="B415" s="1"/>
      <c r="C415" s="3"/>
      <c r="D415" s="1"/>
      <c r="E415" s="1"/>
      <c r="F415" s="1"/>
      <c r="G415" s="1"/>
      <c r="H415" s="1"/>
      <c r="I415" s="1"/>
      <c r="J415" s="1"/>
      <c r="K415" s="1"/>
      <c r="L415" s="1"/>
      <c r="M415" s="1"/>
      <c r="N415" s="1"/>
      <c r="O415" s="1"/>
    </row>
    <row r="416" spans="1:15" ht="15.75" customHeight="1">
      <c r="A416" s="1"/>
      <c r="B416" s="1"/>
      <c r="C416" s="3"/>
      <c r="D416" s="1"/>
      <c r="E416" s="1"/>
      <c r="F416" s="1"/>
      <c r="G416" s="1"/>
      <c r="H416" s="1"/>
      <c r="I416" s="1"/>
      <c r="J416" s="1"/>
      <c r="K416" s="1"/>
      <c r="L416" s="1"/>
      <c r="M416" s="1"/>
      <c r="N416" s="1"/>
      <c r="O416" s="1"/>
    </row>
    <row r="417" spans="1:15" ht="15.75" customHeight="1">
      <c r="A417" s="1"/>
      <c r="B417" s="1"/>
      <c r="C417" s="3"/>
      <c r="D417" s="1"/>
      <c r="E417" s="1"/>
      <c r="F417" s="1"/>
      <c r="G417" s="1"/>
      <c r="H417" s="1"/>
      <c r="I417" s="1"/>
      <c r="J417" s="1"/>
      <c r="K417" s="1"/>
      <c r="L417" s="1"/>
      <c r="M417" s="1"/>
      <c r="N417" s="1"/>
      <c r="O417" s="1"/>
    </row>
    <row r="418" spans="1:15" ht="15.75" customHeight="1">
      <c r="A418" s="1"/>
      <c r="B418" s="1"/>
      <c r="C418" s="3"/>
      <c r="D418" s="1"/>
      <c r="E418" s="1"/>
      <c r="F418" s="1"/>
      <c r="G418" s="1"/>
      <c r="H418" s="1"/>
      <c r="I418" s="1"/>
      <c r="J418" s="1"/>
      <c r="K418" s="1"/>
      <c r="L418" s="1"/>
      <c r="M418" s="1"/>
      <c r="N418" s="1"/>
      <c r="O418" s="1"/>
    </row>
    <row r="419" spans="1:15" ht="15.75" customHeight="1">
      <c r="A419" s="1"/>
      <c r="B419" s="1"/>
      <c r="C419" s="3"/>
      <c r="D419" s="1"/>
      <c r="E419" s="1"/>
      <c r="F419" s="1"/>
      <c r="G419" s="1"/>
      <c r="H419" s="1"/>
      <c r="I419" s="1"/>
      <c r="J419" s="1"/>
      <c r="K419" s="1"/>
      <c r="L419" s="1"/>
      <c r="M419" s="1"/>
      <c r="N419" s="1"/>
      <c r="O419" s="1"/>
    </row>
    <row r="420" spans="1:15" ht="15.75" customHeight="1">
      <c r="A420" s="1"/>
      <c r="B420" s="1"/>
      <c r="C420" s="3"/>
      <c r="D420" s="1"/>
      <c r="E420" s="1"/>
      <c r="F420" s="1"/>
      <c r="G420" s="1"/>
      <c r="H420" s="1"/>
      <c r="I420" s="1"/>
      <c r="J420" s="1"/>
      <c r="K420" s="1"/>
      <c r="L420" s="1"/>
      <c r="M420" s="1"/>
      <c r="N420" s="1"/>
      <c r="O420" s="1"/>
    </row>
    <row r="421" spans="1:15" ht="15.75" customHeight="1">
      <c r="A421" s="1"/>
      <c r="B421" s="1"/>
      <c r="C421" s="3"/>
      <c r="D421" s="1"/>
      <c r="E421" s="1"/>
      <c r="F421" s="1"/>
      <c r="G421" s="1"/>
      <c r="H421" s="1"/>
      <c r="I421" s="1"/>
      <c r="J421" s="1"/>
      <c r="K421" s="1"/>
      <c r="L421" s="1"/>
      <c r="M421" s="1"/>
      <c r="N421" s="1"/>
      <c r="O421" s="1"/>
    </row>
    <row r="422" spans="1:15" ht="15.75" customHeight="1">
      <c r="A422" s="1"/>
      <c r="B422" s="1"/>
      <c r="C422" s="3"/>
      <c r="D422" s="1"/>
      <c r="E422" s="1"/>
      <c r="F422" s="1"/>
      <c r="G422" s="1"/>
      <c r="H422" s="1"/>
      <c r="I422" s="1"/>
      <c r="J422" s="1"/>
      <c r="K422" s="1"/>
      <c r="L422" s="1"/>
      <c r="M422" s="1"/>
      <c r="N422" s="1"/>
      <c r="O422" s="1"/>
    </row>
    <row r="423" spans="1:15" ht="15.75" customHeight="1">
      <c r="A423" s="1"/>
      <c r="B423" s="1"/>
      <c r="C423" s="3"/>
      <c r="D423" s="1"/>
      <c r="E423" s="1"/>
      <c r="F423" s="1"/>
      <c r="G423" s="1"/>
      <c r="H423" s="1"/>
      <c r="I423" s="1"/>
      <c r="J423" s="1"/>
      <c r="K423" s="1"/>
      <c r="L423" s="1"/>
      <c r="M423" s="1"/>
      <c r="N423" s="1"/>
      <c r="O423" s="1"/>
    </row>
    <row r="424" spans="1:15" ht="15.75" customHeight="1">
      <c r="A424" s="1"/>
      <c r="B424" s="1"/>
      <c r="C424" s="3"/>
      <c r="D424" s="1"/>
      <c r="E424" s="1"/>
      <c r="F424" s="1"/>
      <c r="G424" s="1"/>
      <c r="H424" s="1"/>
      <c r="I424" s="1"/>
      <c r="J424" s="1"/>
      <c r="K424" s="1"/>
      <c r="L424" s="1"/>
      <c r="M424" s="1"/>
      <c r="N424" s="1"/>
      <c r="O424" s="1"/>
    </row>
    <row r="425" spans="1:15" ht="15.75" customHeight="1">
      <c r="A425" s="1"/>
      <c r="B425" s="1"/>
      <c r="C425" s="3"/>
      <c r="D425" s="1"/>
      <c r="E425" s="1"/>
      <c r="F425" s="1"/>
      <c r="G425" s="1"/>
      <c r="H425" s="1"/>
      <c r="I425" s="1"/>
      <c r="J425" s="1"/>
      <c r="K425" s="1"/>
      <c r="L425" s="1"/>
      <c r="M425" s="1"/>
      <c r="N425" s="1"/>
      <c r="O425" s="1"/>
    </row>
    <row r="426" spans="1:15" ht="15.75" customHeight="1">
      <c r="A426" s="1"/>
      <c r="B426" s="1"/>
      <c r="C426" s="3"/>
      <c r="D426" s="1"/>
      <c r="E426" s="1"/>
      <c r="F426" s="1"/>
      <c r="G426" s="1"/>
      <c r="H426" s="1"/>
      <c r="I426" s="1"/>
      <c r="J426" s="1"/>
      <c r="K426" s="1"/>
      <c r="L426" s="1"/>
      <c r="M426" s="1"/>
      <c r="N426" s="1"/>
      <c r="O426" s="1"/>
    </row>
    <row r="427" spans="1:15" ht="15.75" customHeight="1">
      <c r="A427" s="1"/>
      <c r="B427" s="1"/>
      <c r="C427" s="3"/>
      <c r="D427" s="1"/>
      <c r="E427" s="1"/>
      <c r="F427" s="1"/>
      <c r="G427" s="1"/>
      <c r="H427" s="1"/>
      <c r="I427" s="1"/>
      <c r="J427" s="1"/>
      <c r="K427" s="1"/>
      <c r="L427" s="1"/>
      <c r="M427" s="1"/>
      <c r="N427" s="1"/>
      <c r="O427" s="1"/>
    </row>
    <row r="428" spans="1:15" ht="15.75" customHeight="1">
      <c r="A428" s="1"/>
      <c r="B428" s="1"/>
      <c r="C428" s="3"/>
      <c r="D428" s="1"/>
      <c r="E428" s="1"/>
      <c r="F428" s="1"/>
      <c r="G428" s="1"/>
      <c r="H428" s="1"/>
      <c r="I428" s="1"/>
      <c r="J428" s="1"/>
      <c r="K428" s="1"/>
      <c r="L428" s="1"/>
      <c r="M428" s="1"/>
      <c r="N428" s="1"/>
      <c r="O428" s="1"/>
    </row>
    <row r="429" spans="1:15" ht="15.75" customHeight="1">
      <c r="A429" s="1"/>
      <c r="B429" s="1"/>
      <c r="C429" s="3"/>
      <c r="D429" s="1"/>
      <c r="E429" s="1"/>
      <c r="F429" s="1"/>
      <c r="G429" s="1"/>
      <c r="H429" s="1"/>
      <c r="I429" s="1"/>
      <c r="J429" s="1"/>
      <c r="K429" s="1"/>
      <c r="L429" s="1"/>
      <c r="M429" s="1"/>
      <c r="N429" s="1"/>
      <c r="O429" s="1"/>
    </row>
    <row r="430" spans="1:15" ht="15.75" customHeight="1">
      <c r="A430" s="1"/>
      <c r="B430" s="1"/>
      <c r="C430" s="3"/>
      <c r="D430" s="1"/>
      <c r="E430" s="1"/>
      <c r="F430" s="1"/>
      <c r="G430" s="1"/>
      <c r="H430" s="1"/>
      <c r="I430" s="1"/>
      <c r="J430" s="1"/>
      <c r="K430" s="1"/>
      <c r="L430" s="1"/>
      <c r="M430" s="1"/>
      <c r="N430" s="1"/>
      <c r="O430" s="1"/>
    </row>
    <row r="431" spans="1:15" ht="15.75" customHeight="1">
      <c r="A431" s="1"/>
      <c r="B431" s="1"/>
      <c r="C431" s="3"/>
      <c r="D431" s="1"/>
      <c r="E431" s="1"/>
      <c r="F431" s="1"/>
      <c r="G431" s="1"/>
      <c r="H431" s="1"/>
      <c r="I431" s="1"/>
      <c r="J431" s="1"/>
      <c r="K431" s="1"/>
      <c r="L431" s="1"/>
      <c r="M431" s="1"/>
      <c r="N431" s="1"/>
      <c r="O431" s="1"/>
    </row>
    <row r="432" spans="1:15" ht="15.75" customHeight="1">
      <c r="A432" s="1"/>
      <c r="B432" s="1"/>
      <c r="C432" s="3"/>
      <c r="D432" s="1"/>
      <c r="E432" s="1"/>
      <c r="F432" s="1"/>
      <c r="G432" s="1"/>
      <c r="H432" s="1"/>
      <c r="I432" s="1"/>
      <c r="J432" s="1"/>
      <c r="K432" s="1"/>
      <c r="L432" s="1"/>
      <c r="M432" s="1"/>
      <c r="N432" s="1"/>
      <c r="O432" s="1"/>
    </row>
    <row r="433" spans="1:15" ht="15.75" customHeight="1">
      <c r="A433" s="1"/>
      <c r="B433" s="1"/>
      <c r="C433" s="3"/>
      <c r="D433" s="1"/>
      <c r="E433" s="1"/>
      <c r="F433" s="1"/>
      <c r="G433" s="1"/>
      <c r="H433" s="1"/>
      <c r="I433" s="1"/>
      <c r="J433" s="1"/>
      <c r="K433" s="1"/>
      <c r="L433" s="1"/>
      <c r="M433" s="1"/>
      <c r="N433" s="1"/>
      <c r="O433" s="1"/>
    </row>
    <row r="434" spans="1:15" ht="15.75" customHeight="1">
      <c r="A434" s="1"/>
      <c r="B434" s="1"/>
      <c r="C434" s="3"/>
      <c r="D434" s="1"/>
      <c r="E434" s="1"/>
      <c r="F434" s="1"/>
      <c r="G434" s="1"/>
      <c r="H434" s="1"/>
      <c r="I434" s="1"/>
      <c r="J434" s="1"/>
      <c r="K434" s="1"/>
      <c r="L434" s="1"/>
      <c r="M434" s="1"/>
      <c r="N434" s="1"/>
      <c r="O434" s="1"/>
    </row>
    <row r="435" spans="1:15" ht="15.75" customHeight="1">
      <c r="A435" s="1"/>
      <c r="B435" s="1"/>
      <c r="C435" s="3"/>
      <c r="D435" s="1"/>
      <c r="E435" s="1"/>
      <c r="F435" s="1"/>
      <c r="G435" s="1"/>
      <c r="H435" s="1"/>
      <c r="I435" s="1"/>
      <c r="J435" s="1"/>
      <c r="K435" s="1"/>
      <c r="L435" s="1"/>
      <c r="M435" s="1"/>
      <c r="N435" s="1"/>
      <c r="O435" s="1"/>
    </row>
    <row r="436" spans="1:15" ht="15.75" customHeight="1">
      <c r="A436" s="1"/>
      <c r="B436" s="1"/>
      <c r="C436" s="3"/>
      <c r="D436" s="1"/>
      <c r="E436" s="1"/>
      <c r="F436" s="1"/>
      <c r="G436" s="1"/>
      <c r="H436" s="1"/>
      <c r="I436" s="1"/>
      <c r="J436" s="1"/>
      <c r="K436" s="1"/>
      <c r="L436" s="1"/>
      <c r="M436" s="1"/>
      <c r="N436" s="1"/>
      <c r="O436" s="1"/>
    </row>
    <row r="437" spans="1:15" ht="15.75" customHeight="1">
      <c r="A437" s="1"/>
      <c r="B437" s="1"/>
      <c r="C437" s="3"/>
      <c r="D437" s="1"/>
      <c r="E437" s="1"/>
      <c r="F437" s="1"/>
      <c r="G437" s="1"/>
      <c r="H437" s="1"/>
      <c r="I437" s="1"/>
      <c r="J437" s="1"/>
      <c r="K437" s="1"/>
      <c r="L437" s="1"/>
      <c r="M437" s="1"/>
      <c r="N437" s="1"/>
      <c r="O437" s="1"/>
    </row>
    <row r="438" spans="1:15" ht="15.75" customHeight="1">
      <c r="A438" s="1"/>
      <c r="B438" s="1"/>
      <c r="C438" s="3"/>
      <c r="D438" s="1"/>
      <c r="E438" s="1"/>
      <c r="F438" s="1"/>
      <c r="G438" s="1"/>
      <c r="H438" s="1"/>
      <c r="I438" s="1"/>
      <c r="J438" s="1"/>
      <c r="K438" s="1"/>
      <c r="L438" s="1"/>
      <c r="M438" s="1"/>
      <c r="N438" s="1"/>
      <c r="O438" s="1"/>
    </row>
    <row r="439" spans="1:15" ht="15.75" customHeight="1">
      <c r="A439" s="1"/>
      <c r="B439" s="1"/>
      <c r="C439" s="3"/>
      <c r="D439" s="1"/>
      <c r="E439" s="1"/>
      <c r="F439" s="1"/>
      <c r="G439" s="1"/>
      <c r="H439" s="1"/>
      <c r="I439" s="1"/>
      <c r="J439" s="1"/>
      <c r="K439" s="1"/>
      <c r="L439" s="1"/>
      <c r="M439" s="1"/>
      <c r="N439" s="1"/>
      <c r="O439" s="1"/>
    </row>
    <row r="440" spans="1:15" ht="15.75" customHeight="1">
      <c r="A440" s="1"/>
      <c r="B440" s="1"/>
      <c r="C440" s="3"/>
      <c r="D440" s="1"/>
      <c r="E440" s="1"/>
      <c r="F440" s="1"/>
      <c r="G440" s="1"/>
      <c r="H440" s="1"/>
      <c r="I440" s="1"/>
      <c r="J440" s="1"/>
      <c r="K440" s="1"/>
      <c r="L440" s="1"/>
      <c r="M440" s="1"/>
      <c r="N440" s="1"/>
      <c r="O440" s="1"/>
    </row>
    <row r="441" spans="1:15" ht="15.75" customHeight="1">
      <c r="A441" s="1"/>
      <c r="B441" s="1"/>
      <c r="C441" s="3"/>
      <c r="D441" s="1"/>
      <c r="E441" s="1"/>
      <c r="F441" s="1"/>
      <c r="G441" s="1"/>
      <c r="H441" s="1"/>
      <c r="I441" s="1"/>
      <c r="J441" s="1"/>
      <c r="K441" s="1"/>
      <c r="L441" s="1"/>
      <c r="M441" s="1"/>
      <c r="N441" s="1"/>
      <c r="O441" s="1"/>
    </row>
    <row r="442" spans="1:15" ht="15.75" customHeight="1">
      <c r="A442" s="1"/>
      <c r="B442" s="1"/>
      <c r="C442" s="3"/>
      <c r="D442" s="1"/>
      <c r="E442" s="1"/>
      <c r="F442" s="1"/>
      <c r="G442" s="1"/>
      <c r="H442" s="1"/>
      <c r="I442" s="1"/>
      <c r="J442" s="1"/>
      <c r="K442" s="1"/>
      <c r="L442" s="1"/>
      <c r="M442" s="1"/>
      <c r="N442" s="1"/>
      <c r="O442" s="1"/>
    </row>
    <row r="443" spans="1:15" ht="15.75" customHeight="1">
      <c r="A443" s="1"/>
      <c r="B443" s="1"/>
      <c r="C443" s="3"/>
      <c r="D443" s="1"/>
      <c r="E443" s="1"/>
      <c r="F443" s="1"/>
      <c r="G443" s="1"/>
      <c r="H443" s="1"/>
      <c r="I443" s="1"/>
      <c r="J443" s="1"/>
      <c r="K443" s="1"/>
      <c r="L443" s="1"/>
      <c r="M443" s="1"/>
      <c r="N443" s="1"/>
      <c r="O443" s="1"/>
    </row>
    <row r="444" spans="1:15" ht="15.75" customHeight="1">
      <c r="A444" s="1"/>
      <c r="B444" s="1"/>
      <c r="C444" s="3"/>
      <c r="D444" s="1"/>
      <c r="E444" s="1"/>
      <c r="F444" s="1"/>
      <c r="G444" s="1"/>
      <c r="H444" s="1"/>
      <c r="I444" s="1"/>
      <c r="J444" s="1"/>
      <c r="K444" s="1"/>
      <c r="L444" s="1"/>
      <c r="M444" s="1"/>
      <c r="N444" s="1"/>
      <c r="O444" s="1"/>
    </row>
    <row r="445" spans="1:15" ht="15.75" customHeight="1">
      <c r="A445" s="1"/>
      <c r="B445" s="1"/>
      <c r="C445" s="3"/>
      <c r="D445" s="1"/>
      <c r="E445" s="1"/>
      <c r="F445" s="1"/>
      <c r="G445" s="1"/>
      <c r="H445" s="1"/>
      <c r="I445" s="1"/>
      <c r="J445" s="1"/>
      <c r="K445" s="1"/>
      <c r="L445" s="1"/>
      <c r="M445" s="1"/>
      <c r="N445" s="1"/>
      <c r="O445" s="1"/>
    </row>
    <row r="446" spans="1:15" ht="15.75" customHeight="1">
      <c r="A446" s="1"/>
      <c r="B446" s="1"/>
      <c r="C446" s="3"/>
      <c r="D446" s="1"/>
      <c r="E446" s="1"/>
      <c r="F446" s="1"/>
      <c r="G446" s="1"/>
      <c r="H446" s="1"/>
      <c r="I446" s="1"/>
      <c r="J446" s="1"/>
      <c r="K446" s="1"/>
      <c r="L446" s="1"/>
      <c r="M446" s="1"/>
      <c r="N446" s="1"/>
      <c r="O446" s="1"/>
    </row>
    <row r="447" spans="1:15" ht="15.75" customHeight="1">
      <c r="A447" s="1"/>
      <c r="B447" s="1"/>
      <c r="C447" s="3"/>
      <c r="D447" s="1"/>
      <c r="E447" s="1"/>
      <c r="F447" s="1"/>
      <c r="G447" s="1"/>
      <c r="H447" s="1"/>
      <c r="I447" s="1"/>
      <c r="J447" s="1"/>
      <c r="K447" s="1"/>
      <c r="L447" s="1"/>
      <c r="M447" s="1"/>
      <c r="N447" s="1"/>
      <c r="O447" s="1"/>
    </row>
    <row r="448" spans="1:15" ht="15.75" customHeight="1">
      <c r="A448" s="1"/>
      <c r="B448" s="1"/>
      <c r="C448" s="3"/>
      <c r="D448" s="1"/>
      <c r="E448" s="1"/>
      <c r="F448" s="1"/>
      <c r="G448" s="1"/>
      <c r="H448" s="1"/>
      <c r="I448" s="1"/>
      <c r="J448" s="1"/>
      <c r="K448" s="1"/>
      <c r="L448" s="1"/>
      <c r="M448" s="1"/>
      <c r="N448" s="1"/>
      <c r="O448" s="1"/>
    </row>
    <row r="449" spans="1:15" ht="15.75" customHeight="1">
      <c r="A449" s="1"/>
      <c r="B449" s="1"/>
      <c r="C449" s="3"/>
      <c r="D449" s="1"/>
      <c r="E449" s="1"/>
      <c r="F449" s="1"/>
      <c r="G449" s="1"/>
      <c r="H449" s="1"/>
      <c r="I449" s="1"/>
      <c r="J449" s="1"/>
      <c r="K449" s="1"/>
      <c r="L449" s="1"/>
      <c r="M449" s="1"/>
      <c r="N449" s="1"/>
      <c r="O449" s="1"/>
    </row>
    <row r="450" spans="1:15" ht="15.75" customHeight="1">
      <c r="A450" s="1"/>
      <c r="B450" s="1"/>
      <c r="C450" s="3"/>
      <c r="D450" s="1"/>
      <c r="E450" s="1"/>
      <c r="F450" s="1"/>
      <c r="G450" s="1"/>
      <c r="H450" s="1"/>
      <c r="I450" s="1"/>
      <c r="J450" s="1"/>
      <c r="K450" s="1"/>
      <c r="L450" s="1"/>
      <c r="M450" s="1"/>
      <c r="N450" s="1"/>
      <c r="O450" s="1"/>
    </row>
    <row r="451" spans="1:15" ht="15.75" customHeight="1">
      <c r="A451" s="1"/>
      <c r="B451" s="1"/>
      <c r="C451" s="3"/>
      <c r="D451" s="1"/>
      <c r="E451" s="1"/>
      <c r="F451" s="1"/>
      <c r="G451" s="1"/>
      <c r="H451" s="1"/>
      <c r="I451" s="1"/>
      <c r="J451" s="1"/>
      <c r="K451" s="1"/>
      <c r="L451" s="1"/>
      <c r="M451" s="1"/>
      <c r="N451" s="1"/>
      <c r="O451" s="1"/>
    </row>
    <row r="452" spans="1:15" ht="15.75" customHeight="1">
      <c r="A452" s="1"/>
      <c r="B452" s="1"/>
      <c r="C452" s="3"/>
      <c r="D452" s="1"/>
      <c r="E452" s="1"/>
      <c r="F452" s="1"/>
      <c r="G452" s="1"/>
      <c r="H452" s="1"/>
      <c r="I452" s="1"/>
      <c r="J452" s="1"/>
      <c r="K452" s="1"/>
      <c r="L452" s="1"/>
      <c r="M452" s="1"/>
      <c r="N452" s="1"/>
      <c r="O452" s="1"/>
    </row>
    <row r="453" spans="1:15" ht="15.75" customHeight="1">
      <c r="A453" s="1"/>
      <c r="B453" s="1"/>
      <c r="C453" s="3"/>
      <c r="D453" s="1"/>
      <c r="E453" s="1"/>
      <c r="F453" s="1"/>
      <c r="G453" s="1"/>
      <c r="H453" s="1"/>
      <c r="I453" s="1"/>
      <c r="J453" s="1"/>
      <c r="K453" s="1"/>
      <c r="L453" s="1"/>
      <c r="M453" s="1"/>
      <c r="N453" s="1"/>
      <c r="O453" s="1"/>
    </row>
    <row r="454" spans="1:15" ht="15.75" customHeight="1">
      <c r="A454" s="1"/>
      <c r="B454" s="1"/>
      <c r="C454" s="3"/>
      <c r="D454" s="1"/>
      <c r="E454" s="1"/>
      <c r="F454" s="1"/>
      <c r="G454" s="1"/>
      <c r="H454" s="1"/>
      <c r="I454" s="1"/>
      <c r="J454" s="1"/>
      <c r="K454" s="1"/>
      <c r="L454" s="1"/>
      <c r="M454" s="1"/>
      <c r="N454" s="1"/>
      <c r="O454" s="1"/>
    </row>
    <row r="455" spans="1:15" ht="15.75" customHeight="1">
      <c r="A455" s="1"/>
      <c r="B455" s="1"/>
      <c r="C455" s="3"/>
      <c r="D455" s="1"/>
      <c r="E455" s="1"/>
      <c r="F455" s="1"/>
      <c r="G455" s="1"/>
      <c r="H455" s="1"/>
      <c r="I455" s="1"/>
      <c r="J455" s="1"/>
      <c r="K455" s="1"/>
      <c r="L455" s="1"/>
      <c r="M455" s="1"/>
      <c r="N455" s="1"/>
      <c r="O455" s="1"/>
    </row>
    <row r="456" spans="1:15" ht="15.75" customHeight="1">
      <c r="A456" s="1"/>
      <c r="B456" s="1"/>
      <c r="C456" s="3"/>
      <c r="D456" s="1"/>
      <c r="E456" s="1"/>
      <c r="F456" s="1"/>
      <c r="G456" s="1"/>
      <c r="H456" s="1"/>
      <c r="I456" s="1"/>
      <c r="J456" s="1"/>
      <c r="K456" s="1"/>
      <c r="L456" s="1"/>
      <c r="M456" s="1"/>
      <c r="N456" s="1"/>
      <c r="O456" s="1"/>
    </row>
    <row r="457" spans="1:15" ht="15.75" customHeight="1">
      <c r="A457" s="1"/>
      <c r="B457" s="1"/>
      <c r="C457" s="3"/>
      <c r="D457" s="1"/>
      <c r="E457" s="1"/>
      <c r="F457" s="1"/>
      <c r="G457" s="1"/>
      <c r="H457" s="1"/>
      <c r="I457" s="1"/>
      <c r="J457" s="1"/>
      <c r="K457" s="1"/>
      <c r="L457" s="1"/>
      <c r="M457" s="1"/>
      <c r="N457" s="1"/>
      <c r="O457" s="1"/>
    </row>
    <row r="458" spans="1:15" ht="15.75" customHeight="1">
      <c r="A458" s="1"/>
      <c r="B458" s="1"/>
      <c r="C458" s="3"/>
      <c r="D458" s="1"/>
      <c r="E458" s="1"/>
      <c r="F458" s="1"/>
      <c r="G458" s="1"/>
      <c r="H458" s="1"/>
      <c r="I458" s="1"/>
      <c r="J458" s="1"/>
      <c r="K458" s="1"/>
      <c r="L458" s="1"/>
      <c r="M458" s="1"/>
      <c r="N458" s="1"/>
      <c r="O458" s="1"/>
    </row>
    <row r="459" spans="1:15" ht="15.75" customHeight="1">
      <c r="A459" s="1"/>
      <c r="B459" s="1"/>
      <c r="C459" s="3"/>
      <c r="D459" s="1"/>
      <c r="E459" s="1"/>
      <c r="F459" s="1"/>
      <c r="G459" s="1"/>
      <c r="H459" s="1"/>
      <c r="I459" s="1"/>
      <c r="J459" s="1"/>
      <c r="K459" s="1"/>
      <c r="L459" s="1"/>
      <c r="M459" s="1"/>
      <c r="N459" s="1"/>
      <c r="O459" s="1"/>
    </row>
    <row r="460" spans="1:15" ht="15.75" customHeight="1">
      <c r="A460" s="1"/>
      <c r="B460" s="1"/>
      <c r="C460" s="3"/>
      <c r="D460" s="1"/>
      <c r="E460" s="1"/>
      <c r="F460" s="1"/>
      <c r="G460" s="1"/>
      <c r="H460" s="1"/>
      <c r="I460" s="1"/>
      <c r="J460" s="1"/>
      <c r="K460" s="1"/>
      <c r="L460" s="1"/>
      <c r="M460" s="1"/>
      <c r="N460" s="1"/>
      <c r="O460" s="1"/>
    </row>
    <row r="461" spans="1:15" ht="15.75" customHeight="1">
      <c r="A461" s="1"/>
      <c r="B461" s="1"/>
      <c r="C461" s="3"/>
      <c r="D461" s="1"/>
      <c r="E461" s="1"/>
      <c r="F461" s="1"/>
      <c r="G461" s="1"/>
      <c r="H461" s="1"/>
      <c r="I461" s="1"/>
      <c r="J461" s="1"/>
      <c r="K461" s="1"/>
      <c r="L461" s="1"/>
      <c r="M461" s="1"/>
      <c r="N461" s="1"/>
      <c r="O461" s="1"/>
    </row>
    <row r="462" spans="1:15" ht="15.75" customHeight="1">
      <c r="A462" s="1"/>
      <c r="B462" s="1"/>
      <c r="C462" s="3"/>
      <c r="D462" s="1"/>
      <c r="E462" s="1"/>
      <c r="F462" s="1"/>
      <c r="G462" s="1"/>
      <c r="H462" s="1"/>
      <c r="I462" s="1"/>
      <c r="J462" s="1"/>
      <c r="K462" s="1"/>
      <c r="L462" s="1"/>
      <c r="M462" s="1"/>
      <c r="N462" s="1"/>
      <c r="O462" s="1"/>
    </row>
    <row r="463" spans="1:15" ht="15.75" customHeight="1">
      <c r="A463" s="1"/>
      <c r="B463" s="1"/>
      <c r="C463" s="3"/>
      <c r="D463" s="1"/>
      <c r="E463" s="1"/>
      <c r="F463" s="1"/>
      <c r="G463" s="1"/>
      <c r="H463" s="1"/>
      <c r="I463" s="1"/>
      <c r="J463" s="1"/>
      <c r="K463" s="1"/>
      <c r="L463" s="1"/>
      <c r="M463" s="1"/>
      <c r="N463" s="1"/>
      <c r="O463" s="1"/>
    </row>
    <row r="464" spans="1:15" ht="15.75" customHeight="1">
      <c r="A464" s="1"/>
      <c r="B464" s="1"/>
      <c r="C464" s="3"/>
      <c r="D464" s="1"/>
      <c r="E464" s="1"/>
      <c r="F464" s="1"/>
      <c r="G464" s="1"/>
      <c r="H464" s="1"/>
      <c r="I464" s="1"/>
      <c r="J464" s="1"/>
      <c r="K464" s="1"/>
      <c r="L464" s="1"/>
      <c r="M464" s="1"/>
      <c r="N464" s="1"/>
      <c r="O464" s="1"/>
    </row>
    <row r="465" spans="1:15" ht="15.75" customHeight="1">
      <c r="A465" s="1"/>
      <c r="B465" s="1"/>
      <c r="C465" s="3"/>
      <c r="D465" s="1"/>
      <c r="E465" s="1"/>
      <c r="F465" s="1"/>
      <c r="G465" s="1"/>
      <c r="H465" s="1"/>
      <c r="I465" s="1"/>
      <c r="J465" s="1"/>
      <c r="K465" s="1"/>
      <c r="L465" s="1"/>
      <c r="M465" s="1"/>
      <c r="N465" s="1"/>
      <c r="O465" s="1"/>
    </row>
    <row r="466" spans="1:15" ht="15.75" customHeight="1">
      <c r="A466" s="1"/>
      <c r="B466" s="1"/>
      <c r="C466" s="3"/>
      <c r="D466" s="1"/>
      <c r="E466" s="1"/>
      <c r="F466" s="1"/>
      <c r="G466" s="1"/>
      <c r="H466" s="1"/>
      <c r="I466" s="1"/>
      <c r="J466" s="1"/>
      <c r="K466" s="1"/>
      <c r="L466" s="1"/>
      <c r="M466" s="1"/>
      <c r="N466" s="1"/>
      <c r="O466" s="1"/>
    </row>
    <row r="467" spans="1:15" ht="15.75" customHeight="1">
      <c r="A467" s="1"/>
      <c r="B467" s="1"/>
      <c r="C467" s="3"/>
      <c r="D467" s="1"/>
      <c r="E467" s="1"/>
      <c r="F467" s="1"/>
      <c r="G467" s="1"/>
      <c r="H467" s="1"/>
      <c r="I467" s="1"/>
      <c r="J467" s="1"/>
      <c r="K467" s="1"/>
      <c r="L467" s="1"/>
      <c r="M467" s="1"/>
      <c r="N467" s="1"/>
      <c r="O467" s="1"/>
    </row>
    <row r="468" spans="1:15" ht="15.75" customHeight="1">
      <c r="A468" s="1"/>
      <c r="B468" s="1"/>
      <c r="C468" s="3"/>
      <c r="D468" s="1"/>
      <c r="E468" s="1"/>
      <c r="F468" s="1"/>
      <c r="G468" s="1"/>
      <c r="H468" s="1"/>
      <c r="I468" s="1"/>
      <c r="J468" s="1"/>
      <c r="K468" s="1"/>
      <c r="L468" s="1"/>
      <c r="M468" s="1"/>
      <c r="N468" s="1"/>
      <c r="O468" s="1"/>
    </row>
    <row r="469" spans="1:15" ht="15.75" customHeight="1">
      <c r="A469" s="1"/>
      <c r="B469" s="1"/>
      <c r="C469" s="3"/>
      <c r="D469" s="1"/>
      <c r="E469" s="1"/>
      <c r="F469" s="1"/>
      <c r="G469" s="1"/>
      <c r="H469" s="1"/>
      <c r="I469" s="1"/>
      <c r="J469" s="1"/>
      <c r="K469" s="1"/>
      <c r="L469" s="1"/>
      <c r="M469" s="1"/>
      <c r="N469" s="1"/>
      <c r="O469" s="1"/>
    </row>
    <row r="470" spans="1:15" ht="15.75" customHeight="1">
      <c r="A470" s="1"/>
      <c r="B470" s="1"/>
      <c r="C470" s="3"/>
      <c r="D470" s="1"/>
      <c r="E470" s="1"/>
      <c r="F470" s="1"/>
      <c r="G470" s="1"/>
      <c r="H470" s="1"/>
      <c r="I470" s="1"/>
      <c r="J470" s="1"/>
      <c r="K470" s="1"/>
      <c r="L470" s="1"/>
      <c r="M470" s="1"/>
      <c r="N470" s="1"/>
      <c r="O470" s="1"/>
    </row>
    <row r="471" spans="1:15" ht="15.75" customHeight="1">
      <c r="A471" s="1"/>
      <c r="B471" s="1"/>
      <c r="C471" s="3"/>
      <c r="D471" s="1"/>
      <c r="E471" s="1"/>
      <c r="F471" s="1"/>
      <c r="G471" s="1"/>
      <c r="H471" s="1"/>
      <c r="I471" s="1"/>
      <c r="J471" s="1"/>
      <c r="K471" s="1"/>
      <c r="L471" s="1"/>
      <c r="M471" s="1"/>
      <c r="N471" s="1"/>
      <c r="O471" s="1"/>
    </row>
    <row r="472" spans="1:15" ht="15.75" customHeight="1">
      <c r="A472" s="1"/>
      <c r="B472" s="1"/>
      <c r="C472" s="3"/>
      <c r="D472" s="1"/>
      <c r="E472" s="1"/>
      <c r="F472" s="1"/>
      <c r="G472" s="1"/>
      <c r="H472" s="1"/>
      <c r="I472" s="1"/>
      <c r="J472" s="1"/>
      <c r="K472" s="1"/>
      <c r="L472" s="1"/>
      <c r="M472" s="1"/>
      <c r="N472" s="1"/>
      <c r="O472" s="1"/>
    </row>
    <row r="473" spans="1:15" ht="15.75" customHeight="1">
      <c r="A473" s="1"/>
      <c r="B473" s="1"/>
      <c r="C473" s="3"/>
      <c r="D473" s="1"/>
      <c r="E473" s="1"/>
      <c r="F473" s="1"/>
      <c r="G473" s="1"/>
      <c r="H473" s="1"/>
      <c r="I473" s="1"/>
      <c r="J473" s="1"/>
      <c r="K473" s="1"/>
      <c r="L473" s="1"/>
      <c r="M473" s="1"/>
      <c r="N473" s="1"/>
      <c r="O473" s="1"/>
    </row>
    <row r="474" spans="1:15" ht="15.75" customHeight="1">
      <c r="A474" s="1"/>
      <c r="B474" s="1"/>
      <c r="C474" s="3"/>
      <c r="D474" s="1"/>
      <c r="E474" s="1"/>
      <c r="F474" s="1"/>
      <c r="G474" s="1"/>
      <c r="H474" s="1"/>
      <c r="I474" s="1"/>
      <c r="J474" s="1"/>
      <c r="K474" s="1"/>
      <c r="L474" s="1"/>
      <c r="M474" s="1"/>
      <c r="N474" s="1"/>
      <c r="O474" s="1"/>
    </row>
    <row r="475" spans="1:15" ht="15.75" customHeight="1">
      <c r="A475" s="1"/>
      <c r="B475" s="1"/>
      <c r="C475" s="3"/>
      <c r="D475" s="1"/>
      <c r="E475" s="1"/>
      <c r="F475" s="1"/>
      <c r="G475" s="1"/>
      <c r="H475" s="1"/>
      <c r="I475" s="1"/>
      <c r="J475" s="1"/>
      <c r="K475" s="1"/>
      <c r="L475" s="1"/>
      <c r="M475" s="1"/>
      <c r="N475" s="1"/>
      <c r="O475" s="1"/>
    </row>
    <row r="476" spans="1:15" ht="15.75" customHeight="1">
      <c r="A476" s="1"/>
      <c r="B476" s="1"/>
      <c r="C476" s="3"/>
      <c r="D476" s="1"/>
      <c r="E476" s="1"/>
      <c r="F476" s="1"/>
      <c r="G476" s="1"/>
      <c r="H476" s="1"/>
      <c r="I476" s="1"/>
      <c r="J476" s="1"/>
      <c r="K476" s="1"/>
      <c r="L476" s="1"/>
      <c r="M476" s="1"/>
      <c r="N476" s="1"/>
      <c r="O476" s="1"/>
    </row>
    <row r="477" spans="1:15" ht="15.75" customHeight="1">
      <c r="A477" s="1"/>
      <c r="B477" s="1"/>
      <c r="C477" s="3"/>
      <c r="D477" s="1"/>
      <c r="E477" s="1"/>
      <c r="F477" s="1"/>
      <c r="G477" s="1"/>
      <c r="H477" s="1"/>
      <c r="I477" s="1"/>
      <c r="J477" s="1"/>
      <c r="K477" s="1"/>
      <c r="L477" s="1"/>
      <c r="M477" s="1"/>
      <c r="N477" s="1"/>
      <c r="O477" s="1"/>
    </row>
    <row r="478" spans="1:15" ht="15.75" customHeight="1">
      <c r="A478" s="1"/>
      <c r="B478" s="1"/>
      <c r="C478" s="3"/>
      <c r="D478" s="1"/>
      <c r="E478" s="1"/>
      <c r="F478" s="1"/>
      <c r="G478" s="1"/>
      <c r="H478" s="1"/>
      <c r="I478" s="1"/>
      <c r="J478" s="1"/>
      <c r="K478" s="1"/>
      <c r="L478" s="1"/>
      <c r="M478" s="1"/>
      <c r="N478" s="1"/>
      <c r="O478" s="1"/>
    </row>
    <row r="479" spans="1:15" ht="15.75" customHeight="1">
      <c r="A479" s="1"/>
      <c r="B479" s="1"/>
      <c r="C479" s="3"/>
      <c r="D479" s="1"/>
      <c r="E479" s="1"/>
      <c r="F479" s="1"/>
      <c r="G479" s="1"/>
      <c r="H479" s="1"/>
      <c r="I479" s="1"/>
      <c r="J479" s="1"/>
      <c r="K479" s="1"/>
      <c r="L479" s="1"/>
      <c r="M479" s="1"/>
      <c r="N479" s="1"/>
      <c r="O479" s="1"/>
    </row>
    <row r="480" spans="1:15" ht="15.75" customHeight="1">
      <c r="A480" s="1"/>
      <c r="B480" s="1"/>
      <c r="C480" s="3"/>
      <c r="D480" s="1"/>
      <c r="E480" s="1"/>
      <c r="F480" s="1"/>
      <c r="G480" s="1"/>
      <c r="H480" s="1"/>
      <c r="I480" s="1"/>
      <c r="J480" s="1"/>
      <c r="K480" s="1"/>
      <c r="L480" s="1"/>
      <c r="M480" s="1"/>
      <c r="N480" s="1"/>
      <c r="O480" s="1"/>
    </row>
    <row r="481" spans="1:15" ht="15.75" customHeight="1">
      <c r="A481" s="1"/>
      <c r="B481" s="1"/>
      <c r="C481" s="3"/>
      <c r="D481" s="1"/>
      <c r="E481" s="1"/>
      <c r="F481" s="1"/>
      <c r="G481" s="1"/>
      <c r="H481" s="1"/>
      <c r="I481" s="1"/>
      <c r="J481" s="1"/>
      <c r="K481" s="1"/>
      <c r="L481" s="1"/>
      <c r="M481" s="1"/>
      <c r="N481" s="1"/>
      <c r="O481" s="1"/>
    </row>
    <row r="482" spans="1:15" ht="15.75" customHeight="1">
      <c r="A482" s="1"/>
      <c r="B482" s="1"/>
      <c r="C482" s="3"/>
      <c r="D482" s="1"/>
      <c r="E482" s="1"/>
      <c r="F482" s="1"/>
      <c r="G482" s="1"/>
      <c r="H482" s="1"/>
      <c r="I482" s="1"/>
      <c r="J482" s="1"/>
      <c r="K482" s="1"/>
      <c r="L482" s="1"/>
      <c r="M482" s="1"/>
      <c r="N482" s="1"/>
      <c r="O482" s="1"/>
    </row>
    <row r="483" spans="1:15" ht="15.75" customHeight="1">
      <c r="A483" s="1"/>
      <c r="B483" s="1"/>
      <c r="C483" s="3"/>
      <c r="D483" s="1"/>
      <c r="E483" s="1"/>
      <c r="F483" s="1"/>
      <c r="G483" s="1"/>
      <c r="H483" s="1"/>
      <c r="I483" s="1"/>
      <c r="J483" s="1"/>
      <c r="K483" s="1"/>
      <c r="L483" s="1"/>
      <c r="M483" s="1"/>
      <c r="N483" s="1"/>
      <c r="O483" s="1"/>
    </row>
    <row r="484" spans="1:15" ht="15.75" customHeight="1">
      <c r="A484" s="1"/>
      <c r="B484" s="1"/>
      <c r="C484" s="3"/>
      <c r="D484" s="1"/>
      <c r="E484" s="1"/>
      <c r="F484" s="1"/>
      <c r="G484" s="1"/>
      <c r="H484" s="1"/>
      <c r="I484" s="1"/>
      <c r="J484" s="1"/>
      <c r="K484" s="1"/>
      <c r="L484" s="1"/>
      <c r="M484" s="1"/>
      <c r="N484" s="1"/>
      <c r="O484" s="1"/>
    </row>
    <row r="485" spans="1:15" ht="15.75" customHeight="1">
      <c r="A485" s="1"/>
      <c r="B485" s="1"/>
      <c r="C485" s="3"/>
      <c r="D485" s="1"/>
      <c r="E485" s="1"/>
      <c r="F485" s="1"/>
      <c r="G485" s="1"/>
      <c r="H485" s="1"/>
      <c r="I485" s="1"/>
      <c r="J485" s="1"/>
      <c r="K485" s="1"/>
      <c r="L485" s="1"/>
      <c r="M485" s="1"/>
      <c r="N485" s="1"/>
      <c r="O485" s="1"/>
    </row>
    <row r="486" spans="1:15" ht="15.75" customHeight="1">
      <c r="A486" s="1"/>
      <c r="B486" s="1"/>
      <c r="C486" s="3"/>
      <c r="D486" s="1"/>
      <c r="E486" s="1"/>
      <c r="F486" s="1"/>
      <c r="G486" s="1"/>
      <c r="H486" s="1"/>
      <c r="I486" s="1"/>
      <c r="J486" s="1"/>
      <c r="K486" s="1"/>
      <c r="L486" s="1"/>
      <c r="M486" s="1"/>
      <c r="N486" s="1"/>
      <c r="O486" s="1"/>
    </row>
    <row r="487" spans="1:15" ht="15.75" customHeight="1">
      <c r="A487" s="1"/>
      <c r="B487" s="1"/>
      <c r="C487" s="3"/>
      <c r="D487" s="1"/>
      <c r="E487" s="1"/>
      <c r="F487" s="1"/>
      <c r="G487" s="1"/>
      <c r="H487" s="1"/>
      <c r="I487" s="1"/>
      <c r="J487" s="1"/>
      <c r="K487" s="1"/>
      <c r="L487" s="1"/>
      <c r="M487" s="1"/>
      <c r="N487" s="1"/>
      <c r="O487" s="1"/>
    </row>
    <row r="488" spans="1:15" ht="15.75" customHeight="1">
      <c r="A488" s="1"/>
      <c r="B488" s="1"/>
      <c r="C488" s="3"/>
      <c r="D488" s="1"/>
      <c r="E488" s="1"/>
      <c r="F488" s="1"/>
      <c r="G488" s="1"/>
      <c r="H488" s="1"/>
      <c r="I488" s="1"/>
      <c r="J488" s="1"/>
      <c r="K488" s="1"/>
      <c r="L488" s="1"/>
      <c r="M488" s="1"/>
      <c r="N488" s="1"/>
      <c r="O488" s="1"/>
    </row>
    <row r="489" spans="1:15" ht="15.75" customHeight="1">
      <c r="A489" s="1"/>
      <c r="B489" s="1"/>
      <c r="C489" s="3"/>
      <c r="D489" s="1"/>
      <c r="E489" s="1"/>
      <c r="F489" s="1"/>
      <c r="G489" s="1"/>
      <c r="H489" s="1"/>
      <c r="I489" s="1"/>
      <c r="J489" s="1"/>
      <c r="K489" s="1"/>
      <c r="L489" s="1"/>
      <c r="M489" s="1"/>
      <c r="N489" s="1"/>
      <c r="O489" s="1"/>
    </row>
    <row r="490" spans="1:15" ht="15.75" customHeight="1">
      <c r="A490" s="1"/>
      <c r="B490" s="1"/>
      <c r="C490" s="3"/>
      <c r="D490" s="1"/>
      <c r="E490" s="1"/>
      <c r="F490" s="1"/>
      <c r="G490" s="1"/>
      <c r="H490" s="1"/>
      <c r="I490" s="1"/>
      <c r="J490" s="1"/>
      <c r="K490" s="1"/>
      <c r="L490" s="1"/>
      <c r="M490" s="1"/>
      <c r="N490" s="1"/>
      <c r="O490" s="1"/>
    </row>
    <row r="491" spans="1:15" ht="15.75" customHeight="1">
      <c r="A491" s="1"/>
      <c r="B491" s="1"/>
      <c r="C491" s="3"/>
      <c r="D491" s="1"/>
      <c r="E491" s="1"/>
      <c r="F491" s="1"/>
      <c r="G491" s="1"/>
      <c r="H491" s="1"/>
      <c r="I491" s="1"/>
      <c r="J491" s="1"/>
      <c r="K491" s="1"/>
      <c r="L491" s="1"/>
      <c r="M491" s="1"/>
      <c r="N491" s="1"/>
      <c r="O491" s="1"/>
    </row>
    <row r="492" spans="1:15" ht="15.75" customHeight="1">
      <c r="A492" s="1"/>
      <c r="B492" s="1"/>
      <c r="C492" s="3"/>
      <c r="D492" s="1"/>
      <c r="E492" s="1"/>
      <c r="F492" s="1"/>
      <c r="G492" s="1"/>
      <c r="H492" s="1"/>
      <c r="I492" s="1"/>
      <c r="J492" s="1"/>
      <c r="K492" s="1"/>
      <c r="L492" s="1"/>
      <c r="M492" s="1"/>
      <c r="N492" s="1"/>
      <c r="O492" s="1"/>
    </row>
    <row r="493" spans="1:15" ht="15.75" customHeight="1">
      <c r="A493" s="1"/>
      <c r="B493" s="1"/>
      <c r="C493" s="3"/>
      <c r="D493" s="1"/>
      <c r="E493" s="1"/>
      <c r="F493" s="1"/>
      <c r="G493" s="1"/>
      <c r="H493" s="1"/>
      <c r="I493" s="1"/>
      <c r="J493" s="1"/>
      <c r="K493" s="1"/>
      <c r="L493" s="1"/>
      <c r="M493" s="1"/>
      <c r="N493" s="1"/>
      <c r="O493" s="1"/>
    </row>
    <row r="494" spans="1:15" ht="15.75" customHeight="1">
      <c r="A494" s="1"/>
      <c r="B494" s="1"/>
      <c r="C494" s="3"/>
      <c r="D494" s="1"/>
      <c r="E494" s="1"/>
      <c r="F494" s="1"/>
      <c r="G494" s="1"/>
      <c r="H494" s="1"/>
      <c r="I494" s="1"/>
      <c r="J494" s="1"/>
      <c r="K494" s="1"/>
      <c r="L494" s="1"/>
      <c r="M494" s="1"/>
      <c r="N494" s="1"/>
      <c r="O494" s="1"/>
    </row>
    <row r="495" spans="1:15" ht="15.75" customHeight="1">
      <c r="A495" s="1"/>
      <c r="B495" s="1"/>
      <c r="C495" s="3"/>
      <c r="D495" s="1"/>
      <c r="E495" s="1"/>
      <c r="F495" s="1"/>
      <c r="G495" s="1"/>
      <c r="H495" s="1"/>
      <c r="I495" s="1"/>
      <c r="J495" s="1"/>
      <c r="K495" s="1"/>
      <c r="L495" s="1"/>
      <c r="M495" s="1"/>
      <c r="N495" s="1"/>
      <c r="O495" s="1"/>
    </row>
    <row r="496" spans="1:15" ht="15.75" customHeight="1">
      <c r="A496" s="1"/>
      <c r="B496" s="1"/>
      <c r="C496" s="3"/>
      <c r="D496" s="1"/>
      <c r="E496" s="1"/>
      <c r="F496" s="1"/>
      <c r="G496" s="1"/>
      <c r="H496" s="1"/>
      <c r="I496" s="1"/>
      <c r="J496" s="1"/>
      <c r="K496" s="1"/>
      <c r="L496" s="1"/>
      <c r="M496" s="1"/>
      <c r="N496" s="1"/>
      <c r="O496" s="1"/>
    </row>
    <row r="497" spans="1:15" ht="15.75" customHeight="1">
      <c r="A497" s="1"/>
      <c r="B497" s="1"/>
      <c r="C497" s="3"/>
      <c r="D497" s="1"/>
      <c r="E497" s="1"/>
      <c r="F497" s="1"/>
      <c r="G497" s="1"/>
      <c r="H497" s="1"/>
      <c r="I497" s="1"/>
      <c r="J497" s="1"/>
      <c r="K497" s="1"/>
      <c r="L497" s="1"/>
      <c r="M497" s="1"/>
      <c r="N497" s="1"/>
      <c r="O497" s="1"/>
    </row>
    <row r="498" spans="1:15" ht="15.75" customHeight="1">
      <c r="A498" s="1"/>
      <c r="B498" s="1"/>
      <c r="C498" s="3"/>
      <c r="D498" s="1"/>
      <c r="E498" s="1"/>
      <c r="F498" s="1"/>
      <c r="G498" s="1"/>
      <c r="H498" s="1"/>
      <c r="I498" s="1"/>
      <c r="J498" s="1"/>
      <c r="K498" s="1"/>
      <c r="L498" s="1"/>
      <c r="M498" s="1"/>
      <c r="N498" s="1"/>
      <c r="O498" s="1"/>
    </row>
    <row r="499" spans="1:15" ht="15.75" customHeight="1">
      <c r="A499" s="1"/>
      <c r="B499" s="1"/>
      <c r="C499" s="3"/>
      <c r="D499" s="1"/>
      <c r="E499" s="1"/>
      <c r="F499" s="1"/>
      <c r="G499" s="1"/>
      <c r="H499" s="1"/>
      <c r="I499" s="1"/>
      <c r="J499" s="1"/>
      <c r="K499" s="1"/>
      <c r="L499" s="1"/>
      <c r="M499" s="1"/>
      <c r="N499" s="1"/>
      <c r="O499" s="1"/>
    </row>
    <row r="500" spans="1:15" ht="15.75" customHeight="1">
      <c r="A500" s="1"/>
      <c r="B500" s="1"/>
      <c r="C500" s="3"/>
      <c r="D500" s="1"/>
      <c r="E500" s="1"/>
      <c r="F500" s="1"/>
      <c r="G500" s="1"/>
      <c r="H500" s="1"/>
      <c r="I500" s="1"/>
      <c r="J500" s="1"/>
      <c r="K500" s="1"/>
      <c r="L500" s="1"/>
      <c r="M500" s="1"/>
      <c r="N500" s="1"/>
      <c r="O500" s="1"/>
    </row>
    <row r="501" spans="1:15" ht="15.75" customHeight="1">
      <c r="A501" s="1"/>
      <c r="B501" s="1"/>
      <c r="C501" s="3"/>
      <c r="D501" s="1"/>
      <c r="E501" s="1"/>
      <c r="F501" s="1"/>
      <c r="G501" s="1"/>
      <c r="H501" s="1"/>
      <c r="I501" s="1"/>
      <c r="J501" s="1"/>
      <c r="K501" s="1"/>
      <c r="L501" s="1"/>
      <c r="M501" s="1"/>
      <c r="N501" s="1"/>
      <c r="O501" s="1"/>
    </row>
    <row r="502" spans="1:15" ht="15.75" customHeight="1">
      <c r="A502" s="1"/>
      <c r="B502" s="1"/>
      <c r="C502" s="3"/>
      <c r="D502" s="1"/>
      <c r="E502" s="1"/>
      <c r="F502" s="1"/>
      <c r="G502" s="1"/>
      <c r="H502" s="1"/>
      <c r="I502" s="1"/>
      <c r="J502" s="1"/>
      <c r="K502" s="1"/>
      <c r="L502" s="1"/>
      <c r="M502" s="1"/>
      <c r="N502" s="1"/>
      <c r="O502" s="1"/>
    </row>
    <row r="503" spans="1:15" ht="15.75" customHeight="1">
      <c r="A503" s="1"/>
      <c r="B503" s="1"/>
      <c r="C503" s="3"/>
      <c r="D503" s="1"/>
      <c r="E503" s="1"/>
      <c r="F503" s="1"/>
      <c r="G503" s="1"/>
      <c r="H503" s="1"/>
      <c r="I503" s="1"/>
      <c r="J503" s="1"/>
      <c r="K503" s="1"/>
      <c r="L503" s="1"/>
      <c r="M503" s="1"/>
      <c r="N503" s="1"/>
      <c r="O503" s="1"/>
    </row>
    <row r="504" spans="1:15" ht="15.75" customHeight="1">
      <c r="A504" s="1"/>
      <c r="B504" s="1"/>
      <c r="C504" s="3"/>
      <c r="D504" s="1"/>
      <c r="E504" s="1"/>
      <c r="F504" s="1"/>
      <c r="G504" s="1"/>
      <c r="H504" s="1"/>
      <c r="I504" s="1"/>
      <c r="J504" s="1"/>
      <c r="K504" s="1"/>
      <c r="L504" s="1"/>
      <c r="M504" s="1"/>
      <c r="N504" s="1"/>
      <c r="O504" s="1"/>
    </row>
    <row r="505" spans="1:15" ht="15.75" customHeight="1">
      <c r="A505" s="1"/>
      <c r="B505" s="1"/>
      <c r="C505" s="3"/>
      <c r="D505" s="1"/>
      <c r="E505" s="1"/>
      <c r="F505" s="1"/>
      <c r="G505" s="1"/>
      <c r="H505" s="1"/>
      <c r="I505" s="1"/>
      <c r="J505" s="1"/>
      <c r="K505" s="1"/>
      <c r="L505" s="1"/>
      <c r="M505" s="1"/>
      <c r="N505" s="1"/>
      <c r="O505" s="1"/>
    </row>
    <row r="506" spans="1:15" ht="15.75" customHeight="1">
      <c r="A506" s="1"/>
      <c r="B506" s="1"/>
      <c r="C506" s="3"/>
      <c r="D506" s="1"/>
      <c r="E506" s="1"/>
      <c r="F506" s="1"/>
      <c r="G506" s="1"/>
      <c r="H506" s="1"/>
      <c r="I506" s="1"/>
      <c r="J506" s="1"/>
      <c r="K506" s="1"/>
      <c r="L506" s="1"/>
      <c r="M506" s="1"/>
      <c r="N506" s="1"/>
      <c r="O506" s="1"/>
    </row>
    <row r="507" spans="1:15" ht="15.75" customHeight="1">
      <c r="A507" s="1"/>
      <c r="B507" s="1"/>
      <c r="C507" s="3"/>
      <c r="D507" s="1"/>
      <c r="E507" s="1"/>
      <c r="F507" s="1"/>
      <c r="G507" s="1"/>
      <c r="H507" s="1"/>
      <c r="I507" s="1"/>
      <c r="J507" s="1"/>
      <c r="K507" s="1"/>
      <c r="L507" s="1"/>
      <c r="M507" s="1"/>
      <c r="N507" s="1"/>
      <c r="O507" s="1"/>
    </row>
    <row r="508" spans="1:15" ht="15.75" customHeight="1">
      <c r="A508" s="1"/>
      <c r="B508" s="1"/>
      <c r="C508" s="3"/>
      <c r="D508" s="1"/>
      <c r="E508" s="1"/>
      <c r="F508" s="1"/>
      <c r="G508" s="1"/>
      <c r="H508" s="1"/>
      <c r="I508" s="1"/>
      <c r="J508" s="1"/>
      <c r="K508" s="1"/>
      <c r="L508" s="1"/>
      <c r="M508" s="1"/>
      <c r="N508" s="1"/>
      <c r="O508" s="1"/>
    </row>
    <row r="509" spans="1:15" ht="15.75" customHeight="1">
      <c r="A509" s="1"/>
      <c r="B509" s="1"/>
      <c r="C509" s="3"/>
      <c r="D509" s="1"/>
      <c r="E509" s="1"/>
      <c r="F509" s="1"/>
      <c r="G509" s="1"/>
      <c r="H509" s="1"/>
      <c r="I509" s="1"/>
      <c r="J509" s="1"/>
      <c r="K509" s="1"/>
      <c r="L509" s="1"/>
      <c r="M509" s="1"/>
      <c r="N509" s="1"/>
      <c r="O509" s="1"/>
    </row>
    <row r="510" spans="1:15" ht="15.75" customHeight="1">
      <c r="A510" s="1"/>
      <c r="B510" s="1"/>
      <c r="C510" s="3"/>
      <c r="D510" s="1"/>
      <c r="E510" s="1"/>
      <c r="F510" s="1"/>
      <c r="G510" s="1"/>
      <c r="H510" s="1"/>
      <c r="I510" s="1"/>
      <c r="J510" s="1"/>
      <c r="K510" s="1"/>
      <c r="L510" s="1"/>
      <c r="M510" s="1"/>
      <c r="N510" s="1"/>
      <c r="O510" s="1"/>
    </row>
    <row r="511" spans="1:15" ht="15.75" customHeight="1">
      <c r="A511" s="1"/>
      <c r="B511" s="1"/>
      <c r="C511" s="3"/>
      <c r="D511" s="1"/>
      <c r="E511" s="1"/>
      <c r="F511" s="1"/>
      <c r="G511" s="1"/>
      <c r="H511" s="1"/>
      <c r="I511" s="1"/>
      <c r="J511" s="1"/>
      <c r="K511" s="1"/>
      <c r="L511" s="1"/>
      <c r="M511" s="1"/>
      <c r="N511" s="1"/>
      <c r="O511" s="1"/>
    </row>
    <row r="512" spans="1:15" ht="15.75" customHeight="1">
      <c r="A512" s="1"/>
      <c r="B512" s="1"/>
      <c r="C512" s="3"/>
      <c r="D512" s="1"/>
      <c r="E512" s="1"/>
      <c r="F512" s="1"/>
      <c r="G512" s="1"/>
      <c r="H512" s="1"/>
      <c r="I512" s="1"/>
      <c r="J512" s="1"/>
      <c r="K512" s="1"/>
      <c r="L512" s="1"/>
      <c r="M512" s="1"/>
      <c r="N512" s="1"/>
      <c r="O512" s="1"/>
    </row>
    <row r="513" spans="1:15" ht="15.75" customHeight="1">
      <c r="A513" s="1"/>
      <c r="B513" s="1"/>
      <c r="C513" s="3"/>
      <c r="D513" s="1"/>
      <c r="E513" s="1"/>
      <c r="F513" s="1"/>
      <c r="G513" s="1"/>
      <c r="H513" s="1"/>
      <c r="I513" s="1"/>
      <c r="J513" s="1"/>
      <c r="K513" s="1"/>
      <c r="L513" s="1"/>
      <c r="M513" s="1"/>
      <c r="N513" s="1"/>
      <c r="O513" s="1"/>
    </row>
    <row r="514" spans="1:15" ht="15.75" customHeight="1">
      <c r="A514" s="1"/>
      <c r="B514" s="1"/>
      <c r="C514" s="3"/>
      <c r="D514" s="1"/>
      <c r="E514" s="1"/>
      <c r="F514" s="1"/>
      <c r="G514" s="1"/>
      <c r="H514" s="1"/>
      <c r="I514" s="1"/>
      <c r="J514" s="1"/>
      <c r="K514" s="1"/>
      <c r="L514" s="1"/>
      <c r="M514" s="1"/>
      <c r="N514" s="1"/>
      <c r="O514" s="1"/>
    </row>
    <row r="515" spans="1:15" ht="15.75" customHeight="1">
      <c r="A515" s="1"/>
      <c r="B515" s="1"/>
      <c r="C515" s="3"/>
      <c r="D515" s="1"/>
      <c r="E515" s="1"/>
      <c r="F515" s="1"/>
      <c r="G515" s="1"/>
      <c r="H515" s="1"/>
      <c r="I515" s="1"/>
      <c r="J515" s="1"/>
      <c r="K515" s="1"/>
      <c r="L515" s="1"/>
      <c r="M515" s="1"/>
      <c r="N515" s="1"/>
      <c r="O515" s="1"/>
    </row>
    <row r="516" spans="1:15" ht="15.75" customHeight="1">
      <c r="A516" s="1"/>
      <c r="B516" s="1"/>
      <c r="C516" s="3"/>
      <c r="D516" s="1"/>
      <c r="E516" s="1"/>
      <c r="F516" s="1"/>
      <c r="G516" s="1"/>
      <c r="H516" s="1"/>
      <c r="I516" s="1"/>
      <c r="J516" s="1"/>
      <c r="K516" s="1"/>
      <c r="L516" s="1"/>
      <c r="M516" s="1"/>
      <c r="N516" s="1"/>
      <c r="O516" s="1"/>
    </row>
    <row r="517" spans="1:15" ht="15.75" customHeight="1">
      <c r="A517" s="1"/>
      <c r="B517" s="1"/>
      <c r="C517" s="3"/>
      <c r="D517" s="1"/>
      <c r="E517" s="1"/>
      <c r="F517" s="1"/>
      <c r="G517" s="1"/>
      <c r="H517" s="1"/>
      <c r="I517" s="1"/>
      <c r="J517" s="1"/>
      <c r="K517" s="1"/>
      <c r="L517" s="1"/>
      <c r="M517" s="1"/>
      <c r="N517" s="1"/>
      <c r="O517" s="1"/>
    </row>
    <row r="518" spans="1:15" ht="15.75" customHeight="1">
      <c r="A518" s="1"/>
      <c r="B518" s="1"/>
      <c r="C518" s="3"/>
      <c r="D518" s="1"/>
      <c r="E518" s="1"/>
      <c r="F518" s="1"/>
      <c r="G518" s="1"/>
      <c r="H518" s="1"/>
      <c r="I518" s="1"/>
      <c r="J518" s="1"/>
      <c r="K518" s="1"/>
      <c r="L518" s="1"/>
      <c r="M518" s="1"/>
      <c r="N518" s="1"/>
      <c r="O518" s="1"/>
    </row>
    <row r="519" spans="1:15" ht="15.75" customHeight="1">
      <c r="A519" s="1"/>
      <c r="B519" s="1"/>
      <c r="C519" s="3"/>
      <c r="D519" s="1"/>
      <c r="E519" s="1"/>
      <c r="F519" s="1"/>
      <c r="G519" s="1"/>
      <c r="H519" s="1"/>
      <c r="I519" s="1"/>
      <c r="J519" s="1"/>
      <c r="K519" s="1"/>
      <c r="L519" s="1"/>
      <c r="M519" s="1"/>
      <c r="N519" s="1"/>
      <c r="O519" s="1"/>
    </row>
    <row r="520" spans="1:15" ht="15.75" customHeight="1">
      <c r="A520" s="1"/>
      <c r="B520" s="1"/>
      <c r="C520" s="3"/>
      <c r="D520" s="1"/>
      <c r="E520" s="1"/>
      <c r="F520" s="1"/>
      <c r="G520" s="1"/>
      <c r="H520" s="1"/>
      <c r="I520" s="1"/>
      <c r="J520" s="1"/>
      <c r="K520" s="1"/>
      <c r="L520" s="1"/>
      <c r="M520" s="1"/>
      <c r="N520" s="1"/>
      <c r="O520" s="1"/>
    </row>
    <row r="521" spans="1:15" ht="15.75" customHeight="1">
      <c r="A521" s="1"/>
      <c r="B521" s="1"/>
      <c r="C521" s="3"/>
      <c r="D521" s="1"/>
      <c r="E521" s="1"/>
      <c r="F521" s="1"/>
      <c r="G521" s="1"/>
      <c r="H521" s="1"/>
      <c r="I521" s="1"/>
      <c r="J521" s="1"/>
      <c r="K521" s="1"/>
      <c r="L521" s="1"/>
      <c r="M521" s="1"/>
      <c r="N521" s="1"/>
      <c r="O521" s="1"/>
    </row>
    <row r="522" spans="1:15" ht="15.75" customHeight="1">
      <c r="A522" s="1"/>
      <c r="B522" s="1"/>
      <c r="C522" s="3"/>
      <c r="D522" s="1"/>
      <c r="E522" s="1"/>
      <c r="F522" s="1"/>
      <c r="G522" s="1"/>
      <c r="H522" s="1"/>
      <c r="I522" s="1"/>
      <c r="J522" s="1"/>
      <c r="K522" s="1"/>
      <c r="L522" s="1"/>
      <c r="M522" s="1"/>
      <c r="N522" s="1"/>
      <c r="O522" s="1"/>
    </row>
    <row r="523" spans="1:15" ht="15.75" customHeight="1">
      <c r="A523" s="1"/>
      <c r="B523" s="1"/>
      <c r="C523" s="3"/>
      <c r="D523" s="1"/>
      <c r="E523" s="1"/>
      <c r="F523" s="1"/>
      <c r="G523" s="1"/>
      <c r="H523" s="1"/>
      <c r="I523" s="1"/>
      <c r="J523" s="1"/>
      <c r="K523" s="1"/>
      <c r="L523" s="1"/>
      <c r="M523" s="1"/>
      <c r="N523" s="1"/>
      <c r="O523" s="1"/>
    </row>
    <row r="524" spans="1:15" ht="15.75" customHeight="1">
      <c r="A524" s="1"/>
      <c r="B524" s="1"/>
      <c r="C524" s="3"/>
      <c r="D524" s="1"/>
      <c r="E524" s="1"/>
      <c r="F524" s="1"/>
      <c r="G524" s="1"/>
      <c r="H524" s="1"/>
      <c r="I524" s="1"/>
      <c r="J524" s="1"/>
      <c r="K524" s="1"/>
      <c r="L524" s="1"/>
      <c r="M524" s="1"/>
      <c r="N524" s="1"/>
      <c r="O524" s="1"/>
    </row>
    <row r="525" spans="1:15" ht="15.75" customHeight="1">
      <c r="A525" s="1"/>
      <c r="B525" s="1"/>
      <c r="C525" s="3"/>
      <c r="D525" s="1"/>
      <c r="E525" s="1"/>
      <c r="F525" s="1"/>
      <c r="G525" s="1"/>
      <c r="H525" s="1"/>
      <c r="I525" s="1"/>
      <c r="J525" s="1"/>
      <c r="K525" s="1"/>
      <c r="L525" s="1"/>
      <c r="M525" s="1"/>
      <c r="N525" s="1"/>
      <c r="O525" s="1"/>
    </row>
    <row r="526" spans="1:15" ht="15.75" customHeight="1">
      <c r="A526" s="1"/>
      <c r="B526" s="1"/>
      <c r="C526" s="3"/>
      <c r="D526" s="1"/>
      <c r="E526" s="1"/>
      <c r="F526" s="1"/>
      <c r="G526" s="1"/>
      <c r="H526" s="1"/>
      <c r="I526" s="1"/>
      <c r="J526" s="1"/>
      <c r="K526" s="1"/>
      <c r="L526" s="1"/>
      <c r="M526" s="1"/>
      <c r="N526" s="1"/>
      <c r="O526" s="1"/>
    </row>
    <row r="527" spans="1:15" ht="15.75" customHeight="1">
      <c r="A527" s="1"/>
      <c r="B527" s="1"/>
      <c r="C527" s="3"/>
      <c r="D527" s="1"/>
      <c r="E527" s="1"/>
      <c r="F527" s="1"/>
      <c r="G527" s="1"/>
      <c r="H527" s="1"/>
      <c r="I527" s="1"/>
      <c r="J527" s="1"/>
      <c r="K527" s="1"/>
      <c r="L527" s="1"/>
      <c r="M527" s="1"/>
      <c r="N527" s="1"/>
      <c r="O527" s="1"/>
    </row>
    <row r="528" spans="1:15" ht="15.75" customHeight="1">
      <c r="A528" s="1"/>
      <c r="B528" s="1"/>
      <c r="C528" s="3"/>
      <c r="D528" s="1"/>
      <c r="E528" s="1"/>
      <c r="F528" s="1"/>
      <c r="G528" s="1"/>
      <c r="H528" s="1"/>
      <c r="I528" s="1"/>
      <c r="J528" s="1"/>
      <c r="K528" s="1"/>
      <c r="L528" s="1"/>
      <c r="M528" s="1"/>
      <c r="N528" s="1"/>
      <c r="O528" s="1"/>
    </row>
    <row r="529" spans="1:15" ht="15.75" customHeight="1">
      <c r="A529" s="1"/>
      <c r="B529" s="1"/>
      <c r="C529" s="3"/>
      <c r="D529" s="1"/>
      <c r="E529" s="1"/>
      <c r="F529" s="1"/>
      <c r="G529" s="1"/>
      <c r="H529" s="1"/>
      <c r="I529" s="1"/>
      <c r="J529" s="1"/>
      <c r="K529" s="1"/>
      <c r="L529" s="1"/>
      <c r="M529" s="1"/>
      <c r="N529" s="1"/>
      <c r="O529" s="1"/>
    </row>
    <row r="530" spans="1:15" ht="15.75" customHeight="1">
      <c r="A530" s="1"/>
      <c r="B530" s="1"/>
      <c r="C530" s="3"/>
      <c r="D530" s="1"/>
      <c r="E530" s="1"/>
      <c r="F530" s="1"/>
      <c r="G530" s="1"/>
      <c r="H530" s="1"/>
      <c r="I530" s="1"/>
      <c r="J530" s="1"/>
      <c r="K530" s="1"/>
      <c r="L530" s="1"/>
      <c r="M530" s="1"/>
      <c r="N530" s="1"/>
      <c r="O530" s="1"/>
    </row>
    <row r="531" spans="1:15" ht="15.75" customHeight="1">
      <c r="A531" s="1"/>
      <c r="B531" s="1"/>
      <c r="C531" s="3"/>
      <c r="D531" s="1"/>
      <c r="E531" s="1"/>
      <c r="F531" s="1"/>
      <c r="G531" s="1"/>
      <c r="H531" s="1"/>
      <c r="I531" s="1"/>
      <c r="J531" s="1"/>
      <c r="K531" s="1"/>
      <c r="L531" s="1"/>
      <c r="M531" s="1"/>
      <c r="N531" s="1"/>
      <c r="O531" s="1"/>
    </row>
    <row r="532" spans="1:15" ht="15.75" customHeight="1">
      <c r="A532" s="1"/>
      <c r="B532" s="1"/>
      <c r="C532" s="3"/>
      <c r="D532" s="1"/>
      <c r="E532" s="1"/>
      <c r="F532" s="1"/>
      <c r="G532" s="1"/>
      <c r="H532" s="1"/>
      <c r="I532" s="1"/>
      <c r="J532" s="1"/>
      <c r="K532" s="1"/>
      <c r="L532" s="1"/>
      <c r="M532" s="1"/>
      <c r="N532" s="1"/>
      <c r="O532" s="1"/>
    </row>
    <row r="533" spans="1:15" ht="15.75" customHeight="1">
      <c r="A533" s="1"/>
      <c r="B533" s="1"/>
      <c r="C533" s="3"/>
      <c r="D533" s="1"/>
      <c r="E533" s="1"/>
      <c r="F533" s="1"/>
      <c r="G533" s="1"/>
      <c r="H533" s="1"/>
      <c r="I533" s="1"/>
      <c r="J533" s="1"/>
      <c r="K533" s="1"/>
      <c r="L533" s="1"/>
      <c r="M533" s="1"/>
      <c r="N533" s="1"/>
      <c r="O533" s="1"/>
    </row>
    <row r="534" spans="1:15" ht="15.75" customHeight="1">
      <c r="A534" s="1"/>
      <c r="B534" s="1"/>
      <c r="C534" s="3"/>
      <c r="D534" s="1"/>
      <c r="E534" s="1"/>
      <c r="F534" s="1"/>
      <c r="G534" s="1"/>
      <c r="H534" s="1"/>
      <c r="I534" s="1"/>
      <c r="J534" s="1"/>
      <c r="K534" s="1"/>
      <c r="L534" s="1"/>
      <c r="M534" s="1"/>
      <c r="N534" s="1"/>
      <c r="O534" s="1"/>
    </row>
    <row r="535" spans="1:15" ht="15.75" customHeight="1">
      <c r="A535" s="1"/>
      <c r="B535" s="1"/>
      <c r="C535" s="3"/>
      <c r="D535" s="1"/>
      <c r="E535" s="1"/>
      <c r="F535" s="1"/>
      <c r="G535" s="1"/>
      <c r="H535" s="1"/>
      <c r="I535" s="1"/>
      <c r="J535" s="1"/>
      <c r="K535" s="1"/>
      <c r="L535" s="1"/>
      <c r="M535" s="1"/>
      <c r="N535" s="1"/>
      <c r="O535" s="1"/>
    </row>
    <row r="536" spans="1:15" ht="15.75" customHeight="1">
      <c r="A536" s="1"/>
      <c r="B536" s="1"/>
      <c r="C536" s="3"/>
      <c r="D536" s="1"/>
      <c r="E536" s="1"/>
      <c r="F536" s="1"/>
      <c r="G536" s="1"/>
      <c r="H536" s="1"/>
      <c r="I536" s="1"/>
      <c r="J536" s="1"/>
      <c r="K536" s="1"/>
      <c r="L536" s="1"/>
      <c r="M536" s="1"/>
      <c r="N536" s="1"/>
      <c r="O536" s="1"/>
    </row>
    <row r="537" spans="1:15" ht="15.75" customHeight="1">
      <c r="A537" s="1"/>
      <c r="B537" s="1"/>
      <c r="C537" s="3"/>
      <c r="D537" s="1"/>
      <c r="E537" s="1"/>
      <c r="F537" s="1"/>
      <c r="G537" s="1"/>
      <c r="H537" s="1"/>
      <c r="I537" s="1"/>
      <c r="J537" s="1"/>
      <c r="K537" s="1"/>
      <c r="L537" s="1"/>
      <c r="M537" s="1"/>
      <c r="N537" s="1"/>
      <c r="O537" s="1"/>
    </row>
    <row r="538" spans="1:15" ht="15.75" customHeight="1">
      <c r="A538" s="1"/>
      <c r="B538" s="1"/>
      <c r="C538" s="3"/>
      <c r="D538" s="1"/>
      <c r="E538" s="1"/>
      <c r="F538" s="1"/>
      <c r="G538" s="1"/>
      <c r="H538" s="1"/>
      <c r="I538" s="1"/>
      <c r="J538" s="1"/>
      <c r="K538" s="1"/>
      <c r="L538" s="1"/>
      <c r="M538" s="1"/>
      <c r="N538" s="1"/>
      <c r="O538" s="1"/>
    </row>
    <row r="539" spans="1:15" ht="15.75" customHeight="1">
      <c r="A539" s="1"/>
      <c r="B539" s="1"/>
      <c r="C539" s="3"/>
      <c r="D539" s="1"/>
      <c r="E539" s="1"/>
      <c r="F539" s="1"/>
      <c r="G539" s="1"/>
      <c r="H539" s="1"/>
      <c r="I539" s="1"/>
      <c r="J539" s="1"/>
      <c r="K539" s="1"/>
      <c r="L539" s="1"/>
      <c r="M539" s="1"/>
      <c r="N539" s="1"/>
      <c r="O539" s="1"/>
    </row>
    <row r="540" spans="1:15" ht="15.75" customHeight="1">
      <c r="A540" s="1"/>
      <c r="B540" s="1"/>
      <c r="C540" s="3"/>
      <c r="D540" s="1"/>
      <c r="E540" s="1"/>
      <c r="F540" s="1"/>
      <c r="G540" s="1"/>
      <c r="H540" s="1"/>
      <c r="I540" s="1"/>
      <c r="J540" s="1"/>
      <c r="K540" s="1"/>
      <c r="L540" s="1"/>
      <c r="M540" s="1"/>
      <c r="N540" s="1"/>
      <c r="O540" s="1"/>
    </row>
    <row r="541" spans="1:15" ht="15.75" customHeight="1">
      <c r="A541" s="1"/>
      <c r="B541" s="1"/>
      <c r="C541" s="3"/>
      <c r="D541" s="1"/>
      <c r="E541" s="1"/>
      <c r="F541" s="1"/>
      <c r="G541" s="1"/>
      <c r="H541" s="1"/>
      <c r="I541" s="1"/>
      <c r="J541" s="1"/>
      <c r="K541" s="1"/>
      <c r="L541" s="1"/>
      <c r="M541" s="1"/>
      <c r="N541" s="1"/>
      <c r="O541" s="1"/>
    </row>
    <row r="542" spans="1:15" ht="15.75" customHeight="1">
      <c r="A542" s="1"/>
      <c r="B542" s="1"/>
      <c r="C542" s="3"/>
      <c r="D542" s="1"/>
      <c r="E542" s="1"/>
      <c r="F542" s="1"/>
      <c r="G542" s="1"/>
      <c r="H542" s="1"/>
      <c r="I542" s="1"/>
      <c r="J542" s="1"/>
      <c r="K542" s="1"/>
      <c r="L542" s="1"/>
      <c r="M542" s="1"/>
      <c r="N542" s="1"/>
      <c r="O542" s="1"/>
    </row>
    <row r="543" spans="1:15" ht="15.75" customHeight="1">
      <c r="A543" s="1"/>
      <c r="B543" s="1"/>
      <c r="C543" s="3"/>
      <c r="D543" s="1"/>
      <c r="E543" s="1"/>
      <c r="F543" s="1"/>
      <c r="G543" s="1"/>
      <c r="H543" s="1"/>
      <c r="I543" s="1"/>
      <c r="J543" s="1"/>
      <c r="K543" s="1"/>
      <c r="L543" s="1"/>
      <c r="M543" s="1"/>
      <c r="N543" s="1"/>
      <c r="O543" s="1"/>
    </row>
    <row r="544" spans="1:15" ht="15.75" customHeight="1">
      <c r="A544" s="1"/>
      <c r="B544" s="1"/>
      <c r="C544" s="3"/>
      <c r="D544" s="1"/>
      <c r="E544" s="1"/>
      <c r="F544" s="1"/>
      <c r="G544" s="1"/>
      <c r="H544" s="1"/>
      <c r="I544" s="1"/>
      <c r="J544" s="1"/>
      <c r="K544" s="1"/>
      <c r="L544" s="1"/>
      <c r="M544" s="1"/>
      <c r="N544" s="1"/>
      <c r="O544" s="1"/>
    </row>
    <row r="545" spans="1:15" ht="15.75" customHeight="1">
      <c r="A545" s="1"/>
      <c r="B545" s="1"/>
      <c r="C545" s="3"/>
      <c r="D545" s="1"/>
      <c r="E545" s="1"/>
      <c r="F545" s="1"/>
      <c r="G545" s="1"/>
      <c r="H545" s="1"/>
      <c r="I545" s="1"/>
      <c r="J545" s="1"/>
      <c r="K545" s="1"/>
      <c r="L545" s="1"/>
      <c r="M545" s="1"/>
      <c r="N545" s="1"/>
      <c r="O545" s="1"/>
    </row>
    <row r="546" spans="1:15" ht="15.75" customHeight="1">
      <c r="A546" s="1"/>
      <c r="B546" s="1"/>
      <c r="C546" s="3"/>
      <c r="D546" s="1"/>
      <c r="E546" s="1"/>
      <c r="F546" s="1"/>
      <c r="G546" s="1"/>
      <c r="H546" s="1"/>
      <c r="I546" s="1"/>
      <c r="J546" s="1"/>
      <c r="K546" s="1"/>
      <c r="L546" s="1"/>
      <c r="M546" s="1"/>
      <c r="N546" s="1"/>
      <c r="O546" s="1"/>
    </row>
    <row r="547" spans="1:15" ht="15.75" customHeight="1">
      <c r="A547" s="1"/>
      <c r="B547" s="1"/>
      <c r="C547" s="3"/>
      <c r="D547" s="1"/>
      <c r="E547" s="1"/>
      <c r="F547" s="1"/>
      <c r="G547" s="1"/>
      <c r="H547" s="1"/>
      <c r="I547" s="1"/>
      <c r="J547" s="1"/>
      <c r="K547" s="1"/>
      <c r="L547" s="1"/>
      <c r="M547" s="1"/>
      <c r="N547" s="1"/>
      <c r="O547" s="1"/>
    </row>
    <row r="548" spans="1:15" ht="15.75" customHeight="1">
      <c r="A548" s="1"/>
      <c r="B548" s="1"/>
      <c r="C548" s="3"/>
      <c r="D548" s="1"/>
      <c r="E548" s="1"/>
      <c r="F548" s="1"/>
      <c r="G548" s="1"/>
      <c r="H548" s="1"/>
      <c r="I548" s="1"/>
      <c r="J548" s="1"/>
      <c r="K548" s="1"/>
      <c r="L548" s="1"/>
      <c r="M548" s="1"/>
      <c r="N548" s="1"/>
      <c r="O548" s="1"/>
    </row>
    <row r="549" spans="1:15" ht="15.75" customHeight="1">
      <c r="A549" s="1"/>
      <c r="B549" s="1"/>
      <c r="C549" s="3"/>
      <c r="D549" s="1"/>
      <c r="E549" s="1"/>
      <c r="F549" s="1"/>
      <c r="G549" s="1"/>
      <c r="H549" s="1"/>
      <c r="I549" s="1"/>
      <c r="J549" s="1"/>
      <c r="K549" s="1"/>
      <c r="L549" s="1"/>
      <c r="M549" s="1"/>
      <c r="N549" s="1"/>
      <c r="O549" s="1"/>
    </row>
    <row r="550" spans="1:15" ht="15.75" customHeight="1">
      <c r="A550" s="1"/>
      <c r="B550" s="1"/>
      <c r="C550" s="3"/>
      <c r="D550" s="1"/>
      <c r="E550" s="1"/>
      <c r="F550" s="1"/>
      <c r="G550" s="1"/>
      <c r="H550" s="1"/>
      <c r="I550" s="1"/>
      <c r="J550" s="1"/>
      <c r="K550" s="1"/>
      <c r="L550" s="1"/>
      <c r="M550" s="1"/>
      <c r="N550" s="1"/>
      <c r="O550" s="1"/>
    </row>
    <row r="551" spans="1:15" ht="15.75" customHeight="1">
      <c r="A551" s="1"/>
      <c r="B551" s="1"/>
      <c r="C551" s="3"/>
      <c r="D551" s="1"/>
      <c r="E551" s="1"/>
      <c r="F551" s="1"/>
      <c r="G551" s="1"/>
      <c r="H551" s="1"/>
      <c r="I551" s="1"/>
      <c r="J551" s="1"/>
      <c r="K551" s="1"/>
      <c r="L551" s="1"/>
      <c r="M551" s="1"/>
      <c r="N551" s="1"/>
      <c r="O551" s="1"/>
    </row>
    <row r="552" spans="1:15" ht="15.75" customHeight="1">
      <c r="A552" s="1"/>
      <c r="B552" s="1"/>
      <c r="C552" s="3"/>
      <c r="D552" s="1"/>
      <c r="E552" s="1"/>
      <c r="F552" s="1"/>
      <c r="G552" s="1"/>
      <c r="H552" s="1"/>
      <c r="I552" s="1"/>
      <c r="J552" s="1"/>
      <c r="K552" s="1"/>
      <c r="L552" s="1"/>
      <c r="M552" s="1"/>
      <c r="N552" s="1"/>
      <c r="O552" s="1"/>
    </row>
    <row r="553" spans="1:15" ht="15.75" customHeight="1">
      <c r="A553" s="1"/>
      <c r="B553" s="1"/>
      <c r="C553" s="3"/>
      <c r="D553" s="1"/>
      <c r="E553" s="1"/>
      <c r="F553" s="1"/>
      <c r="G553" s="1"/>
      <c r="H553" s="1"/>
      <c r="I553" s="1"/>
      <c r="J553" s="1"/>
      <c r="K553" s="1"/>
      <c r="L553" s="1"/>
      <c r="M553" s="1"/>
      <c r="N553" s="1"/>
      <c r="O553" s="1"/>
    </row>
    <row r="554" spans="1:15" ht="15.75" customHeight="1">
      <c r="A554" s="1"/>
      <c r="B554" s="1"/>
      <c r="C554" s="3"/>
      <c r="D554" s="1"/>
      <c r="E554" s="1"/>
      <c r="F554" s="1"/>
      <c r="G554" s="1"/>
      <c r="H554" s="1"/>
      <c r="I554" s="1"/>
      <c r="J554" s="1"/>
      <c r="K554" s="1"/>
      <c r="L554" s="1"/>
      <c r="M554" s="1"/>
      <c r="N554" s="1"/>
      <c r="O554" s="1"/>
    </row>
    <row r="555" spans="1:15" ht="15.75" customHeight="1">
      <c r="A555" s="1"/>
      <c r="B555" s="1"/>
      <c r="C555" s="3"/>
      <c r="D555" s="1"/>
      <c r="E555" s="1"/>
      <c r="F555" s="1"/>
      <c r="G555" s="1"/>
      <c r="H555" s="1"/>
      <c r="I555" s="1"/>
      <c r="J555" s="1"/>
      <c r="K555" s="1"/>
      <c r="L555" s="1"/>
      <c r="M555" s="1"/>
      <c r="N555" s="1"/>
      <c r="O555" s="1"/>
    </row>
    <row r="556" spans="1:15" ht="15.75" customHeight="1">
      <c r="A556" s="1"/>
      <c r="B556" s="1"/>
      <c r="C556" s="3"/>
      <c r="D556" s="1"/>
      <c r="E556" s="1"/>
      <c r="F556" s="1"/>
      <c r="G556" s="1"/>
      <c r="H556" s="1"/>
      <c r="I556" s="1"/>
      <c r="J556" s="1"/>
      <c r="K556" s="1"/>
      <c r="L556" s="1"/>
      <c r="M556" s="1"/>
      <c r="N556" s="1"/>
      <c r="O556" s="1"/>
    </row>
    <row r="557" spans="1:15" ht="15.75" customHeight="1">
      <c r="A557" s="1"/>
      <c r="B557" s="1"/>
      <c r="C557" s="3"/>
      <c r="D557" s="1"/>
      <c r="E557" s="1"/>
      <c r="F557" s="1"/>
      <c r="G557" s="1"/>
      <c r="H557" s="1"/>
      <c r="I557" s="1"/>
      <c r="J557" s="1"/>
      <c r="K557" s="1"/>
      <c r="L557" s="1"/>
      <c r="M557" s="1"/>
      <c r="N557" s="1"/>
      <c r="O557" s="1"/>
    </row>
    <row r="558" spans="1:15" ht="15.75" customHeight="1">
      <c r="A558" s="1"/>
      <c r="B558" s="1"/>
      <c r="C558" s="3"/>
      <c r="D558" s="1"/>
      <c r="E558" s="1"/>
      <c r="F558" s="1"/>
      <c r="G558" s="1"/>
      <c r="H558" s="1"/>
      <c r="I558" s="1"/>
      <c r="J558" s="1"/>
      <c r="K558" s="1"/>
      <c r="L558" s="1"/>
      <c r="M558" s="1"/>
      <c r="N558" s="1"/>
      <c r="O558" s="1"/>
    </row>
    <row r="559" spans="1:15" ht="15.75" customHeight="1">
      <c r="A559" s="1"/>
      <c r="B559" s="1"/>
      <c r="C559" s="3"/>
      <c r="D559" s="1"/>
      <c r="E559" s="1"/>
      <c r="F559" s="1"/>
      <c r="G559" s="1"/>
      <c r="H559" s="1"/>
      <c r="I559" s="1"/>
      <c r="J559" s="1"/>
      <c r="K559" s="1"/>
      <c r="L559" s="1"/>
      <c r="M559" s="1"/>
      <c r="N559" s="1"/>
      <c r="O559" s="1"/>
    </row>
    <row r="560" spans="1:15" ht="15.75" customHeight="1">
      <c r="A560" s="1"/>
      <c r="B560" s="1"/>
      <c r="C560" s="3"/>
      <c r="D560" s="1"/>
      <c r="E560" s="1"/>
      <c r="F560" s="1"/>
      <c r="G560" s="1"/>
      <c r="H560" s="1"/>
      <c r="I560" s="1"/>
      <c r="J560" s="1"/>
      <c r="K560" s="1"/>
      <c r="L560" s="1"/>
      <c r="M560" s="1"/>
      <c r="N560" s="1"/>
      <c r="O560" s="1"/>
    </row>
    <row r="561" spans="1:15" ht="15.75" customHeight="1">
      <c r="A561" s="1"/>
      <c r="B561" s="1"/>
      <c r="C561" s="3"/>
      <c r="D561" s="1"/>
      <c r="E561" s="1"/>
      <c r="F561" s="1"/>
      <c r="G561" s="1"/>
      <c r="H561" s="1"/>
      <c r="I561" s="1"/>
      <c r="J561" s="1"/>
      <c r="K561" s="1"/>
      <c r="L561" s="1"/>
      <c r="M561" s="1"/>
      <c r="N561" s="1"/>
      <c r="O561" s="1"/>
    </row>
    <row r="562" spans="1:15" ht="15.75" customHeight="1">
      <c r="A562" s="1"/>
      <c r="B562" s="1"/>
      <c r="C562" s="3"/>
      <c r="D562" s="1"/>
      <c r="E562" s="1"/>
      <c r="F562" s="1"/>
      <c r="G562" s="1"/>
      <c r="H562" s="1"/>
      <c r="I562" s="1"/>
      <c r="J562" s="1"/>
      <c r="K562" s="1"/>
      <c r="L562" s="1"/>
      <c r="M562" s="1"/>
      <c r="N562" s="1"/>
      <c r="O562" s="1"/>
    </row>
    <row r="563" spans="1:15" ht="15.75" customHeight="1">
      <c r="A563" s="1"/>
      <c r="B563" s="1"/>
      <c r="C563" s="3"/>
      <c r="D563" s="1"/>
      <c r="E563" s="1"/>
      <c r="F563" s="1"/>
      <c r="G563" s="1"/>
      <c r="H563" s="1"/>
      <c r="I563" s="1"/>
      <c r="J563" s="1"/>
      <c r="K563" s="1"/>
      <c r="L563" s="1"/>
      <c r="M563" s="1"/>
      <c r="N563" s="1"/>
      <c r="O563" s="1"/>
    </row>
    <row r="564" spans="1:15" ht="15.75" customHeight="1">
      <c r="A564" s="1"/>
      <c r="B564" s="1"/>
      <c r="C564" s="3"/>
      <c r="D564" s="1"/>
      <c r="E564" s="1"/>
      <c r="F564" s="1"/>
      <c r="G564" s="1"/>
      <c r="H564" s="1"/>
      <c r="I564" s="1"/>
      <c r="J564" s="1"/>
      <c r="K564" s="1"/>
      <c r="L564" s="1"/>
      <c r="M564" s="1"/>
      <c r="N564" s="1"/>
      <c r="O564" s="1"/>
    </row>
    <row r="565" spans="1:15" ht="15.75" customHeight="1">
      <c r="A565" s="1"/>
      <c r="B565" s="1"/>
      <c r="C565" s="3"/>
      <c r="D565" s="1"/>
      <c r="E565" s="1"/>
      <c r="F565" s="1"/>
      <c r="G565" s="1"/>
      <c r="H565" s="1"/>
      <c r="I565" s="1"/>
      <c r="J565" s="1"/>
      <c r="K565" s="1"/>
      <c r="L565" s="1"/>
      <c r="M565" s="1"/>
      <c r="N565" s="1"/>
      <c r="O565" s="1"/>
    </row>
    <row r="566" spans="1:15" ht="15.75" customHeight="1">
      <c r="A566" s="1"/>
      <c r="B566" s="1"/>
      <c r="C566" s="3"/>
      <c r="D566" s="1"/>
      <c r="E566" s="1"/>
      <c r="F566" s="1"/>
      <c r="G566" s="1"/>
      <c r="H566" s="1"/>
      <c r="I566" s="1"/>
      <c r="J566" s="1"/>
      <c r="K566" s="1"/>
      <c r="L566" s="1"/>
      <c r="M566" s="1"/>
      <c r="N566" s="1"/>
      <c r="O566" s="1"/>
    </row>
    <row r="567" spans="1:15" ht="15.75" customHeight="1">
      <c r="A567" s="1"/>
      <c r="B567" s="1"/>
      <c r="C567" s="3"/>
      <c r="D567" s="1"/>
      <c r="E567" s="1"/>
      <c r="F567" s="1"/>
      <c r="G567" s="1"/>
      <c r="H567" s="1"/>
      <c r="I567" s="1"/>
      <c r="J567" s="1"/>
      <c r="K567" s="1"/>
      <c r="L567" s="1"/>
      <c r="M567" s="1"/>
      <c r="N567" s="1"/>
      <c r="O567" s="1"/>
    </row>
    <row r="568" spans="1:15" ht="15.75" customHeight="1">
      <c r="A568" s="1"/>
      <c r="B568" s="1"/>
      <c r="C568" s="3"/>
      <c r="D568" s="1"/>
      <c r="E568" s="1"/>
      <c r="F568" s="1"/>
      <c r="G568" s="1"/>
      <c r="H568" s="1"/>
      <c r="I568" s="1"/>
      <c r="J568" s="1"/>
      <c r="K568" s="1"/>
      <c r="L568" s="1"/>
      <c r="M568" s="1"/>
      <c r="N568" s="1"/>
      <c r="O568" s="1"/>
    </row>
    <row r="569" spans="1:15" ht="15.75" customHeight="1">
      <c r="A569" s="1"/>
      <c r="B569" s="1"/>
      <c r="C569" s="3"/>
      <c r="D569" s="1"/>
      <c r="E569" s="1"/>
      <c r="F569" s="1"/>
      <c r="G569" s="1"/>
      <c r="H569" s="1"/>
      <c r="I569" s="1"/>
      <c r="J569" s="1"/>
      <c r="K569" s="1"/>
      <c r="L569" s="1"/>
      <c r="M569" s="1"/>
      <c r="N569" s="1"/>
      <c r="O569" s="1"/>
    </row>
    <row r="570" spans="1:15" ht="15.75" customHeight="1">
      <c r="A570" s="1"/>
      <c r="B570" s="1"/>
      <c r="C570" s="3"/>
      <c r="D570" s="1"/>
      <c r="E570" s="1"/>
      <c r="F570" s="1"/>
      <c r="G570" s="1"/>
      <c r="H570" s="1"/>
      <c r="I570" s="1"/>
      <c r="J570" s="1"/>
      <c r="K570" s="1"/>
      <c r="L570" s="1"/>
      <c r="M570" s="1"/>
      <c r="N570" s="1"/>
      <c r="O570" s="1"/>
    </row>
    <row r="571" spans="1:15" ht="15.75" customHeight="1">
      <c r="A571" s="1"/>
      <c r="B571" s="1"/>
      <c r="C571" s="3"/>
      <c r="D571" s="1"/>
      <c r="E571" s="1"/>
      <c r="F571" s="1"/>
      <c r="G571" s="1"/>
      <c r="H571" s="1"/>
      <c r="I571" s="1"/>
      <c r="J571" s="1"/>
      <c r="K571" s="1"/>
      <c r="L571" s="1"/>
      <c r="M571" s="1"/>
      <c r="N571" s="1"/>
      <c r="O571" s="1"/>
    </row>
    <row r="572" spans="1:15" ht="15.75" customHeight="1">
      <c r="A572" s="1"/>
      <c r="B572" s="1"/>
      <c r="C572" s="3"/>
      <c r="D572" s="1"/>
      <c r="E572" s="1"/>
      <c r="F572" s="1"/>
      <c r="G572" s="1"/>
      <c r="H572" s="1"/>
      <c r="I572" s="1"/>
      <c r="J572" s="1"/>
      <c r="K572" s="1"/>
      <c r="L572" s="1"/>
      <c r="M572" s="1"/>
      <c r="N572" s="1"/>
      <c r="O572" s="1"/>
    </row>
    <row r="573" spans="1:15" ht="15.75" customHeight="1">
      <c r="A573" s="1"/>
      <c r="B573" s="1"/>
      <c r="C573" s="3"/>
      <c r="D573" s="1"/>
      <c r="E573" s="1"/>
      <c r="F573" s="1"/>
      <c r="G573" s="1"/>
      <c r="H573" s="1"/>
      <c r="I573" s="1"/>
      <c r="J573" s="1"/>
      <c r="K573" s="1"/>
      <c r="L573" s="1"/>
      <c r="M573" s="1"/>
      <c r="N573" s="1"/>
      <c r="O573" s="1"/>
    </row>
    <row r="574" spans="1:15" ht="15.75" customHeight="1">
      <c r="A574" s="1"/>
      <c r="B574" s="1"/>
      <c r="C574" s="3"/>
      <c r="D574" s="1"/>
      <c r="E574" s="1"/>
      <c r="F574" s="1"/>
      <c r="G574" s="1"/>
      <c r="H574" s="1"/>
      <c r="I574" s="1"/>
      <c r="J574" s="1"/>
      <c r="K574" s="1"/>
      <c r="L574" s="1"/>
      <c r="M574" s="1"/>
      <c r="N574" s="1"/>
      <c r="O574" s="1"/>
    </row>
    <row r="575" spans="1:15" ht="15.75" customHeight="1">
      <c r="A575" s="1"/>
      <c r="B575" s="1"/>
      <c r="C575" s="3"/>
      <c r="D575" s="1"/>
      <c r="E575" s="1"/>
      <c r="F575" s="1"/>
      <c r="G575" s="1"/>
      <c r="H575" s="1"/>
      <c r="I575" s="1"/>
      <c r="J575" s="1"/>
      <c r="K575" s="1"/>
      <c r="L575" s="1"/>
      <c r="M575" s="1"/>
      <c r="N575" s="1"/>
      <c r="O575" s="1"/>
    </row>
    <row r="576" spans="1:15" ht="15.75" customHeight="1">
      <c r="A576" s="1"/>
      <c r="B576" s="1"/>
      <c r="C576" s="3"/>
      <c r="D576" s="1"/>
      <c r="E576" s="1"/>
      <c r="F576" s="1"/>
      <c r="G576" s="1"/>
      <c r="H576" s="1"/>
      <c r="I576" s="1"/>
      <c r="J576" s="1"/>
      <c r="K576" s="1"/>
      <c r="L576" s="1"/>
      <c r="M576" s="1"/>
      <c r="N576" s="1"/>
      <c r="O576" s="1"/>
    </row>
    <row r="577" spans="1:15" ht="15.75" customHeight="1">
      <c r="A577" s="1"/>
      <c r="B577" s="1"/>
      <c r="C577" s="3"/>
      <c r="D577" s="1"/>
      <c r="E577" s="1"/>
      <c r="F577" s="1"/>
      <c r="G577" s="1"/>
      <c r="H577" s="1"/>
      <c r="I577" s="1"/>
      <c r="J577" s="1"/>
      <c r="K577" s="1"/>
      <c r="L577" s="1"/>
      <c r="M577" s="1"/>
      <c r="N577" s="1"/>
      <c r="O577" s="1"/>
    </row>
    <row r="578" spans="1:15" ht="15.75" customHeight="1">
      <c r="A578" s="1"/>
      <c r="B578" s="1"/>
      <c r="C578" s="3"/>
      <c r="D578" s="1"/>
      <c r="E578" s="1"/>
      <c r="F578" s="1"/>
      <c r="G578" s="1"/>
      <c r="H578" s="1"/>
      <c r="I578" s="1"/>
      <c r="J578" s="1"/>
      <c r="K578" s="1"/>
      <c r="L578" s="1"/>
      <c r="M578" s="1"/>
      <c r="N578" s="1"/>
      <c r="O578" s="1"/>
    </row>
    <row r="579" spans="1:15" ht="15.75" customHeight="1">
      <c r="A579" s="1"/>
      <c r="B579" s="1"/>
      <c r="C579" s="3"/>
      <c r="D579" s="1"/>
      <c r="E579" s="1"/>
      <c r="F579" s="1"/>
      <c r="G579" s="1"/>
      <c r="H579" s="1"/>
      <c r="I579" s="1"/>
      <c r="J579" s="1"/>
      <c r="K579" s="1"/>
      <c r="L579" s="1"/>
      <c r="M579" s="1"/>
      <c r="N579" s="1"/>
      <c r="O579" s="1"/>
    </row>
    <row r="580" spans="1:15" ht="15.75" customHeight="1">
      <c r="A580" s="1"/>
      <c r="B580" s="1"/>
      <c r="C580" s="3"/>
      <c r="D580" s="1"/>
      <c r="E580" s="1"/>
      <c r="F580" s="1"/>
      <c r="G580" s="1"/>
      <c r="H580" s="1"/>
      <c r="I580" s="1"/>
      <c r="J580" s="1"/>
      <c r="K580" s="1"/>
      <c r="L580" s="1"/>
      <c r="M580" s="1"/>
      <c r="N580" s="1"/>
      <c r="O580" s="1"/>
    </row>
    <row r="581" spans="1:15" ht="15.75" customHeight="1">
      <c r="A581" s="1"/>
      <c r="B581" s="1"/>
      <c r="C581" s="3"/>
      <c r="D581" s="1"/>
      <c r="E581" s="1"/>
      <c r="F581" s="1"/>
      <c r="G581" s="1"/>
      <c r="H581" s="1"/>
      <c r="I581" s="1"/>
      <c r="J581" s="1"/>
      <c r="K581" s="1"/>
      <c r="L581" s="1"/>
      <c r="M581" s="1"/>
      <c r="N581" s="1"/>
      <c r="O581" s="1"/>
    </row>
    <row r="582" spans="1:15" ht="15.75" customHeight="1">
      <c r="A582" s="1"/>
      <c r="B582" s="1"/>
      <c r="C582" s="3"/>
      <c r="D582" s="1"/>
      <c r="E582" s="1"/>
      <c r="F582" s="1"/>
      <c r="G582" s="1"/>
      <c r="H582" s="1"/>
      <c r="I582" s="1"/>
      <c r="J582" s="1"/>
      <c r="K582" s="1"/>
      <c r="L582" s="1"/>
      <c r="M582" s="1"/>
      <c r="N582" s="1"/>
      <c r="O582" s="1"/>
    </row>
    <row r="583" spans="1:15" ht="15.75" customHeight="1">
      <c r="A583" s="1"/>
      <c r="B583" s="1"/>
      <c r="C583" s="3"/>
      <c r="D583" s="1"/>
      <c r="E583" s="1"/>
      <c r="F583" s="1"/>
      <c r="G583" s="1"/>
      <c r="H583" s="1"/>
      <c r="I583" s="1"/>
      <c r="J583" s="1"/>
      <c r="K583" s="1"/>
      <c r="L583" s="1"/>
      <c r="M583" s="1"/>
      <c r="N583" s="1"/>
      <c r="O583" s="1"/>
    </row>
    <row r="584" spans="1:15" ht="15.75" customHeight="1">
      <c r="A584" s="1"/>
      <c r="B584" s="1"/>
      <c r="C584" s="3"/>
      <c r="D584" s="1"/>
      <c r="E584" s="1"/>
      <c r="F584" s="1"/>
      <c r="G584" s="1"/>
      <c r="H584" s="1"/>
      <c r="I584" s="1"/>
      <c r="J584" s="1"/>
      <c r="K584" s="1"/>
      <c r="L584" s="1"/>
      <c r="M584" s="1"/>
      <c r="N584" s="1"/>
      <c r="O584" s="1"/>
    </row>
    <row r="585" spans="1:15" ht="15.75" customHeight="1">
      <c r="A585" s="1"/>
      <c r="B585" s="1"/>
      <c r="C585" s="3"/>
      <c r="D585" s="1"/>
      <c r="E585" s="1"/>
      <c r="F585" s="1"/>
      <c r="G585" s="1"/>
      <c r="H585" s="1"/>
      <c r="I585" s="1"/>
      <c r="J585" s="1"/>
      <c r="K585" s="1"/>
      <c r="L585" s="1"/>
      <c r="M585" s="1"/>
      <c r="N585" s="1"/>
      <c r="O585" s="1"/>
    </row>
    <row r="586" spans="1:15" ht="15.75" customHeight="1">
      <c r="A586" s="1"/>
      <c r="B586" s="1"/>
      <c r="C586" s="3"/>
      <c r="D586" s="1"/>
      <c r="E586" s="1"/>
      <c r="F586" s="1"/>
      <c r="G586" s="1"/>
      <c r="H586" s="1"/>
      <c r="I586" s="1"/>
      <c r="J586" s="1"/>
      <c r="K586" s="1"/>
      <c r="L586" s="1"/>
      <c r="M586" s="1"/>
      <c r="N586" s="1"/>
      <c r="O586" s="1"/>
    </row>
    <row r="587" spans="1:15" ht="15.75" customHeight="1">
      <c r="A587" s="1"/>
      <c r="B587" s="1"/>
      <c r="C587" s="3"/>
      <c r="D587" s="1"/>
      <c r="E587" s="1"/>
      <c r="F587" s="1"/>
      <c r="G587" s="1"/>
      <c r="H587" s="1"/>
      <c r="I587" s="1"/>
      <c r="J587" s="1"/>
      <c r="K587" s="1"/>
      <c r="L587" s="1"/>
      <c r="M587" s="1"/>
      <c r="N587" s="1"/>
      <c r="O587" s="1"/>
    </row>
    <row r="588" spans="1:15" ht="15.75" customHeight="1">
      <c r="A588" s="1"/>
      <c r="B588" s="1"/>
      <c r="C588" s="3"/>
      <c r="D588" s="1"/>
      <c r="E588" s="1"/>
      <c r="F588" s="1"/>
      <c r="G588" s="1"/>
      <c r="H588" s="1"/>
      <c r="I588" s="1"/>
      <c r="J588" s="1"/>
      <c r="K588" s="1"/>
      <c r="L588" s="1"/>
      <c r="M588" s="1"/>
      <c r="N588" s="1"/>
      <c r="O588" s="1"/>
    </row>
    <row r="589" spans="1:15" ht="15.75" customHeight="1">
      <c r="A589" s="1"/>
      <c r="B589" s="1"/>
      <c r="C589" s="3"/>
      <c r="D589" s="1"/>
      <c r="E589" s="1"/>
      <c r="F589" s="1"/>
      <c r="G589" s="1"/>
      <c r="H589" s="1"/>
      <c r="I589" s="1"/>
      <c r="J589" s="1"/>
      <c r="K589" s="1"/>
      <c r="L589" s="1"/>
      <c r="M589" s="1"/>
      <c r="N589" s="1"/>
      <c r="O589" s="1"/>
    </row>
    <row r="590" spans="1:15" ht="15.75" customHeight="1">
      <c r="A590" s="1"/>
      <c r="B590" s="1"/>
      <c r="C590" s="3"/>
      <c r="D590" s="1"/>
      <c r="E590" s="1"/>
      <c r="F590" s="1"/>
      <c r="G590" s="1"/>
      <c r="H590" s="1"/>
      <c r="I590" s="1"/>
      <c r="J590" s="1"/>
      <c r="K590" s="1"/>
      <c r="L590" s="1"/>
      <c r="M590" s="1"/>
      <c r="N590" s="1"/>
      <c r="O590" s="1"/>
    </row>
    <row r="591" spans="1:15" ht="15.75" customHeight="1">
      <c r="A591" s="1"/>
      <c r="B591" s="1"/>
      <c r="C591" s="3"/>
      <c r="D591" s="1"/>
      <c r="E591" s="1"/>
      <c r="F591" s="1"/>
      <c r="G591" s="1"/>
      <c r="H591" s="1"/>
      <c r="I591" s="1"/>
      <c r="J591" s="1"/>
      <c r="K591" s="1"/>
      <c r="L591" s="1"/>
      <c r="M591" s="1"/>
      <c r="N591" s="1"/>
      <c r="O591" s="1"/>
    </row>
    <row r="592" spans="1:15" ht="15.75" customHeight="1">
      <c r="A592" s="1"/>
      <c r="B592" s="1"/>
      <c r="C592" s="3"/>
      <c r="D592" s="1"/>
      <c r="E592" s="1"/>
      <c r="F592" s="1"/>
      <c r="G592" s="1"/>
      <c r="H592" s="1"/>
      <c r="I592" s="1"/>
      <c r="J592" s="1"/>
      <c r="K592" s="1"/>
      <c r="L592" s="1"/>
      <c r="M592" s="1"/>
      <c r="N592" s="1"/>
      <c r="O592" s="1"/>
    </row>
    <row r="593" spans="1:15" ht="15.75" customHeight="1">
      <c r="A593" s="1"/>
      <c r="B593" s="1"/>
      <c r="C593" s="3"/>
      <c r="D593" s="1"/>
      <c r="E593" s="1"/>
      <c r="F593" s="1"/>
      <c r="G593" s="1"/>
      <c r="H593" s="1"/>
      <c r="I593" s="1"/>
      <c r="J593" s="1"/>
      <c r="K593" s="1"/>
      <c r="L593" s="1"/>
      <c r="M593" s="1"/>
      <c r="N593" s="1"/>
      <c r="O593" s="1"/>
    </row>
    <row r="594" spans="1:15" ht="15.75" customHeight="1">
      <c r="A594" s="1"/>
      <c r="B594" s="1"/>
      <c r="C594" s="3"/>
      <c r="D594" s="1"/>
      <c r="E594" s="1"/>
      <c r="F594" s="1"/>
      <c r="G594" s="1"/>
      <c r="H594" s="1"/>
      <c r="I594" s="1"/>
      <c r="J594" s="1"/>
      <c r="K594" s="1"/>
      <c r="L594" s="1"/>
      <c r="M594" s="1"/>
      <c r="N594" s="1"/>
      <c r="O594" s="1"/>
    </row>
    <row r="595" spans="1:15" ht="15.75" customHeight="1">
      <c r="A595" s="1"/>
      <c r="B595" s="1"/>
      <c r="C595" s="3"/>
      <c r="D595" s="1"/>
      <c r="E595" s="1"/>
      <c r="F595" s="1"/>
      <c r="G595" s="1"/>
      <c r="H595" s="1"/>
      <c r="I595" s="1"/>
      <c r="J595" s="1"/>
      <c r="K595" s="1"/>
      <c r="L595" s="1"/>
      <c r="M595" s="1"/>
      <c r="N595" s="1"/>
      <c r="O595" s="1"/>
    </row>
    <row r="596" spans="1:15" ht="15.75" customHeight="1">
      <c r="A596" s="1"/>
      <c r="B596" s="1"/>
      <c r="C596" s="3"/>
      <c r="D596" s="1"/>
      <c r="E596" s="1"/>
      <c r="F596" s="1"/>
      <c r="G596" s="1"/>
      <c r="H596" s="1"/>
      <c r="I596" s="1"/>
      <c r="J596" s="1"/>
      <c r="K596" s="1"/>
      <c r="L596" s="1"/>
      <c r="M596" s="1"/>
      <c r="N596" s="1"/>
      <c r="O596" s="1"/>
    </row>
    <row r="597" spans="1:15" ht="15.75" customHeight="1">
      <c r="A597" s="1"/>
      <c r="B597" s="1"/>
      <c r="C597" s="3"/>
      <c r="D597" s="1"/>
      <c r="E597" s="1"/>
      <c r="F597" s="1"/>
      <c r="G597" s="1"/>
      <c r="H597" s="1"/>
      <c r="I597" s="1"/>
      <c r="J597" s="1"/>
      <c r="K597" s="1"/>
      <c r="L597" s="1"/>
      <c r="M597" s="1"/>
      <c r="N597" s="1"/>
      <c r="O597" s="1"/>
    </row>
    <row r="598" spans="1:15" ht="15.75" customHeight="1">
      <c r="A598" s="1"/>
      <c r="B598" s="1"/>
      <c r="C598" s="3"/>
      <c r="D598" s="1"/>
      <c r="E598" s="1"/>
      <c r="F598" s="1"/>
      <c r="G598" s="1"/>
      <c r="H598" s="1"/>
      <c r="I598" s="1"/>
      <c r="J598" s="1"/>
      <c r="K598" s="1"/>
      <c r="L598" s="1"/>
      <c r="M598" s="1"/>
      <c r="N598" s="1"/>
      <c r="O598" s="1"/>
    </row>
    <row r="599" spans="1:15" ht="15.75" customHeight="1">
      <c r="A599" s="1"/>
      <c r="B599" s="1"/>
      <c r="C599" s="3"/>
      <c r="D599" s="1"/>
      <c r="E599" s="1"/>
      <c r="F599" s="1"/>
      <c r="G599" s="1"/>
      <c r="H599" s="1"/>
      <c r="I599" s="1"/>
      <c r="J599" s="1"/>
      <c r="K599" s="1"/>
      <c r="L599" s="1"/>
      <c r="M599" s="1"/>
      <c r="N599" s="1"/>
      <c r="O599" s="1"/>
    </row>
    <row r="600" spans="1:15" ht="15.75" customHeight="1">
      <c r="A600" s="1"/>
      <c r="B600" s="1"/>
      <c r="C600" s="3"/>
      <c r="D600" s="1"/>
      <c r="E600" s="1"/>
      <c r="F600" s="1"/>
      <c r="G600" s="1"/>
      <c r="H600" s="1"/>
      <c r="I600" s="1"/>
      <c r="J600" s="1"/>
      <c r="K600" s="1"/>
      <c r="L600" s="1"/>
      <c r="M600" s="1"/>
      <c r="N600" s="1"/>
      <c r="O600" s="1"/>
    </row>
    <row r="601" spans="1:15" ht="15.75" customHeight="1">
      <c r="A601" s="1"/>
      <c r="B601" s="1"/>
      <c r="C601" s="3"/>
      <c r="D601" s="1"/>
      <c r="E601" s="1"/>
      <c r="F601" s="1"/>
      <c r="G601" s="1"/>
      <c r="H601" s="1"/>
      <c r="I601" s="1"/>
      <c r="J601" s="1"/>
      <c r="K601" s="1"/>
      <c r="L601" s="1"/>
      <c r="M601" s="1"/>
      <c r="N601" s="1"/>
      <c r="O601" s="1"/>
    </row>
    <row r="602" spans="1:15" ht="15.75" customHeight="1">
      <c r="A602" s="1"/>
      <c r="B602" s="1"/>
      <c r="C602" s="3"/>
      <c r="D602" s="1"/>
      <c r="E602" s="1"/>
      <c r="F602" s="1"/>
      <c r="G602" s="1"/>
      <c r="H602" s="1"/>
      <c r="I602" s="1"/>
      <c r="J602" s="1"/>
      <c r="K602" s="1"/>
      <c r="L602" s="1"/>
      <c r="M602" s="1"/>
      <c r="N602" s="1"/>
      <c r="O602" s="1"/>
    </row>
    <row r="603" spans="1:15" ht="15.75" customHeight="1">
      <c r="A603" s="1"/>
      <c r="B603" s="1"/>
      <c r="C603" s="3"/>
      <c r="D603" s="1"/>
      <c r="E603" s="1"/>
      <c r="F603" s="1"/>
      <c r="G603" s="1"/>
      <c r="H603" s="1"/>
      <c r="I603" s="1"/>
      <c r="J603" s="1"/>
      <c r="K603" s="1"/>
      <c r="L603" s="1"/>
      <c r="M603" s="1"/>
      <c r="N603" s="1"/>
      <c r="O603" s="1"/>
    </row>
    <row r="604" spans="1:15" ht="15.75" customHeight="1">
      <c r="A604" s="1"/>
      <c r="B604" s="1"/>
      <c r="C604" s="3"/>
      <c r="D604" s="1"/>
      <c r="E604" s="1"/>
      <c r="F604" s="1"/>
      <c r="G604" s="1"/>
      <c r="H604" s="1"/>
      <c r="I604" s="1"/>
      <c r="J604" s="1"/>
      <c r="K604" s="1"/>
      <c r="L604" s="1"/>
      <c r="M604" s="1"/>
      <c r="N604" s="1"/>
      <c r="O604" s="1"/>
    </row>
    <row r="605" spans="1:15" ht="15.75" customHeight="1">
      <c r="A605" s="1"/>
      <c r="B605" s="1"/>
      <c r="C605" s="3"/>
      <c r="D605" s="1"/>
      <c r="E605" s="1"/>
      <c r="F605" s="1"/>
      <c r="G605" s="1"/>
      <c r="H605" s="1"/>
      <c r="I605" s="1"/>
      <c r="J605" s="1"/>
      <c r="K605" s="1"/>
      <c r="L605" s="1"/>
      <c r="M605" s="1"/>
      <c r="N605" s="1"/>
      <c r="O605" s="1"/>
    </row>
    <row r="606" spans="1:15" ht="15.75" customHeight="1">
      <c r="A606" s="1"/>
      <c r="B606" s="1"/>
      <c r="C606" s="3"/>
      <c r="D606" s="1"/>
      <c r="E606" s="1"/>
      <c r="F606" s="1"/>
      <c r="G606" s="1"/>
      <c r="H606" s="1"/>
      <c r="I606" s="1"/>
      <c r="J606" s="1"/>
      <c r="K606" s="1"/>
      <c r="L606" s="1"/>
      <c r="M606" s="1"/>
      <c r="N606" s="1"/>
      <c r="O606" s="1"/>
    </row>
    <row r="607" spans="1:15" ht="15.75" customHeight="1">
      <c r="A607" s="1"/>
      <c r="B607" s="1"/>
      <c r="C607" s="3"/>
      <c r="D607" s="1"/>
      <c r="E607" s="1"/>
      <c r="F607" s="1"/>
      <c r="G607" s="1"/>
      <c r="H607" s="1"/>
      <c r="I607" s="1"/>
      <c r="J607" s="1"/>
      <c r="K607" s="1"/>
      <c r="L607" s="1"/>
      <c r="M607" s="1"/>
      <c r="N607" s="1"/>
      <c r="O607" s="1"/>
    </row>
    <row r="608" spans="1:15" ht="15.75" customHeight="1">
      <c r="A608" s="1"/>
      <c r="B608" s="1"/>
      <c r="C608" s="3"/>
      <c r="D608" s="1"/>
      <c r="E608" s="1"/>
      <c r="F608" s="1"/>
      <c r="G608" s="1"/>
      <c r="H608" s="1"/>
      <c r="I608" s="1"/>
      <c r="J608" s="1"/>
      <c r="K608" s="1"/>
      <c r="L608" s="1"/>
      <c r="M608" s="1"/>
      <c r="N608" s="1"/>
      <c r="O608" s="1"/>
    </row>
    <row r="609" spans="1:15" ht="15.75" customHeight="1">
      <c r="A609" s="1"/>
      <c r="B609" s="1"/>
      <c r="C609" s="3"/>
      <c r="D609" s="1"/>
      <c r="E609" s="1"/>
      <c r="F609" s="1"/>
      <c r="G609" s="1"/>
      <c r="H609" s="1"/>
      <c r="I609" s="1"/>
      <c r="J609" s="1"/>
      <c r="K609" s="1"/>
      <c r="L609" s="1"/>
      <c r="M609" s="1"/>
      <c r="N609" s="1"/>
      <c r="O609" s="1"/>
    </row>
    <row r="610" spans="1:15" ht="15.75" customHeight="1">
      <c r="A610" s="1"/>
      <c r="B610" s="1"/>
      <c r="C610" s="3"/>
      <c r="D610" s="1"/>
      <c r="E610" s="1"/>
      <c r="F610" s="1"/>
      <c r="G610" s="1"/>
      <c r="H610" s="1"/>
      <c r="I610" s="1"/>
      <c r="J610" s="1"/>
      <c r="K610" s="1"/>
      <c r="L610" s="1"/>
      <c r="M610" s="1"/>
      <c r="N610" s="1"/>
      <c r="O610" s="1"/>
    </row>
    <row r="611" spans="1:15" ht="15.75" customHeight="1">
      <c r="A611" s="1"/>
      <c r="B611" s="1"/>
      <c r="C611" s="3"/>
      <c r="D611" s="1"/>
      <c r="E611" s="1"/>
      <c r="F611" s="1"/>
      <c r="G611" s="1"/>
      <c r="H611" s="1"/>
      <c r="I611" s="1"/>
      <c r="J611" s="1"/>
      <c r="K611" s="1"/>
      <c r="L611" s="1"/>
      <c r="M611" s="1"/>
      <c r="N611" s="1"/>
      <c r="O611" s="1"/>
    </row>
    <row r="612" spans="1:15" ht="15.75" customHeight="1">
      <c r="A612" s="1"/>
      <c r="B612" s="1"/>
      <c r="C612" s="3"/>
      <c r="D612" s="1"/>
      <c r="E612" s="1"/>
      <c r="F612" s="1"/>
      <c r="G612" s="1"/>
      <c r="H612" s="1"/>
      <c r="I612" s="1"/>
      <c r="J612" s="1"/>
      <c r="K612" s="1"/>
      <c r="L612" s="1"/>
      <c r="M612" s="1"/>
      <c r="N612" s="1"/>
      <c r="O612" s="1"/>
    </row>
    <row r="613" spans="1:15" ht="15.75" customHeight="1">
      <c r="A613" s="1"/>
      <c r="B613" s="1"/>
      <c r="C613" s="3"/>
      <c r="D613" s="1"/>
      <c r="E613" s="1"/>
      <c r="F613" s="1"/>
      <c r="G613" s="1"/>
      <c r="H613" s="1"/>
      <c r="I613" s="1"/>
      <c r="J613" s="1"/>
      <c r="K613" s="1"/>
      <c r="L613" s="1"/>
      <c r="M613" s="1"/>
      <c r="N613" s="1"/>
      <c r="O613" s="1"/>
    </row>
    <row r="614" spans="1:15" ht="15.75" customHeight="1">
      <c r="A614" s="1"/>
      <c r="B614" s="1"/>
      <c r="C614" s="3"/>
      <c r="D614" s="1"/>
      <c r="E614" s="1"/>
      <c r="F614" s="1"/>
      <c r="G614" s="1"/>
      <c r="H614" s="1"/>
      <c r="I614" s="1"/>
      <c r="J614" s="1"/>
      <c r="K614" s="1"/>
      <c r="L614" s="1"/>
      <c r="M614" s="1"/>
      <c r="N614" s="1"/>
      <c r="O614" s="1"/>
    </row>
    <row r="615" spans="1:15" ht="15.75" customHeight="1">
      <c r="A615" s="1"/>
      <c r="B615" s="1"/>
      <c r="C615" s="3"/>
      <c r="D615" s="1"/>
      <c r="E615" s="1"/>
      <c r="F615" s="1"/>
      <c r="G615" s="1"/>
      <c r="H615" s="1"/>
      <c r="I615" s="1"/>
      <c r="J615" s="1"/>
      <c r="K615" s="1"/>
      <c r="L615" s="1"/>
      <c r="M615" s="1"/>
      <c r="N615" s="1"/>
      <c r="O615" s="1"/>
    </row>
    <row r="616" spans="1:15" ht="15.75" customHeight="1">
      <c r="A616" s="1"/>
      <c r="B616" s="1"/>
      <c r="C616" s="3"/>
      <c r="D616" s="1"/>
      <c r="E616" s="1"/>
      <c r="F616" s="1"/>
      <c r="G616" s="1"/>
      <c r="H616" s="1"/>
      <c r="I616" s="1"/>
      <c r="J616" s="1"/>
      <c r="K616" s="1"/>
      <c r="L616" s="1"/>
      <c r="M616" s="1"/>
      <c r="N616" s="1"/>
      <c r="O616" s="1"/>
    </row>
    <row r="617" spans="1:15" ht="15.75" customHeight="1">
      <c r="A617" s="1"/>
      <c r="B617" s="1"/>
      <c r="C617" s="3"/>
      <c r="D617" s="1"/>
      <c r="E617" s="1"/>
      <c r="F617" s="1"/>
      <c r="G617" s="1"/>
      <c r="H617" s="1"/>
      <c r="I617" s="1"/>
      <c r="J617" s="1"/>
      <c r="K617" s="1"/>
      <c r="L617" s="1"/>
      <c r="M617" s="1"/>
      <c r="N617" s="1"/>
      <c r="O617" s="1"/>
    </row>
    <row r="618" spans="1:15" ht="15.75" customHeight="1">
      <c r="A618" s="1"/>
      <c r="B618" s="1"/>
      <c r="C618" s="3"/>
      <c r="D618" s="1"/>
      <c r="E618" s="1"/>
      <c r="F618" s="1"/>
      <c r="G618" s="1"/>
      <c r="H618" s="1"/>
      <c r="I618" s="1"/>
      <c r="J618" s="1"/>
      <c r="K618" s="1"/>
      <c r="L618" s="1"/>
      <c r="M618" s="1"/>
      <c r="N618" s="1"/>
      <c r="O618" s="1"/>
    </row>
    <row r="619" spans="1:15" ht="15.75" customHeight="1">
      <c r="A619" s="1"/>
      <c r="B619" s="1"/>
      <c r="C619" s="3"/>
      <c r="D619" s="1"/>
      <c r="E619" s="1"/>
      <c r="F619" s="1"/>
      <c r="G619" s="1"/>
      <c r="H619" s="1"/>
      <c r="I619" s="1"/>
      <c r="J619" s="1"/>
      <c r="K619" s="1"/>
      <c r="L619" s="1"/>
      <c r="M619" s="1"/>
      <c r="N619" s="1"/>
      <c r="O619" s="1"/>
    </row>
    <row r="620" spans="1:15" ht="15.75" customHeight="1">
      <c r="A620" s="1"/>
      <c r="B620" s="1"/>
      <c r="C620" s="3"/>
      <c r="D620" s="1"/>
      <c r="E620" s="1"/>
      <c r="F620" s="1"/>
      <c r="G620" s="1"/>
      <c r="H620" s="1"/>
      <c r="I620" s="1"/>
      <c r="J620" s="1"/>
      <c r="K620" s="1"/>
      <c r="L620" s="1"/>
      <c r="M620" s="1"/>
      <c r="N620" s="1"/>
      <c r="O620" s="1"/>
    </row>
    <row r="621" spans="1:15" ht="15.75" customHeight="1">
      <c r="A621" s="1"/>
      <c r="B621" s="1"/>
      <c r="C621" s="3"/>
      <c r="D621" s="1"/>
      <c r="E621" s="1"/>
      <c r="F621" s="1"/>
      <c r="G621" s="1"/>
      <c r="H621" s="1"/>
      <c r="I621" s="1"/>
      <c r="J621" s="1"/>
      <c r="K621" s="1"/>
      <c r="L621" s="1"/>
      <c r="M621" s="1"/>
      <c r="N621" s="1"/>
      <c r="O621" s="1"/>
    </row>
    <row r="622" spans="1:15" ht="15.75" customHeight="1">
      <c r="A622" s="1"/>
      <c r="B622" s="1"/>
      <c r="C622" s="3"/>
      <c r="D622" s="1"/>
      <c r="E622" s="1"/>
      <c r="F622" s="1"/>
      <c r="G622" s="1"/>
      <c r="H622" s="1"/>
      <c r="I622" s="1"/>
      <c r="J622" s="1"/>
      <c r="K622" s="1"/>
      <c r="L622" s="1"/>
      <c r="M622" s="1"/>
      <c r="N622" s="1"/>
      <c r="O622" s="1"/>
    </row>
    <row r="623" spans="1:15" ht="15.75" customHeight="1">
      <c r="A623" s="1"/>
      <c r="B623" s="1"/>
      <c r="C623" s="3"/>
      <c r="D623" s="1"/>
      <c r="E623" s="1"/>
      <c r="F623" s="1"/>
      <c r="G623" s="1"/>
      <c r="H623" s="1"/>
      <c r="I623" s="1"/>
      <c r="J623" s="1"/>
      <c r="K623" s="1"/>
      <c r="L623" s="1"/>
      <c r="M623" s="1"/>
      <c r="N623" s="1"/>
      <c r="O623" s="1"/>
    </row>
    <row r="624" spans="1:15" ht="15.75" customHeight="1">
      <c r="A624" s="1"/>
      <c r="B624" s="1"/>
      <c r="C624" s="3"/>
      <c r="D624" s="1"/>
      <c r="E624" s="1"/>
      <c r="F624" s="1"/>
      <c r="G624" s="1"/>
      <c r="H624" s="1"/>
      <c r="I624" s="1"/>
      <c r="J624" s="1"/>
      <c r="K624" s="1"/>
      <c r="L624" s="1"/>
      <c r="M624" s="1"/>
      <c r="N624" s="1"/>
      <c r="O624" s="1"/>
    </row>
    <row r="625" spans="1:15" ht="15.75" customHeight="1">
      <c r="A625" s="1"/>
      <c r="B625" s="1"/>
      <c r="C625" s="3"/>
      <c r="D625" s="1"/>
      <c r="E625" s="1"/>
      <c r="F625" s="1"/>
      <c r="G625" s="1"/>
      <c r="H625" s="1"/>
      <c r="I625" s="1"/>
      <c r="J625" s="1"/>
      <c r="K625" s="1"/>
      <c r="L625" s="1"/>
      <c r="M625" s="1"/>
      <c r="N625" s="1"/>
      <c r="O625" s="1"/>
    </row>
    <row r="626" spans="1:15" ht="15.75" customHeight="1">
      <c r="A626" s="1"/>
      <c r="B626" s="1"/>
      <c r="C626" s="3"/>
      <c r="D626" s="1"/>
      <c r="E626" s="1"/>
      <c r="F626" s="1"/>
      <c r="G626" s="1"/>
      <c r="H626" s="1"/>
      <c r="I626" s="1"/>
      <c r="J626" s="1"/>
      <c r="K626" s="1"/>
      <c r="L626" s="1"/>
      <c r="M626" s="1"/>
      <c r="N626" s="1"/>
      <c r="O626" s="1"/>
    </row>
    <row r="627" spans="1:15" ht="15.75" customHeight="1">
      <c r="A627" s="1"/>
      <c r="B627" s="1"/>
      <c r="C627" s="3"/>
      <c r="D627" s="1"/>
      <c r="E627" s="1"/>
      <c r="F627" s="1"/>
      <c r="G627" s="1"/>
      <c r="H627" s="1"/>
      <c r="I627" s="1"/>
      <c r="J627" s="1"/>
      <c r="K627" s="1"/>
      <c r="L627" s="1"/>
      <c r="M627" s="1"/>
      <c r="N627" s="1"/>
      <c r="O627" s="1"/>
    </row>
    <row r="628" spans="1:15" ht="15.75" customHeight="1">
      <c r="A628" s="1"/>
      <c r="B628" s="1"/>
      <c r="C628" s="3"/>
      <c r="D628" s="1"/>
      <c r="E628" s="1"/>
      <c r="F628" s="1"/>
      <c r="G628" s="1"/>
      <c r="H628" s="1"/>
      <c r="I628" s="1"/>
      <c r="J628" s="1"/>
      <c r="K628" s="1"/>
      <c r="L628" s="1"/>
      <c r="M628" s="1"/>
      <c r="N628" s="1"/>
      <c r="O628" s="1"/>
    </row>
    <row r="629" spans="1:15" ht="15.75" customHeight="1">
      <c r="A629" s="1"/>
      <c r="B629" s="1"/>
      <c r="C629" s="3"/>
      <c r="D629" s="1"/>
      <c r="E629" s="1"/>
      <c r="F629" s="1"/>
      <c r="G629" s="1"/>
      <c r="H629" s="1"/>
      <c r="I629" s="1"/>
      <c r="J629" s="1"/>
      <c r="K629" s="1"/>
      <c r="L629" s="1"/>
      <c r="M629" s="1"/>
      <c r="N629" s="1"/>
      <c r="O629" s="1"/>
    </row>
    <row r="630" spans="1:15" ht="15.75" customHeight="1">
      <c r="A630" s="1"/>
      <c r="B630" s="1"/>
      <c r="C630" s="3"/>
      <c r="D630" s="1"/>
      <c r="E630" s="1"/>
      <c r="F630" s="1"/>
      <c r="G630" s="1"/>
      <c r="H630" s="1"/>
      <c r="I630" s="1"/>
      <c r="J630" s="1"/>
      <c r="K630" s="1"/>
      <c r="L630" s="1"/>
      <c r="M630" s="1"/>
      <c r="N630" s="1"/>
      <c r="O630" s="1"/>
    </row>
    <row r="631" spans="1:15" ht="15.75" customHeight="1">
      <c r="A631" s="1"/>
      <c r="B631" s="1"/>
      <c r="C631" s="3"/>
      <c r="D631" s="1"/>
      <c r="E631" s="1"/>
      <c r="F631" s="1"/>
      <c r="G631" s="1"/>
      <c r="H631" s="1"/>
      <c r="I631" s="1"/>
      <c r="J631" s="1"/>
      <c r="K631" s="1"/>
      <c r="L631" s="1"/>
      <c r="M631" s="1"/>
      <c r="N631" s="1"/>
      <c r="O631" s="1"/>
    </row>
    <row r="632" spans="1:15" ht="15.75" customHeight="1">
      <c r="A632" s="1"/>
      <c r="B632" s="1"/>
      <c r="C632" s="3"/>
      <c r="D632" s="1"/>
      <c r="E632" s="1"/>
      <c r="F632" s="1"/>
      <c r="G632" s="1"/>
      <c r="H632" s="1"/>
      <c r="I632" s="1"/>
      <c r="J632" s="1"/>
      <c r="K632" s="1"/>
      <c r="L632" s="1"/>
      <c r="M632" s="1"/>
      <c r="N632" s="1"/>
      <c r="O632" s="1"/>
    </row>
    <row r="633" spans="1:15" ht="15.75" customHeight="1">
      <c r="A633" s="1"/>
      <c r="B633" s="1"/>
      <c r="C633" s="3"/>
      <c r="D633" s="1"/>
      <c r="E633" s="1"/>
      <c r="F633" s="1"/>
      <c r="G633" s="1"/>
      <c r="H633" s="1"/>
      <c r="I633" s="1"/>
      <c r="J633" s="1"/>
      <c r="K633" s="1"/>
      <c r="L633" s="1"/>
      <c r="M633" s="1"/>
      <c r="N633" s="1"/>
      <c r="O633" s="1"/>
    </row>
    <row r="634" spans="1:15" ht="15.75" customHeight="1">
      <c r="A634" s="1"/>
      <c r="B634" s="1"/>
      <c r="C634" s="3"/>
      <c r="D634" s="1"/>
      <c r="E634" s="1"/>
      <c r="F634" s="1"/>
      <c r="G634" s="1"/>
      <c r="H634" s="1"/>
      <c r="I634" s="1"/>
      <c r="J634" s="1"/>
      <c r="K634" s="1"/>
      <c r="L634" s="1"/>
      <c r="M634" s="1"/>
      <c r="N634" s="1"/>
      <c r="O634" s="1"/>
    </row>
    <row r="635" spans="1:15" ht="15.75" customHeight="1">
      <c r="A635" s="1"/>
      <c r="B635" s="1"/>
      <c r="C635" s="3"/>
      <c r="D635" s="1"/>
      <c r="E635" s="1"/>
      <c r="F635" s="1"/>
      <c r="G635" s="1"/>
      <c r="H635" s="1"/>
      <c r="I635" s="1"/>
      <c r="J635" s="1"/>
      <c r="K635" s="1"/>
      <c r="L635" s="1"/>
      <c r="M635" s="1"/>
      <c r="N635" s="1"/>
      <c r="O635" s="1"/>
    </row>
    <row r="636" spans="1:15" ht="15.75" customHeight="1">
      <c r="A636" s="1"/>
      <c r="B636" s="1"/>
      <c r="C636" s="3"/>
      <c r="D636" s="1"/>
      <c r="E636" s="1"/>
      <c r="F636" s="1"/>
      <c r="G636" s="1"/>
      <c r="H636" s="1"/>
      <c r="I636" s="1"/>
      <c r="J636" s="1"/>
      <c r="K636" s="1"/>
      <c r="L636" s="1"/>
      <c r="M636" s="1"/>
      <c r="N636" s="1"/>
      <c r="O636" s="1"/>
    </row>
    <row r="637" spans="1:15" ht="15.75" customHeight="1">
      <c r="A637" s="1"/>
      <c r="B637" s="1"/>
      <c r="C637" s="3"/>
      <c r="D637" s="1"/>
      <c r="E637" s="1"/>
      <c r="F637" s="1"/>
      <c r="G637" s="1"/>
      <c r="H637" s="1"/>
      <c r="I637" s="1"/>
      <c r="J637" s="1"/>
      <c r="K637" s="1"/>
      <c r="L637" s="1"/>
      <c r="M637" s="1"/>
      <c r="N637" s="1"/>
      <c r="O637" s="1"/>
    </row>
    <row r="638" spans="1:15" ht="15.75" customHeight="1">
      <c r="A638" s="1"/>
      <c r="B638" s="1"/>
      <c r="C638" s="3"/>
      <c r="D638" s="1"/>
      <c r="E638" s="1"/>
      <c r="F638" s="1"/>
      <c r="G638" s="1"/>
      <c r="H638" s="1"/>
      <c r="I638" s="1"/>
      <c r="J638" s="1"/>
      <c r="K638" s="1"/>
      <c r="L638" s="1"/>
      <c r="M638" s="1"/>
      <c r="N638" s="1"/>
      <c r="O638" s="1"/>
    </row>
    <row r="639" spans="1:15" ht="15.75" customHeight="1">
      <c r="A639" s="1"/>
      <c r="B639" s="1"/>
      <c r="C639" s="3"/>
      <c r="D639" s="1"/>
      <c r="E639" s="1"/>
      <c r="F639" s="1"/>
      <c r="G639" s="1"/>
      <c r="H639" s="1"/>
      <c r="I639" s="1"/>
      <c r="J639" s="1"/>
      <c r="K639" s="1"/>
      <c r="L639" s="1"/>
      <c r="M639" s="1"/>
      <c r="N639" s="1"/>
      <c r="O639" s="1"/>
    </row>
    <row r="640" spans="1:15" ht="15.75" customHeight="1">
      <c r="A640" s="1"/>
      <c r="B640" s="1"/>
      <c r="C640" s="3"/>
      <c r="D640" s="1"/>
      <c r="E640" s="1"/>
      <c r="F640" s="1"/>
      <c r="G640" s="1"/>
      <c r="H640" s="1"/>
      <c r="I640" s="1"/>
      <c r="J640" s="1"/>
      <c r="K640" s="1"/>
      <c r="L640" s="1"/>
      <c r="M640" s="1"/>
      <c r="N640" s="1"/>
      <c r="O640" s="1"/>
    </row>
    <row r="641" spans="1:15" ht="15.75" customHeight="1">
      <c r="A641" s="1"/>
      <c r="B641" s="1"/>
      <c r="C641" s="3"/>
      <c r="D641" s="1"/>
      <c r="E641" s="1"/>
      <c r="F641" s="1"/>
      <c r="G641" s="1"/>
      <c r="H641" s="1"/>
      <c r="I641" s="1"/>
      <c r="J641" s="1"/>
      <c r="K641" s="1"/>
      <c r="L641" s="1"/>
      <c r="M641" s="1"/>
      <c r="N641" s="1"/>
      <c r="O641" s="1"/>
    </row>
    <row r="642" spans="1:15" ht="15.75" customHeight="1">
      <c r="A642" s="1"/>
      <c r="B642" s="1"/>
      <c r="C642" s="3"/>
      <c r="D642" s="1"/>
      <c r="E642" s="1"/>
      <c r="F642" s="1"/>
      <c r="G642" s="1"/>
      <c r="H642" s="1"/>
      <c r="I642" s="1"/>
      <c r="J642" s="1"/>
      <c r="K642" s="1"/>
      <c r="L642" s="1"/>
      <c r="M642" s="1"/>
      <c r="N642" s="1"/>
      <c r="O642" s="1"/>
    </row>
    <row r="643" spans="1:15" ht="15.75" customHeight="1">
      <c r="A643" s="1"/>
      <c r="B643" s="1"/>
      <c r="C643" s="3"/>
      <c r="D643" s="1"/>
      <c r="E643" s="1"/>
      <c r="F643" s="1"/>
      <c r="G643" s="1"/>
      <c r="H643" s="1"/>
      <c r="I643" s="1"/>
      <c r="J643" s="1"/>
      <c r="K643" s="1"/>
      <c r="L643" s="1"/>
      <c r="M643" s="1"/>
      <c r="N643" s="1"/>
      <c r="O643" s="1"/>
    </row>
    <row r="644" spans="1:15" ht="15.75" customHeight="1">
      <c r="A644" s="1"/>
      <c r="B644" s="1"/>
      <c r="C644" s="3"/>
      <c r="D644" s="1"/>
      <c r="E644" s="1"/>
      <c r="F644" s="1"/>
      <c r="G644" s="1"/>
      <c r="H644" s="1"/>
      <c r="I644" s="1"/>
      <c r="J644" s="1"/>
      <c r="K644" s="1"/>
      <c r="L644" s="1"/>
      <c r="M644" s="1"/>
      <c r="N644" s="1"/>
      <c r="O644" s="1"/>
    </row>
    <row r="645" spans="1:15" ht="15.75" customHeight="1">
      <c r="A645" s="1"/>
      <c r="B645" s="1"/>
      <c r="C645" s="3"/>
      <c r="D645" s="1"/>
      <c r="E645" s="1"/>
      <c r="F645" s="1"/>
      <c r="G645" s="1"/>
      <c r="H645" s="1"/>
      <c r="I645" s="1"/>
      <c r="J645" s="1"/>
      <c r="K645" s="1"/>
      <c r="L645" s="1"/>
      <c r="M645" s="1"/>
      <c r="N645" s="1"/>
      <c r="O645" s="1"/>
    </row>
    <row r="646" spans="1:15" ht="15.75" customHeight="1">
      <c r="A646" s="1"/>
      <c r="B646" s="1"/>
      <c r="C646" s="3"/>
      <c r="D646" s="1"/>
      <c r="E646" s="1"/>
      <c r="F646" s="1"/>
      <c r="G646" s="1"/>
      <c r="H646" s="1"/>
      <c r="I646" s="1"/>
      <c r="J646" s="1"/>
      <c r="K646" s="1"/>
      <c r="L646" s="1"/>
      <c r="M646" s="1"/>
      <c r="N646" s="1"/>
      <c r="O646" s="1"/>
    </row>
    <row r="647" spans="1:15" ht="15.75" customHeight="1">
      <c r="A647" s="1"/>
      <c r="B647" s="1"/>
      <c r="C647" s="3"/>
      <c r="D647" s="1"/>
      <c r="E647" s="1"/>
      <c r="F647" s="1"/>
      <c r="G647" s="1"/>
      <c r="H647" s="1"/>
      <c r="I647" s="1"/>
      <c r="J647" s="1"/>
      <c r="K647" s="1"/>
      <c r="L647" s="1"/>
      <c r="M647" s="1"/>
      <c r="N647" s="1"/>
      <c r="O647" s="1"/>
    </row>
    <row r="648" spans="1:15" ht="15.75" customHeight="1">
      <c r="A648" s="1"/>
      <c r="B648" s="1"/>
      <c r="C648" s="3"/>
      <c r="D648" s="1"/>
      <c r="E648" s="1"/>
      <c r="F648" s="1"/>
      <c r="G648" s="1"/>
      <c r="H648" s="1"/>
      <c r="I648" s="1"/>
      <c r="J648" s="1"/>
      <c r="K648" s="1"/>
      <c r="L648" s="1"/>
      <c r="M648" s="1"/>
      <c r="N648" s="1"/>
      <c r="O648" s="1"/>
    </row>
    <row r="649" spans="1:15" ht="15.75" customHeight="1">
      <c r="A649" s="1"/>
      <c r="B649" s="1"/>
      <c r="C649" s="3"/>
      <c r="D649" s="1"/>
      <c r="E649" s="1"/>
      <c r="F649" s="1"/>
      <c r="G649" s="1"/>
      <c r="H649" s="1"/>
      <c r="I649" s="1"/>
      <c r="J649" s="1"/>
      <c r="K649" s="1"/>
      <c r="L649" s="1"/>
      <c r="M649" s="1"/>
      <c r="N649" s="1"/>
      <c r="O649" s="1"/>
    </row>
    <row r="650" spans="1:15" ht="15.75" customHeight="1">
      <c r="A650" s="1"/>
      <c r="B650" s="1"/>
      <c r="C650" s="3"/>
      <c r="D650" s="1"/>
      <c r="E650" s="1"/>
      <c r="F650" s="1"/>
      <c r="G650" s="1"/>
      <c r="H650" s="1"/>
      <c r="I650" s="1"/>
      <c r="J650" s="1"/>
      <c r="K650" s="1"/>
      <c r="L650" s="1"/>
      <c r="M650" s="1"/>
      <c r="N650" s="1"/>
      <c r="O650" s="1"/>
    </row>
    <row r="651" spans="1:15" ht="15.75" customHeight="1">
      <c r="A651" s="1"/>
      <c r="B651" s="1"/>
      <c r="C651" s="3"/>
      <c r="D651" s="1"/>
      <c r="E651" s="1"/>
      <c r="F651" s="1"/>
      <c r="G651" s="1"/>
      <c r="H651" s="1"/>
      <c r="I651" s="1"/>
      <c r="J651" s="1"/>
      <c r="K651" s="1"/>
      <c r="L651" s="1"/>
      <c r="M651" s="1"/>
      <c r="N651" s="1"/>
      <c r="O651" s="1"/>
    </row>
    <row r="652" spans="1:15" ht="15.75" customHeight="1">
      <c r="A652" s="1"/>
      <c r="B652" s="1"/>
      <c r="C652" s="3"/>
      <c r="D652" s="1"/>
      <c r="E652" s="1"/>
      <c r="F652" s="1"/>
      <c r="G652" s="1"/>
      <c r="H652" s="1"/>
      <c r="I652" s="1"/>
      <c r="J652" s="1"/>
      <c r="K652" s="1"/>
      <c r="L652" s="1"/>
      <c r="M652" s="1"/>
      <c r="N652" s="1"/>
      <c r="O652" s="1"/>
    </row>
    <row r="653" spans="1:15" ht="15.75" customHeight="1">
      <c r="A653" s="1"/>
      <c r="B653" s="1"/>
      <c r="C653" s="3"/>
      <c r="D653" s="1"/>
      <c r="E653" s="1"/>
      <c r="F653" s="1"/>
      <c r="G653" s="1"/>
      <c r="H653" s="1"/>
      <c r="I653" s="1"/>
      <c r="J653" s="1"/>
      <c r="K653" s="1"/>
      <c r="L653" s="1"/>
      <c r="M653" s="1"/>
      <c r="N653" s="1"/>
      <c r="O653" s="1"/>
    </row>
    <row r="654" spans="1:15" ht="15.75" customHeight="1">
      <c r="A654" s="1"/>
      <c r="B654" s="1"/>
      <c r="C654" s="3"/>
      <c r="D654" s="1"/>
      <c r="E654" s="1"/>
      <c r="F654" s="1"/>
      <c r="G654" s="1"/>
      <c r="H654" s="1"/>
      <c r="I654" s="1"/>
      <c r="J654" s="1"/>
      <c r="K654" s="1"/>
      <c r="L654" s="1"/>
      <c r="M654" s="1"/>
      <c r="N654" s="1"/>
      <c r="O654" s="1"/>
    </row>
    <row r="655" spans="1:15" ht="15.75" customHeight="1">
      <c r="A655" s="1"/>
      <c r="B655" s="1"/>
      <c r="C655" s="3"/>
      <c r="D655" s="1"/>
      <c r="E655" s="1"/>
      <c r="F655" s="1"/>
      <c r="G655" s="1"/>
      <c r="H655" s="1"/>
      <c r="I655" s="1"/>
      <c r="J655" s="1"/>
      <c r="K655" s="1"/>
      <c r="L655" s="1"/>
      <c r="M655" s="1"/>
      <c r="N655" s="1"/>
      <c r="O655" s="1"/>
    </row>
    <row r="656" spans="1:15" ht="15.75" customHeight="1">
      <c r="A656" s="1"/>
      <c r="B656" s="1"/>
      <c r="C656" s="3"/>
      <c r="D656" s="1"/>
      <c r="E656" s="1"/>
      <c r="F656" s="1"/>
      <c r="G656" s="1"/>
      <c r="H656" s="1"/>
      <c r="I656" s="1"/>
      <c r="J656" s="1"/>
      <c r="K656" s="1"/>
      <c r="L656" s="1"/>
      <c r="M656" s="1"/>
      <c r="N656" s="1"/>
      <c r="O656" s="1"/>
    </row>
    <row r="657" spans="1:15" ht="15.75" customHeight="1">
      <c r="A657" s="1"/>
      <c r="B657" s="1"/>
      <c r="C657" s="3"/>
      <c r="D657" s="1"/>
      <c r="E657" s="1"/>
      <c r="F657" s="1"/>
      <c r="G657" s="1"/>
      <c r="H657" s="1"/>
      <c r="I657" s="1"/>
      <c r="J657" s="1"/>
      <c r="K657" s="1"/>
      <c r="L657" s="1"/>
      <c r="M657" s="1"/>
      <c r="N657" s="1"/>
      <c r="O657" s="1"/>
    </row>
    <row r="658" spans="1:15" ht="15.75" customHeight="1">
      <c r="A658" s="1"/>
      <c r="B658" s="1"/>
      <c r="C658" s="3"/>
      <c r="D658" s="1"/>
      <c r="E658" s="1"/>
      <c r="F658" s="1"/>
      <c r="G658" s="1"/>
      <c r="H658" s="1"/>
      <c r="I658" s="1"/>
      <c r="J658" s="1"/>
      <c r="K658" s="1"/>
      <c r="L658" s="1"/>
      <c r="M658" s="1"/>
      <c r="N658" s="1"/>
      <c r="O658" s="1"/>
    </row>
    <row r="659" spans="1:15" ht="15.75" customHeight="1">
      <c r="A659" s="1"/>
      <c r="B659" s="1"/>
      <c r="C659" s="3"/>
      <c r="D659" s="1"/>
      <c r="E659" s="1"/>
      <c r="F659" s="1"/>
      <c r="G659" s="1"/>
      <c r="H659" s="1"/>
      <c r="I659" s="1"/>
      <c r="J659" s="1"/>
      <c r="K659" s="1"/>
      <c r="L659" s="1"/>
      <c r="M659" s="1"/>
      <c r="N659" s="1"/>
      <c r="O659" s="1"/>
    </row>
    <row r="660" spans="1:15" ht="15.75" customHeight="1">
      <c r="A660" s="1"/>
      <c r="B660" s="1"/>
      <c r="C660" s="3"/>
      <c r="D660" s="1"/>
      <c r="E660" s="1"/>
      <c r="F660" s="1"/>
      <c r="G660" s="1"/>
      <c r="H660" s="1"/>
      <c r="I660" s="1"/>
      <c r="J660" s="1"/>
      <c r="K660" s="1"/>
      <c r="L660" s="1"/>
      <c r="M660" s="1"/>
      <c r="N660" s="1"/>
      <c r="O660" s="1"/>
    </row>
    <row r="661" spans="1:15" ht="15.75" customHeight="1">
      <c r="A661" s="1"/>
      <c r="B661" s="1"/>
      <c r="C661" s="3"/>
      <c r="D661" s="1"/>
      <c r="E661" s="1"/>
      <c r="F661" s="1"/>
      <c r="G661" s="1"/>
      <c r="H661" s="1"/>
      <c r="I661" s="1"/>
      <c r="J661" s="1"/>
      <c r="K661" s="1"/>
      <c r="L661" s="1"/>
      <c r="M661" s="1"/>
      <c r="N661" s="1"/>
      <c r="O661" s="1"/>
    </row>
    <row r="662" spans="1:15" ht="15.75" customHeight="1">
      <c r="A662" s="1"/>
      <c r="B662" s="1"/>
      <c r="C662" s="3"/>
      <c r="D662" s="1"/>
      <c r="E662" s="1"/>
      <c r="F662" s="1"/>
      <c r="G662" s="1"/>
      <c r="H662" s="1"/>
      <c r="I662" s="1"/>
      <c r="J662" s="1"/>
      <c r="K662" s="1"/>
      <c r="L662" s="1"/>
      <c r="M662" s="1"/>
      <c r="N662" s="1"/>
      <c r="O662" s="1"/>
    </row>
    <row r="663" spans="1:15" ht="15.75" customHeight="1">
      <c r="A663" s="1"/>
      <c r="B663" s="1"/>
      <c r="C663" s="3"/>
      <c r="D663" s="1"/>
      <c r="E663" s="1"/>
      <c r="F663" s="1"/>
      <c r="G663" s="1"/>
      <c r="H663" s="1"/>
      <c r="I663" s="1"/>
      <c r="J663" s="1"/>
      <c r="K663" s="1"/>
      <c r="L663" s="1"/>
      <c r="M663" s="1"/>
      <c r="N663" s="1"/>
      <c r="O663" s="1"/>
    </row>
    <row r="664" spans="1:15" ht="15.75" customHeight="1">
      <c r="A664" s="1"/>
      <c r="B664" s="1"/>
      <c r="C664" s="3"/>
      <c r="D664" s="1"/>
      <c r="E664" s="1"/>
      <c r="F664" s="1"/>
      <c r="G664" s="1"/>
      <c r="H664" s="1"/>
      <c r="I664" s="1"/>
      <c r="J664" s="1"/>
      <c r="K664" s="1"/>
      <c r="L664" s="1"/>
      <c r="M664" s="1"/>
      <c r="N664" s="1"/>
      <c r="O664" s="1"/>
    </row>
    <row r="665" spans="1:15" ht="15.75" customHeight="1">
      <c r="A665" s="1"/>
      <c r="B665" s="1"/>
      <c r="C665" s="3"/>
      <c r="D665" s="1"/>
      <c r="E665" s="1"/>
      <c r="F665" s="1"/>
      <c r="G665" s="1"/>
      <c r="H665" s="1"/>
      <c r="I665" s="1"/>
      <c r="J665" s="1"/>
      <c r="K665" s="1"/>
      <c r="L665" s="1"/>
      <c r="M665" s="1"/>
      <c r="N665" s="1"/>
      <c r="O665" s="1"/>
    </row>
    <row r="666" spans="1:15" ht="15.75" customHeight="1">
      <c r="A666" s="1"/>
      <c r="B666" s="1"/>
      <c r="C666" s="3"/>
      <c r="D666" s="1"/>
      <c r="E666" s="1"/>
      <c r="F666" s="1"/>
      <c r="G666" s="1"/>
      <c r="H666" s="1"/>
      <c r="I666" s="1"/>
      <c r="J666" s="1"/>
      <c r="K666" s="1"/>
      <c r="L666" s="1"/>
      <c r="M666" s="1"/>
      <c r="N666" s="1"/>
      <c r="O666" s="1"/>
    </row>
    <row r="667" spans="1:15" ht="15.75" customHeight="1">
      <c r="A667" s="1"/>
      <c r="B667" s="1"/>
      <c r="C667" s="3"/>
      <c r="D667" s="1"/>
      <c r="E667" s="1"/>
      <c r="F667" s="1"/>
      <c r="G667" s="1"/>
      <c r="H667" s="1"/>
      <c r="I667" s="1"/>
      <c r="J667" s="1"/>
      <c r="K667" s="1"/>
      <c r="L667" s="1"/>
      <c r="M667" s="1"/>
      <c r="N667" s="1"/>
      <c r="O667" s="1"/>
    </row>
    <row r="668" spans="1:15" ht="15.75" customHeight="1">
      <c r="A668" s="1"/>
      <c r="B668" s="1"/>
      <c r="C668" s="3"/>
      <c r="D668" s="1"/>
      <c r="E668" s="1"/>
      <c r="F668" s="1"/>
      <c r="G668" s="1"/>
      <c r="H668" s="1"/>
      <c r="I668" s="1"/>
      <c r="J668" s="1"/>
      <c r="K668" s="1"/>
      <c r="L668" s="1"/>
      <c r="M668" s="1"/>
      <c r="N668" s="1"/>
      <c r="O668" s="1"/>
    </row>
    <row r="669" spans="1:15" ht="15.75" customHeight="1">
      <c r="A669" s="1"/>
      <c r="B669" s="1"/>
      <c r="C669" s="3"/>
      <c r="D669" s="1"/>
      <c r="E669" s="1"/>
      <c r="F669" s="1"/>
      <c r="G669" s="1"/>
      <c r="H669" s="1"/>
      <c r="I669" s="1"/>
      <c r="J669" s="1"/>
      <c r="K669" s="1"/>
      <c r="L669" s="1"/>
      <c r="M669" s="1"/>
      <c r="N669" s="1"/>
      <c r="O669" s="1"/>
    </row>
    <row r="670" spans="1:15" ht="15.75" customHeight="1">
      <c r="A670" s="1"/>
      <c r="B670" s="1"/>
      <c r="C670" s="3"/>
      <c r="D670" s="1"/>
      <c r="E670" s="1"/>
      <c r="F670" s="1"/>
      <c r="G670" s="1"/>
      <c r="H670" s="1"/>
      <c r="I670" s="1"/>
      <c r="J670" s="1"/>
      <c r="K670" s="1"/>
      <c r="L670" s="1"/>
      <c r="M670" s="1"/>
      <c r="N670" s="1"/>
      <c r="O670" s="1"/>
    </row>
    <row r="671" spans="1:15" ht="15.75" customHeight="1">
      <c r="A671" s="1"/>
      <c r="B671" s="1"/>
      <c r="C671" s="3"/>
      <c r="D671" s="1"/>
      <c r="E671" s="1"/>
      <c r="F671" s="1"/>
      <c r="G671" s="1"/>
      <c r="H671" s="1"/>
      <c r="I671" s="1"/>
      <c r="J671" s="1"/>
      <c r="K671" s="1"/>
      <c r="L671" s="1"/>
      <c r="M671" s="1"/>
      <c r="N671" s="1"/>
      <c r="O671" s="1"/>
    </row>
    <row r="672" spans="1:15" ht="15.75" customHeight="1">
      <c r="A672" s="1"/>
      <c r="B672" s="1"/>
      <c r="C672" s="3"/>
      <c r="D672" s="1"/>
      <c r="E672" s="1"/>
      <c r="F672" s="1"/>
      <c r="G672" s="1"/>
      <c r="H672" s="1"/>
      <c r="I672" s="1"/>
      <c r="J672" s="1"/>
      <c r="K672" s="1"/>
      <c r="L672" s="1"/>
      <c r="M672" s="1"/>
      <c r="N672" s="1"/>
      <c r="O672" s="1"/>
    </row>
    <row r="673" spans="1:15" ht="15.75" customHeight="1">
      <c r="A673" s="1"/>
      <c r="B673" s="1"/>
      <c r="C673" s="3"/>
      <c r="D673" s="1"/>
      <c r="E673" s="1"/>
      <c r="F673" s="1"/>
      <c r="G673" s="1"/>
      <c r="H673" s="1"/>
      <c r="I673" s="1"/>
      <c r="J673" s="1"/>
      <c r="K673" s="1"/>
      <c r="L673" s="1"/>
      <c r="M673" s="1"/>
      <c r="N673" s="1"/>
      <c r="O673" s="1"/>
    </row>
    <row r="674" spans="1:15" ht="15.75" customHeight="1">
      <c r="A674" s="1"/>
      <c r="B674" s="1"/>
      <c r="C674" s="3"/>
      <c r="D674" s="1"/>
      <c r="E674" s="1"/>
      <c r="F674" s="1"/>
      <c r="G674" s="1"/>
      <c r="H674" s="1"/>
      <c r="I674" s="1"/>
      <c r="J674" s="1"/>
      <c r="K674" s="1"/>
      <c r="L674" s="1"/>
      <c r="M674" s="1"/>
      <c r="N674" s="1"/>
      <c r="O674" s="1"/>
    </row>
    <row r="675" spans="1:15" ht="15.75" customHeight="1">
      <c r="A675" s="1"/>
      <c r="B675" s="1"/>
      <c r="C675" s="3"/>
      <c r="D675" s="1"/>
      <c r="E675" s="1"/>
      <c r="F675" s="1"/>
      <c r="G675" s="1"/>
      <c r="H675" s="1"/>
      <c r="I675" s="1"/>
      <c r="J675" s="1"/>
      <c r="K675" s="1"/>
      <c r="L675" s="1"/>
      <c r="M675" s="1"/>
      <c r="N675" s="1"/>
      <c r="O675" s="1"/>
    </row>
    <row r="676" spans="1:15" ht="15.75" customHeight="1">
      <c r="A676" s="1"/>
      <c r="B676" s="1"/>
      <c r="C676" s="3"/>
      <c r="D676" s="1"/>
      <c r="E676" s="1"/>
      <c r="F676" s="1"/>
      <c r="G676" s="1"/>
      <c r="H676" s="1"/>
      <c r="I676" s="1"/>
      <c r="J676" s="1"/>
      <c r="K676" s="1"/>
      <c r="L676" s="1"/>
      <c r="M676" s="1"/>
      <c r="N676" s="1"/>
      <c r="O676" s="1"/>
    </row>
    <row r="677" spans="1:15" ht="15.75" customHeight="1">
      <c r="A677" s="1"/>
      <c r="B677" s="1"/>
      <c r="C677" s="3"/>
      <c r="D677" s="1"/>
      <c r="E677" s="1"/>
      <c r="F677" s="1"/>
      <c r="G677" s="1"/>
      <c r="H677" s="1"/>
      <c r="I677" s="1"/>
      <c r="J677" s="1"/>
      <c r="K677" s="1"/>
      <c r="L677" s="1"/>
      <c r="M677" s="1"/>
      <c r="N677" s="1"/>
      <c r="O677" s="1"/>
    </row>
    <row r="678" spans="1:15" ht="15.75" customHeight="1">
      <c r="A678" s="1"/>
      <c r="B678" s="1"/>
      <c r="C678" s="3"/>
      <c r="D678" s="1"/>
      <c r="E678" s="1"/>
      <c r="F678" s="1"/>
      <c r="G678" s="1"/>
      <c r="H678" s="1"/>
      <c r="I678" s="1"/>
      <c r="J678" s="1"/>
      <c r="K678" s="1"/>
      <c r="L678" s="1"/>
      <c r="M678" s="1"/>
      <c r="N678" s="1"/>
      <c r="O678" s="1"/>
    </row>
    <row r="679" spans="1:15" ht="15.75" customHeight="1">
      <c r="A679" s="1"/>
      <c r="B679" s="1"/>
      <c r="C679" s="3"/>
      <c r="D679" s="1"/>
      <c r="E679" s="1"/>
      <c r="F679" s="1"/>
      <c r="G679" s="1"/>
      <c r="H679" s="1"/>
      <c r="I679" s="1"/>
      <c r="J679" s="1"/>
      <c r="K679" s="1"/>
      <c r="L679" s="1"/>
      <c r="M679" s="1"/>
      <c r="N679" s="1"/>
      <c r="O679" s="1"/>
    </row>
    <row r="680" spans="1:15" ht="15.75" customHeight="1">
      <c r="A680" s="1"/>
      <c r="B680" s="1"/>
      <c r="C680" s="3"/>
      <c r="D680" s="1"/>
      <c r="E680" s="1"/>
      <c r="F680" s="1"/>
      <c r="G680" s="1"/>
      <c r="H680" s="1"/>
      <c r="I680" s="1"/>
      <c r="J680" s="1"/>
      <c r="K680" s="1"/>
      <c r="L680" s="1"/>
      <c r="M680" s="1"/>
      <c r="N680" s="1"/>
      <c r="O680" s="1"/>
    </row>
    <row r="681" spans="1:15" ht="15.75" customHeight="1">
      <c r="A681" s="1"/>
      <c r="B681" s="1"/>
      <c r="C681" s="3"/>
      <c r="D681" s="1"/>
      <c r="E681" s="1"/>
      <c r="F681" s="1"/>
      <c r="G681" s="1"/>
      <c r="H681" s="1"/>
      <c r="I681" s="1"/>
      <c r="J681" s="1"/>
      <c r="K681" s="1"/>
      <c r="L681" s="1"/>
      <c r="M681" s="1"/>
      <c r="N681" s="1"/>
      <c r="O681" s="1"/>
    </row>
    <row r="682" spans="1:15" ht="15.75" customHeight="1">
      <c r="A682" s="1"/>
      <c r="B682" s="1"/>
      <c r="C682" s="3"/>
      <c r="D682" s="1"/>
      <c r="E682" s="1"/>
      <c r="F682" s="1"/>
      <c r="G682" s="1"/>
      <c r="H682" s="1"/>
      <c r="I682" s="1"/>
      <c r="J682" s="1"/>
      <c r="K682" s="1"/>
      <c r="L682" s="1"/>
      <c r="M682" s="1"/>
      <c r="N682" s="1"/>
      <c r="O682" s="1"/>
    </row>
    <row r="683" spans="1:15" ht="15.75" customHeight="1">
      <c r="A683" s="1"/>
      <c r="B683" s="1"/>
      <c r="C683" s="3"/>
      <c r="D683" s="1"/>
      <c r="E683" s="1"/>
      <c r="F683" s="1"/>
      <c r="G683" s="1"/>
      <c r="H683" s="1"/>
      <c r="I683" s="1"/>
      <c r="J683" s="1"/>
      <c r="K683" s="1"/>
      <c r="L683" s="1"/>
      <c r="M683" s="1"/>
      <c r="N683" s="1"/>
      <c r="O683" s="1"/>
    </row>
    <row r="684" spans="1:15" ht="15.75" customHeight="1">
      <c r="A684" s="1"/>
      <c r="B684" s="1"/>
      <c r="C684" s="3"/>
      <c r="D684" s="1"/>
      <c r="E684" s="1"/>
      <c r="F684" s="1"/>
      <c r="G684" s="1"/>
      <c r="H684" s="1"/>
      <c r="I684" s="1"/>
      <c r="J684" s="1"/>
      <c r="K684" s="1"/>
      <c r="L684" s="1"/>
      <c r="M684" s="1"/>
      <c r="N684" s="1"/>
      <c r="O684" s="1"/>
    </row>
    <row r="685" spans="1:15" ht="15.75" customHeight="1">
      <c r="A685" s="1"/>
      <c r="B685" s="1"/>
      <c r="C685" s="3"/>
      <c r="D685" s="1"/>
      <c r="E685" s="1"/>
      <c r="F685" s="1"/>
      <c r="G685" s="1"/>
      <c r="H685" s="1"/>
      <c r="I685" s="1"/>
      <c r="J685" s="1"/>
      <c r="K685" s="1"/>
      <c r="L685" s="1"/>
      <c r="M685" s="1"/>
      <c r="N685" s="1"/>
      <c r="O685" s="1"/>
    </row>
    <row r="686" spans="1:15" ht="15.75" customHeight="1">
      <c r="A686" s="1"/>
      <c r="B686" s="1"/>
      <c r="C686" s="3"/>
      <c r="D686" s="1"/>
      <c r="E686" s="1"/>
      <c r="F686" s="1"/>
      <c r="G686" s="1"/>
      <c r="H686" s="1"/>
      <c r="I686" s="1"/>
      <c r="J686" s="1"/>
      <c r="K686" s="1"/>
      <c r="L686" s="1"/>
      <c r="M686" s="1"/>
      <c r="N686" s="1"/>
      <c r="O686" s="1"/>
    </row>
    <row r="687" spans="1:15" ht="15.75" customHeight="1">
      <c r="A687" s="1"/>
      <c r="B687" s="1"/>
      <c r="C687" s="3"/>
      <c r="D687" s="1"/>
      <c r="E687" s="1"/>
      <c r="F687" s="1"/>
      <c r="G687" s="1"/>
      <c r="H687" s="1"/>
      <c r="I687" s="1"/>
      <c r="J687" s="1"/>
      <c r="K687" s="1"/>
      <c r="L687" s="1"/>
      <c r="M687" s="1"/>
      <c r="N687" s="1"/>
      <c r="O687" s="1"/>
    </row>
    <row r="688" spans="1:15" ht="15.75" customHeight="1">
      <c r="A688" s="1"/>
      <c r="B688" s="1"/>
      <c r="C688" s="3"/>
      <c r="D688" s="1"/>
      <c r="E688" s="1"/>
      <c r="F688" s="1"/>
      <c r="G688" s="1"/>
      <c r="H688" s="1"/>
      <c r="I688" s="1"/>
      <c r="J688" s="1"/>
      <c r="K688" s="1"/>
      <c r="L688" s="1"/>
      <c r="M688" s="1"/>
      <c r="N688" s="1"/>
      <c r="O688" s="1"/>
    </row>
    <row r="689" spans="1:15" ht="15.75" customHeight="1">
      <c r="A689" s="1"/>
      <c r="B689" s="1"/>
      <c r="C689" s="3"/>
      <c r="D689" s="1"/>
      <c r="E689" s="1"/>
      <c r="F689" s="1"/>
      <c r="G689" s="1"/>
      <c r="H689" s="1"/>
      <c r="I689" s="1"/>
      <c r="J689" s="1"/>
      <c r="K689" s="1"/>
      <c r="L689" s="1"/>
      <c r="M689" s="1"/>
      <c r="N689" s="1"/>
      <c r="O689" s="1"/>
    </row>
    <row r="690" spans="1:15" ht="15.75" customHeight="1">
      <c r="A690" s="1"/>
      <c r="B690" s="1"/>
      <c r="C690" s="3"/>
      <c r="D690" s="1"/>
      <c r="E690" s="1"/>
      <c r="F690" s="1"/>
      <c r="G690" s="1"/>
      <c r="H690" s="1"/>
      <c r="I690" s="1"/>
      <c r="J690" s="1"/>
      <c r="K690" s="1"/>
      <c r="L690" s="1"/>
      <c r="M690" s="1"/>
      <c r="N690" s="1"/>
      <c r="O690" s="1"/>
    </row>
    <row r="691" spans="1:15" ht="15.75" customHeight="1">
      <c r="A691" s="1"/>
      <c r="B691" s="1"/>
      <c r="C691" s="3"/>
      <c r="D691" s="1"/>
      <c r="E691" s="1"/>
      <c r="F691" s="1"/>
      <c r="G691" s="1"/>
      <c r="H691" s="1"/>
      <c r="I691" s="1"/>
      <c r="J691" s="1"/>
      <c r="K691" s="1"/>
      <c r="L691" s="1"/>
      <c r="M691" s="1"/>
      <c r="N691" s="1"/>
      <c r="O691" s="1"/>
    </row>
    <row r="692" spans="1:15" ht="15.75" customHeight="1">
      <c r="A692" s="1"/>
      <c r="B692" s="1"/>
      <c r="C692" s="3"/>
      <c r="D692" s="1"/>
      <c r="E692" s="1"/>
      <c r="F692" s="1"/>
      <c r="G692" s="1"/>
      <c r="H692" s="1"/>
      <c r="I692" s="1"/>
      <c r="J692" s="1"/>
      <c r="K692" s="1"/>
      <c r="L692" s="1"/>
      <c r="M692" s="1"/>
      <c r="N692" s="1"/>
      <c r="O692" s="1"/>
    </row>
    <row r="693" spans="1:15" ht="15.75" customHeight="1">
      <c r="A693" s="1"/>
      <c r="B693" s="1"/>
      <c r="C693" s="3"/>
      <c r="D693" s="1"/>
      <c r="E693" s="1"/>
      <c r="F693" s="1"/>
      <c r="G693" s="1"/>
      <c r="H693" s="1"/>
      <c r="I693" s="1"/>
      <c r="J693" s="1"/>
      <c r="K693" s="1"/>
      <c r="L693" s="1"/>
      <c r="M693" s="1"/>
      <c r="N693" s="1"/>
      <c r="O693" s="1"/>
    </row>
    <row r="694" spans="1:15" ht="15.75" customHeight="1">
      <c r="A694" s="1"/>
      <c r="B694" s="1"/>
      <c r="C694" s="3"/>
      <c r="D694" s="1"/>
      <c r="E694" s="1"/>
      <c r="F694" s="1"/>
      <c r="G694" s="1"/>
      <c r="H694" s="1"/>
      <c r="I694" s="1"/>
      <c r="J694" s="1"/>
      <c r="K694" s="1"/>
      <c r="L694" s="1"/>
      <c r="M694" s="1"/>
      <c r="N694" s="1"/>
      <c r="O694" s="1"/>
    </row>
    <row r="695" spans="1:15" ht="15.75" customHeight="1">
      <c r="A695" s="1"/>
      <c r="B695" s="1"/>
      <c r="C695" s="3"/>
      <c r="D695" s="1"/>
      <c r="E695" s="1"/>
      <c r="F695" s="1"/>
      <c r="G695" s="1"/>
      <c r="H695" s="1"/>
      <c r="I695" s="1"/>
      <c r="J695" s="1"/>
      <c r="K695" s="1"/>
      <c r="L695" s="1"/>
      <c r="M695" s="1"/>
      <c r="N695" s="1"/>
      <c r="O695" s="1"/>
    </row>
    <row r="696" spans="1:15" ht="15.75" customHeight="1">
      <c r="A696" s="1"/>
      <c r="B696" s="1"/>
      <c r="C696" s="3"/>
      <c r="D696" s="1"/>
      <c r="E696" s="1"/>
      <c r="F696" s="1"/>
      <c r="G696" s="1"/>
      <c r="H696" s="1"/>
      <c r="I696" s="1"/>
      <c r="J696" s="1"/>
      <c r="K696" s="1"/>
      <c r="L696" s="1"/>
      <c r="M696" s="1"/>
      <c r="N696" s="1"/>
      <c r="O696" s="1"/>
    </row>
    <row r="697" spans="1:15" ht="15.75" customHeight="1">
      <c r="A697" s="1"/>
      <c r="B697" s="1"/>
      <c r="C697" s="3"/>
      <c r="D697" s="1"/>
      <c r="E697" s="1"/>
      <c r="F697" s="1"/>
      <c r="G697" s="1"/>
      <c r="H697" s="1"/>
      <c r="I697" s="1"/>
      <c r="J697" s="1"/>
      <c r="K697" s="1"/>
      <c r="L697" s="1"/>
      <c r="M697" s="1"/>
      <c r="N697" s="1"/>
      <c r="O697" s="1"/>
    </row>
    <row r="698" spans="1:15" ht="15.75" customHeight="1">
      <c r="A698" s="1"/>
      <c r="B698" s="1"/>
      <c r="C698" s="3"/>
      <c r="D698" s="1"/>
      <c r="E698" s="1"/>
      <c r="F698" s="1"/>
      <c r="G698" s="1"/>
      <c r="H698" s="1"/>
      <c r="I698" s="1"/>
      <c r="J698" s="1"/>
      <c r="K698" s="1"/>
      <c r="L698" s="1"/>
      <c r="M698" s="1"/>
      <c r="N698" s="1"/>
      <c r="O698" s="1"/>
    </row>
    <row r="699" spans="1:15" ht="15.75" customHeight="1">
      <c r="A699" s="1"/>
      <c r="B699" s="1"/>
      <c r="C699" s="3"/>
      <c r="D699" s="1"/>
      <c r="E699" s="1"/>
      <c r="F699" s="1"/>
      <c r="G699" s="1"/>
      <c r="H699" s="1"/>
      <c r="I699" s="1"/>
      <c r="J699" s="1"/>
      <c r="K699" s="1"/>
      <c r="L699" s="1"/>
      <c r="M699" s="1"/>
      <c r="N699" s="1"/>
      <c r="O699" s="1"/>
    </row>
    <row r="700" spans="1:15" ht="15.75" customHeight="1">
      <c r="A700" s="1"/>
      <c r="B700" s="1"/>
      <c r="C700" s="3"/>
      <c r="D700" s="1"/>
      <c r="E700" s="1"/>
      <c r="F700" s="1"/>
      <c r="G700" s="1"/>
      <c r="H700" s="1"/>
      <c r="I700" s="1"/>
      <c r="J700" s="1"/>
      <c r="K700" s="1"/>
      <c r="L700" s="1"/>
      <c r="M700" s="1"/>
      <c r="N700" s="1"/>
      <c r="O700" s="1"/>
    </row>
    <row r="701" spans="1:15" ht="15.75" customHeight="1">
      <c r="A701" s="1"/>
      <c r="B701" s="1"/>
      <c r="C701" s="3"/>
      <c r="D701" s="1"/>
      <c r="E701" s="1"/>
      <c r="F701" s="1"/>
      <c r="G701" s="1"/>
      <c r="H701" s="1"/>
      <c r="I701" s="1"/>
      <c r="J701" s="1"/>
      <c r="K701" s="1"/>
      <c r="L701" s="1"/>
      <c r="M701" s="1"/>
      <c r="N701" s="1"/>
      <c r="O701" s="1"/>
    </row>
    <row r="702" spans="1:15" ht="15.75" customHeight="1">
      <c r="A702" s="1"/>
      <c r="B702" s="1"/>
      <c r="C702" s="3"/>
      <c r="D702" s="1"/>
      <c r="E702" s="1"/>
      <c r="F702" s="1"/>
      <c r="G702" s="1"/>
      <c r="H702" s="1"/>
      <c r="I702" s="1"/>
      <c r="J702" s="1"/>
      <c r="K702" s="1"/>
      <c r="L702" s="1"/>
      <c r="M702" s="1"/>
      <c r="N702" s="1"/>
      <c r="O702" s="1"/>
    </row>
    <row r="703" spans="1:15" ht="15.75" customHeight="1">
      <c r="A703" s="1"/>
      <c r="B703" s="1"/>
      <c r="C703" s="3"/>
      <c r="D703" s="1"/>
      <c r="E703" s="1"/>
      <c r="F703" s="1"/>
      <c r="G703" s="1"/>
      <c r="H703" s="1"/>
      <c r="I703" s="1"/>
      <c r="J703" s="1"/>
      <c r="K703" s="1"/>
      <c r="L703" s="1"/>
      <c r="M703" s="1"/>
      <c r="N703" s="1"/>
      <c r="O703" s="1"/>
    </row>
    <row r="704" spans="1:15" ht="15.75" customHeight="1">
      <c r="A704" s="1"/>
      <c r="B704" s="1"/>
      <c r="C704" s="3"/>
      <c r="D704" s="1"/>
      <c r="E704" s="1"/>
      <c r="F704" s="1"/>
      <c r="G704" s="1"/>
      <c r="H704" s="1"/>
      <c r="I704" s="1"/>
      <c r="J704" s="1"/>
      <c r="K704" s="1"/>
      <c r="L704" s="1"/>
      <c r="M704" s="1"/>
      <c r="N704" s="1"/>
      <c r="O704" s="1"/>
    </row>
    <row r="705" spans="1:15" ht="15.75" customHeight="1">
      <c r="A705" s="1"/>
      <c r="B705" s="1"/>
      <c r="C705" s="3"/>
      <c r="D705" s="1"/>
      <c r="E705" s="1"/>
      <c r="F705" s="1"/>
      <c r="G705" s="1"/>
      <c r="H705" s="1"/>
      <c r="I705" s="1"/>
      <c r="J705" s="1"/>
      <c r="K705" s="1"/>
      <c r="L705" s="1"/>
      <c r="M705" s="1"/>
      <c r="N705" s="1"/>
      <c r="O705" s="1"/>
    </row>
    <row r="706" spans="1:15" ht="15.75" customHeight="1">
      <c r="A706" s="1"/>
      <c r="B706" s="1"/>
      <c r="C706" s="3"/>
      <c r="D706" s="1"/>
      <c r="E706" s="1"/>
      <c r="F706" s="1"/>
      <c r="G706" s="1"/>
      <c r="H706" s="1"/>
      <c r="I706" s="1"/>
      <c r="J706" s="1"/>
      <c r="K706" s="1"/>
      <c r="L706" s="1"/>
      <c r="M706" s="1"/>
      <c r="N706" s="1"/>
      <c r="O706" s="1"/>
    </row>
    <row r="707" spans="1:15" ht="15.75" customHeight="1">
      <c r="A707" s="1"/>
      <c r="B707" s="1"/>
      <c r="C707" s="3"/>
      <c r="D707" s="1"/>
      <c r="E707" s="1"/>
      <c r="F707" s="1"/>
      <c r="G707" s="1"/>
      <c r="H707" s="1"/>
      <c r="I707" s="1"/>
      <c r="J707" s="1"/>
      <c r="K707" s="1"/>
      <c r="L707" s="1"/>
      <c r="M707" s="1"/>
      <c r="N707" s="1"/>
      <c r="O707" s="1"/>
    </row>
    <row r="708" spans="1:15" ht="15.75" customHeight="1">
      <c r="A708" s="1"/>
      <c r="B708" s="1"/>
      <c r="C708" s="3"/>
      <c r="D708" s="1"/>
      <c r="E708" s="1"/>
      <c r="F708" s="1"/>
      <c r="G708" s="1"/>
      <c r="H708" s="1"/>
      <c r="I708" s="1"/>
      <c r="J708" s="1"/>
      <c r="K708" s="1"/>
      <c r="L708" s="1"/>
      <c r="M708" s="1"/>
      <c r="N708" s="1"/>
      <c r="O708" s="1"/>
    </row>
    <row r="709" spans="1:15" ht="15.75" customHeight="1">
      <c r="A709" s="1"/>
      <c r="B709" s="1"/>
      <c r="C709" s="3"/>
      <c r="D709" s="1"/>
      <c r="E709" s="1"/>
      <c r="F709" s="1"/>
      <c r="G709" s="1"/>
      <c r="H709" s="1"/>
      <c r="I709" s="1"/>
      <c r="J709" s="1"/>
      <c r="K709" s="1"/>
      <c r="L709" s="1"/>
      <c r="M709" s="1"/>
      <c r="N709" s="1"/>
      <c r="O709" s="1"/>
    </row>
    <row r="710" spans="1:15" ht="15.75" customHeight="1">
      <c r="A710" s="1"/>
      <c r="B710" s="1"/>
      <c r="C710" s="3"/>
      <c r="D710" s="1"/>
      <c r="E710" s="1"/>
      <c r="F710" s="1"/>
      <c r="G710" s="1"/>
      <c r="H710" s="1"/>
      <c r="I710" s="1"/>
      <c r="J710" s="1"/>
      <c r="K710" s="1"/>
      <c r="L710" s="1"/>
      <c r="M710" s="1"/>
      <c r="N710" s="1"/>
      <c r="O710" s="1"/>
    </row>
    <row r="711" spans="1:15" ht="15.75" customHeight="1">
      <c r="A711" s="1"/>
      <c r="B711" s="1"/>
      <c r="C711" s="3"/>
      <c r="D711" s="1"/>
      <c r="E711" s="1"/>
      <c r="F711" s="1"/>
      <c r="G711" s="1"/>
      <c r="H711" s="1"/>
      <c r="I711" s="1"/>
      <c r="J711" s="1"/>
      <c r="K711" s="1"/>
      <c r="L711" s="1"/>
      <c r="M711" s="1"/>
      <c r="N711" s="1"/>
      <c r="O711" s="1"/>
    </row>
    <row r="712" spans="1:15" ht="15.75" customHeight="1">
      <c r="A712" s="1"/>
      <c r="B712" s="1"/>
      <c r="C712" s="3"/>
      <c r="D712" s="1"/>
      <c r="E712" s="1"/>
      <c r="F712" s="1"/>
      <c r="G712" s="1"/>
      <c r="H712" s="1"/>
      <c r="I712" s="1"/>
      <c r="J712" s="1"/>
      <c r="K712" s="1"/>
      <c r="L712" s="1"/>
      <c r="M712" s="1"/>
      <c r="N712" s="1"/>
      <c r="O712" s="1"/>
    </row>
    <row r="713" spans="1:15" ht="15.75" customHeight="1">
      <c r="A713" s="1"/>
      <c r="B713" s="1"/>
      <c r="C713" s="3"/>
      <c r="D713" s="1"/>
      <c r="E713" s="1"/>
      <c r="F713" s="1"/>
      <c r="G713" s="1"/>
      <c r="H713" s="1"/>
      <c r="I713" s="1"/>
      <c r="J713" s="1"/>
      <c r="K713" s="1"/>
      <c r="L713" s="1"/>
      <c r="M713" s="1"/>
      <c r="N713" s="1"/>
      <c r="O713" s="1"/>
    </row>
    <row r="714" spans="1:15" ht="15.75" customHeight="1">
      <c r="A714" s="1"/>
      <c r="B714" s="1"/>
      <c r="C714" s="3"/>
      <c r="D714" s="1"/>
      <c r="E714" s="1"/>
      <c r="F714" s="1"/>
      <c r="G714" s="1"/>
      <c r="H714" s="1"/>
      <c r="I714" s="1"/>
      <c r="J714" s="1"/>
      <c r="K714" s="1"/>
      <c r="L714" s="1"/>
      <c r="M714" s="1"/>
      <c r="N714" s="1"/>
      <c r="O714" s="1"/>
    </row>
    <row r="715" spans="1:15" ht="15.75" customHeight="1">
      <c r="A715" s="1"/>
      <c r="B715" s="1"/>
      <c r="C715" s="3"/>
      <c r="D715" s="1"/>
      <c r="E715" s="1"/>
      <c r="F715" s="1"/>
      <c r="G715" s="1"/>
      <c r="H715" s="1"/>
      <c r="I715" s="1"/>
      <c r="J715" s="1"/>
      <c r="K715" s="1"/>
      <c r="L715" s="1"/>
      <c r="M715" s="1"/>
      <c r="N715" s="1"/>
      <c r="O715" s="1"/>
    </row>
    <row r="716" spans="1:15" ht="15.75" customHeight="1">
      <c r="A716" s="1"/>
      <c r="B716" s="1"/>
      <c r="C716" s="3"/>
      <c r="D716" s="1"/>
      <c r="E716" s="1"/>
      <c r="F716" s="1"/>
      <c r="G716" s="1"/>
      <c r="H716" s="1"/>
      <c r="I716" s="1"/>
      <c r="J716" s="1"/>
      <c r="K716" s="1"/>
      <c r="L716" s="1"/>
      <c r="M716" s="1"/>
      <c r="N716" s="1"/>
      <c r="O716" s="1"/>
    </row>
    <row r="717" spans="1:15" ht="15.75" customHeight="1">
      <c r="A717" s="1"/>
      <c r="B717" s="1"/>
      <c r="C717" s="3"/>
      <c r="D717" s="1"/>
      <c r="E717" s="1"/>
      <c r="F717" s="1"/>
      <c r="G717" s="1"/>
      <c r="H717" s="1"/>
      <c r="I717" s="1"/>
      <c r="J717" s="1"/>
      <c r="K717" s="1"/>
      <c r="L717" s="1"/>
      <c r="M717" s="1"/>
      <c r="N717" s="1"/>
      <c r="O717" s="1"/>
    </row>
    <row r="718" spans="1:15" ht="15.75" customHeight="1">
      <c r="A718" s="1"/>
      <c r="B718" s="1"/>
      <c r="C718" s="3"/>
      <c r="D718" s="1"/>
      <c r="E718" s="1"/>
      <c r="F718" s="1"/>
      <c r="G718" s="1"/>
      <c r="H718" s="1"/>
      <c r="I718" s="1"/>
      <c r="J718" s="1"/>
      <c r="K718" s="1"/>
      <c r="L718" s="1"/>
      <c r="M718" s="1"/>
      <c r="N718" s="1"/>
      <c r="O718" s="1"/>
    </row>
    <row r="719" spans="1:15" ht="15.75" customHeight="1">
      <c r="A719" s="1"/>
      <c r="B719" s="1"/>
      <c r="C719" s="3"/>
      <c r="D719" s="1"/>
      <c r="E719" s="1"/>
      <c r="F719" s="1"/>
      <c r="G719" s="1"/>
      <c r="H719" s="1"/>
      <c r="I719" s="1"/>
      <c r="J719" s="1"/>
      <c r="K719" s="1"/>
      <c r="L719" s="1"/>
      <c r="M719" s="1"/>
      <c r="N719" s="1"/>
      <c r="O719" s="1"/>
    </row>
    <row r="720" spans="1:15" ht="15.75" customHeight="1">
      <c r="A720" s="1"/>
      <c r="B720" s="1"/>
      <c r="C720" s="3"/>
      <c r="D720" s="1"/>
      <c r="E720" s="1"/>
      <c r="F720" s="1"/>
      <c r="G720" s="1"/>
      <c r="H720" s="1"/>
      <c r="I720" s="1"/>
      <c r="J720" s="1"/>
      <c r="K720" s="1"/>
      <c r="L720" s="1"/>
      <c r="M720" s="1"/>
      <c r="N720" s="1"/>
      <c r="O720" s="1"/>
    </row>
    <row r="721" spans="1:15" ht="15.75" customHeight="1">
      <c r="A721" s="1"/>
      <c r="B721" s="1"/>
      <c r="C721" s="3"/>
      <c r="D721" s="1"/>
      <c r="E721" s="1"/>
      <c r="F721" s="1"/>
      <c r="G721" s="1"/>
      <c r="H721" s="1"/>
      <c r="I721" s="1"/>
      <c r="J721" s="1"/>
      <c r="K721" s="1"/>
      <c r="L721" s="1"/>
      <c r="M721" s="1"/>
      <c r="N721" s="1"/>
      <c r="O721" s="1"/>
    </row>
    <row r="722" spans="1:15" ht="15.75" customHeight="1">
      <c r="A722" s="1"/>
      <c r="B722" s="1"/>
      <c r="C722" s="3"/>
      <c r="D722" s="1"/>
      <c r="E722" s="1"/>
      <c r="F722" s="1"/>
      <c r="G722" s="1"/>
      <c r="H722" s="1"/>
      <c r="I722" s="1"/>
      <c r="J722" s="1"/>
      <c r="K722" s="1"/>
      <c r="L722" s="1"/>
      <c r="M722" s="1"/>
      <c r="N722" s="1"/>
      <c r="O722" s="1"/>
    </row>
    <row r="723" spans="1:15" ht="15.75" customHeight="1">
      <c r="A723" s="1"/>
      <c r="B723" s="1"/>
      <c r="C723" s="3"/>
      <c r="D723" s="1"/>
      <c r="E723" s="1"/>
      <c r="F723" s="1"/>
      <c r="G723" s="1"/>
      <c r="H723" s="1"/>
      <c r="I723" s="1"/>
      <c r="J723" s="1"/>
      <c r="K723" s="1"/>
      <c r="L723" s="1"/>
      <c r="M723" s="1"/>
      <c r="N723" s="1"/>
      <c r="O723" s="1"/>
    </row>
    <row r="724" spans="1:15" ht="15.75" customHeight="1">
      <c r="A724" s="1"/>
      <c r="B724" s="1"/>
      <c r="C724" s="3"/>
      <c r="D724" s="1"/>
      <c r="E724" s="1"/>
      <c r="F724" s="1"/>
      <c r="G724" s="1"/>
      <c r="H724" s="1"/>
      <c r="I724" s="1"/>
      <c r="J724" s="1"/>
      <c r="K724" s="1"/>
      <c r="L724" s="1"/>
      <c r="M724" s="1"/>
      <c r="N724" s="1"/>
      <c r="O724" s="1"/>
    </row>
    <row r="725" spans="1:15" ht="15.75" customHeight="1">
      <c r="A725" s="1"/>
      <c r="B725" s="1"/>
      <c r="C725" s="3"/>
      <c r="D725" s="1"/>
      <c r="E725" s="1"/>
      <c r="F725" s="1"/>
      <c r="G725" s="1"/>
      <c r="H725" s="1"/>
      <c r="I725" s="1"/>
      <c r="J725" s="1"/>
      <c r="K725" s="1"/>
      <c r="L725" s="1"/>
      <c r="M725" s="1"/>
      <c r="N725" s="1"/>
      <c r="O725" s="1"/>
    </row>
    <row r="726" spans="1:15" ht="15.75" customHeight="1">
      <c r="A726" s="1"/>
      <c r="B726" s="1"/>
      <c r="C726" s="3"/>
      <c r="D726" s="1"/>
      <c r="E726" s="1"/>
      <c r="F726" s="1"/>
      <c r="G726" s="1"/>
      <c r="H726" s="1"/>
      <c r="I726" s="1"/>
      <c r="J726" s="1"/>
      <c r="K726" s="1"/>
      <c r="L726" s="1"/>
      <c r="M726" s="1"/>
      <c r="N726" s="1"/>
      <c r="O726" s="1"/>
    </row>
    <row r="727" spans="1:15" ht="15.75" customHeight="1">
      <c r="A727" s="1"/>
      <c r="B727" s="1"/>
      <c r="C727" s="3"/>
      <c r="D727" s="1"/>
      <c r="E727" s="1"/>
      <c r="F727" s="1"/>
      <c r="G727" s="1"/>
      <c r="H727" s="1"/>
      <c r="I727" s="1"/>
      <c r="J727" s="1"/>
      <c r="K727" s="1"/>
      <c r="L727" s="1"/>
      <c r="M727" s="1"/>
      <c r="N727" s="1"/>
      <c r="O727" s="1"/>
    </row>
    <row r="728" spans="1:15" ht="15.75" customHeight="1">
      <c r="A728" s="1"/>
      <c r="B728" s="1"/>
      <c r="C728" s="3"/>
      <c r="D728" s="1"/>
      <c r="E728" s="1"/>
      <c r="F728" s="1"/>
      <c r="G728" s="1"/>
      <c r="H728" s="1"/>
      <c r="I728" s="1"/>
      <c r="J728" s="1"/>
      <c r="K728" s="1"/>
      <c r="L728" s="1"/>
      <c r="M728" s="1"/>
      <c r="N728" s="1"/>
      <c r="O728" s="1"/>
    </row>
    <row r="729" spans="1:15" ht="15.75" customHeight="1">
      <c r="A729" s="1"/>
      <c r="B729" s="1"/>
      <c r="C729" s="3"/>
      <c r="D729" s="1"/>
      <c r="E729" s="1"/>
      <c r="F729" s="1"/>
      <c r="G729" s="1"/>
      <c r="H729" s="1"/>
      <c r="I729" s="1"/>
      <c r="J729" s="1"/>
      <c r="K729" s="1"/>
      <c r="L729" s="1"/>
      <c r="M729" s="1"/>
      <c r="N729" s="1"/>
      <c r="O729" s="1"/>
    </row>
    <row r="730" spans="1:15" ht="15.75" customHeight="1">
      <c r="A730" s="1"/>
      <c r="B730" s="1"/>
      <c r="C730" s="3"/>
      <c r="D730" s="1"/>
      <c r="E730" s="1"/>
      <c r="F730" s="1"/>
      <c r="G730" s="1"/>
      <c r="H730" s="1"/>
      <c r="I730" s="1"/>
      <c r="J730" s="1"/>
      <c r="K730" s="1"/>
      <c r="L730" s="1"/>
      <c r="M730" s="1"/>
      <c r="N730" s="1"/>
      <c r="O730" s="1"/>
    </row>
    <row r="731" spans="1:15" ht="15.75" customHeight="1">
      <c r="A731" s="1"/>
      <c r="B731" s="1"/>
      <c r="C731" s="3"/>
      <c r="D731" s="1"/>
      <c r="E731" s="1"/>
      <c r="F731" s="1"/>
      <c r="G731" s="1"/>
      <c r="H731" s="1"/>
      <c r="I731" s="1"/>
      <c r="J731" s="1"/>
      <c r="K731" s="1"/>
      <c r="L731" s="1"/>
      <c r="M731" s="1"/>
      <c r="N731" s="1"/>
      <c r="O731" s="1"/>
    </row>
    <row r="732" spans="1:15" ht="15.75" customHeight="1">
      <c r="A732" s="1"/>
      <c r="B732" s="1"/>
      <c r="C732" s="3"/>
      <c r="D732" s="1"/>
      <c r="E732" s="1"/>
      <c r="F732" s="1"/>
      <c r="G732" s="1"/>
      <c r="H732" s="1"/>
      <c r="I732" s="1"/>
      <c r="J732" s="1"/>
      <c r="K732" s="1"/>
      <c r="L732" s="1"/>
      <c r="M732" s="1"/>
      <c r="N732" s="1"/>
      <c r="O732" s="1"/>
    </row>
    <row r="733" spans="1:15" ht="15.75" customHeight="1">
      <c r="A733" s="1"/>
      <c r="B733" s="1"/>
      <c r="C733" s="3"/>
      <c r="D733" s="1"/>
      <c r="E733" s="1"/>
      <c r="F733" s="1"/>
      <c r="G733" s="1"/>
      <c r="H733" s="1"/>
      <c r="I733" s="1"/>
      <c r="J733" s="1"/>
      <c r="K733" s="1"/>
      <c r="L733" s="1"/>
      <c r="M733" s="1"/>
      <c r="N733" s="1"/>
      <c r="O733" s="1"/>
    </row>
    <row r="734" spans="1:15" ht="15.75" customHeight="1">
      <c r="A734" s="1"/>
      <c r="B734" s="1"/>
      <c r="C734" s="3"/>
      <c r="D734" s="1"/>
      <c r="E734" s="1"/>
      <c r="F734" s="1"/>
      <c r="G734" s="1"/>
      <c r="H734" s="1"/>
      <c r="I734" s="1"/>
      <c r="J734" s="1"/>
      <c r="K734" s="1"/>
      <c r="L734" s="1"/>
      <c r="M734" s="1"/>
      <c r="N734" s="1"/>
      <c r="O734" s="1"/>
    </row>
    <row r="735" spans="1:15" ht="15.75" customHeight="1">
      <c r="A735" s="1"/>
      <c r="B735" s="1"/>
      <c r="C735" s="3"/>
      <c r="D735" s="1"/>
      <c r="E735" s="1"/>
      <c r="F735" s="1"/>
      <c r="G735" s="1"/>
      <c r="H735" s="1"/>
      <c r="I735" s="1"/>
      <c r="J735" s="1"/>
      <c r="K735" s="1"/>
      <c r="L735" s="1"/>
      <c r="M735" s="1"/>
      <c r="N735" s="1"/>
      <c r="O735" s="1"/>
    </row>
    <row r="736" spans="1:15" ht="15.75" customHeight="1">
      <c r="A736" s="1"/>
      <c r="B736" s="1"/>
      <c r="C736" s="3"/>
      <c r="D736" s="1"/>
      <c r="E736" s="1"/>
      <c r="F736" s="1"/>
      <c r="G736" s="1"/>
      <c r="H736" s="1"/>
      <c r="I736" s="1"/>
      <c r="J736" s="1"/>
      <c r="K736" s="1"/>
      <c r="L736" s="1"/>
      <c r="M736" s="1"/>
      <c r="N736" s="1"/>
      <c r="O736" s="1"/>
    </row>
    <row r="737" spans="1:15" ht="15.75" customHeight="1">
      <c r="A737" s="1"/>
      <c r="B737" s="1"/>
      <c r="C737" s="3"/>
      <c r="D737" s="1"/>
      <c r="E737" s="1"/>
      <c r="F737" s="1"/>
      <c r="G737" s="1"/>
      <c r="H737" s="1"/>
      <c r="I737" s="1"/>
      <c r="J737" s="1"/>
      <c r="K737" s="1"/>
      <c r="L737" s="1"/>
      <c r="M737" s="1"/>
      <c r="N737" s="1"/>
      <c r="O737" s="1"/>
    </row>
    <row r="738" spans="1:15" ht="15.75" customHeight="1">
      <c r="A738" s="1"/>
      <c r="B738" s="1"/>
      <c r="C738" s="3"/>
      <c r="D738" s="1"/>
      <c r="E738" s="1"/>
      <c r="F738" s="1"/>
      <c r="G738" s="1"/>
      <c r="H738" s="1"/>
      <c r="I738" s="1"/>
      <c r="J738" s="1"/>
      <c r="K738" s="1"/>
      <c r="L738" s="1"/>
      <c r="M738" s="1"/>
      <c r="N738" s="1"/>
      <c r="O738" s="1"/>
    </row>
    <row r="739" spans="1:15" ht="15.75" customHeight="1">
      <c r="A739" s="1"/>
      <c r="B739" s="1"/>
      <c r="C739" s="3"/>
      <c r="D739" s="1"/>
      <c r="E739" s="1"/>
      <c r="F739" s="1"/>
      <c r="G739" s="1"/>
      <c r="H739" s="1"/>
      <c r="I739" s="1"/>
      <c r="J739" s="1"/>
      <c r="K739" s="1"/>
      <c r="L739" s="1"/>
      <c r="M739" s="1"/>
      <c r="N739" s="1"/>
      <c r="O739" s="1"/>
    </row>
    <row r="740" spans="1:15" ht="15.75" customHeight="1">
      <c r="A740" s="1"/>
      <c r="B740" s="1"/>
      <c r="C740" s="3"/>
      <c r="D740" s="1"/>
      <c r="E740" s="1"/>
      <c r="F740" s="1"/>
      <c r="G740" s="1"/>
      <c r="H740" s="1"/>
      <c r="I740" s="1"/>
      <c r="J740" s="1"/>
      <c r="K740" s="1"/>
      <c r="L740" s="1"/>
      <c r="M740" s="1"/>
      <c r="N740" s="1"/>
      <c r="O740" s="1"/>
    </row>
    <row r="741" spans="1:15" ht="15.75" customHeight="1">
      <c r="A741" s="1"/>
      <c r="B741" s="1"/>
      <c r="C741" s="3"/>
      <c r="D741" s="1"/>
      <c r="E741" s="1"/>
      <c r="F741" s="1"/>
      <c r="G741" s="1"/>
      <c r="H741" s="1"/>
      <c r="I741" s="1"/>
      <c r="J741" s="1"/>
      <c r="K741" s="1"/>
      <c r="L741" s="1"/>
      <c r="M741" s="1"/>
      <c r="N741" s="1"/>
      <c r="O741" s="1"/>
    </row>
    <row r="742" spans="1:15" ht="15.75" customHeight="1">
      <c r="A742" s="1"/>
      <c r="B742" s="1"/>
      <c r="C742" s="3"/>
      <c r="D742" s="1"/>
      <c r="E742" s="1"/>
      <c r="F742" s="1"/>
      <c r="G742" s="1"/>
      <c r="H742" s="1"/>
      <c r="I742" s="1"/>
      <c r="J742" s="1"/>
      <c r="K742" s="1"/>
      <c r="L742" s="1"/>
      <c r="M742" s="1"/>
      <c r="N742" s="1"/>
      <c r="O742" s="1"/>
    </row>
    <row r="743" spans="1:15" ht="15.75" customHeight="1">
      <c r="A743" s="1"/>
      <c r="B743" s="1"/>
      <c r="C743" s="3"/>
      <c r="D743" s="1"/>
      <c r="E743" s="1"/>
      <c r="F743" s="1"/>
      <c r="G743" s="1"/>
      <c r="H743" s="1"/>
      <c r="I743" s="1"/>
      <c r="J743" s="1"/>
      <c r="K743" s="1"/>
      <c r="L743" s="1"/>
      <c r="M743" s="1"/>
      <c r="N743" s="1"/>
      <c r="O743" s="1"/>
    </row>
    <row r="744" spans="1:15" ht="15.75" customHeight="1">
      <c r="A744" s="1"/>
      <c r="B744" s="1"/>
      <c r="C744" s="3"/>
      <c r="D744" s="1"/>
      <c r="E744" s="1"/>
      <c r="F744" s="1"/>
      <c r="G744" s="1"/>
      <c r="H744" s="1"/>
      <c r="I744" s="1"/>
      <c r="J744" s="1"/>
      <c r="K744" s="1"/>
      <c r="L744" s="1"/>
      <c r="M744" s="1"/>
      <c r="N744" s="1"/>
      <c r="O744" s="1"/>
    </row>
    <row r="745" spans="1:15" ht="15.75" customHeight="1">
      <c r="A745" s="1"/>
      <c r="B745" s="1"/>
      <c r="C745" s="3"/>
      <c r="D745" s="1"/>
      <c r="E745" s="1"/>
      <c r="F745" s="1"/>
      <c r="G745" s="1"/>
      <c r="H745" s="1"/>
      <c r="I745" s="1"/>
      <c r="J745" s="1"/>
      <c r="K745" s="1"/>
      <c r="L745" s="1"/>
      <c r="M745" s="1"/>
      <c r="N745" s="1"/>
      <c r="O745" s="1"/>
    </row>
    <row r="746" spans="1:15" ht="15.75" customHeight="1">
      <c r="A746" s="1"/>
      <c r="B746" s="1"/>
      <c r="C746" s="3"/>
      <c r="D746" s="1"/>
      <c r="E746" s="1"/>
      <c r="F746" s="1"/>
      <c r="G746" s="1"/>
      <c r="H746" s="1"/>
      <c r="I746" s="1"/>
      <c r="J746" s="1"/>
      <c r="K746" s="1"/>
      <c r="L746" s="1"/>
      <c r="M746" s="1"/>
      <c r="N746" s="1"/>
      <c r="O746" s="1"/>
    </row>
    <row r="747" spans="1:15" ht="15.75" customHeight="1">
      <c r="A747" s="1"/>
      <c r="B747" s="1"/>
      <c r="C747" s="3"/>
      <c r="D747" s="1"/>
      <c r="E747" s="1"/>
      <c r="F747" s="1"/>
      <c r="G747" s="1"/>
      <c r="H747" s="1"/>
      <c r="I747" s="1"/>
      <c r="J747" s="1"/>
      <c r="K747" s="1"/>
      <c r="L747" s="1"/>
      <c r="M747" s="1"/>
      <c r="N747" s="1"/>
      <c r="O747" s="1"/>
    </row>
    <row r="748" spans="1:15" ht="15.75" customHeight="1">
      <c r="A748" s="1"/>
      <c r="B748" s="1"/>
      <c r="C748" s="3"/>
      <c r="D748" s="1"/>
      <c r="E748" s="1"/>
      <c r="F748" s="1"/>
      <c r="G748" s="1"/>
      <c r="H748" s="1"/>
      <c r="I748" s="1"/>
      <c r="J748" s="1"/>
      <c r="K748" s="1"/>
      <c r="L748" s="1"/>
      <c r="M748" s="1"/>
      <c r="N748" s="1"/>
      <c r="O748" s="1"/>
    </row>
    <row r="749" spans="1:15" ht="15.75" customHeight="1">
      <c r="A749" s="1"/>
      <c r="B749" s="1"/>
      <c r="C749" s="3"/>
      <c r="D749" s="1"/>
      <c r="E749" s="1"/>
      <c r="F749" s="1"/>
      <c r="G749" s="1"/>
      <c r="H749" s="1"/>
      <c r="I749" s="1"/>
      <c r="J749" s="1"/>
      <c r="K749" s="1"/>
      <c r="L749" s="1"/>
      <c r="M749" s="1"/>
      <c r="N749" s="1"/>
      <c r="O749" s="1"/>
    </row>
    <row r="750" spans="1:15" ht="15.75" customHeight="1">
      <c r="A750" s="1"/>
      <c r="B750" s="1"/>
      <c r="C750" s="3"/>
      <c r="D750" s="1"/>
      <c r="E750" s="1"/>
      <c r="F750" s="1"/>
      <c r="G750" s="1"/>
      <c r="H750" s="1"/>
      <c r="I750" s="1"/>
      <c r="J750" s="1"/>
      <c r="K750" s="1"/>
      <c r="L750" s="1"/>
      <c r="M750" s="1"/>
      <c r="N750" s="1"/>
      <c r="O750" s="1"/>
    </row>
    <row r="751" spans="1:15" ht="15.75" customHeight="1">
      <c r="A751" s="1"/>
      <c r="B751" s="1"/>
      <c r="C751" s="3"/>
      <c r="D751" s="1"/>
      <c r="E751" s="1"/>
      <c r="F751" s="1"/>
      <c r="G751" s="1"/>
      <c r="H751" s="1"/>
      <c r="I751" s="1"/>
      <c r="J751" s="1"/>
      <c r="K751" s="1"/>
      <c r="L751" s="1"/>
      <c r="M751" s="1"/>
      <c r="N751" s="1"/>
      <c r="O751" s="1"/>
    </row>
    <row r="752" spans="1:15" ht="15.75" customHeight="1">
      <c r="A752" s="1"/>
      <c r="B752" s="1"/>
      <c r="C752" s="3"/>
      <c r="D752" s="1"/>
      <c r="E752" s="1"/>
      <c r="F752" s="1"/>
      <c r="G752" s="1"/>
      <c r="H752" s="1"/>
      <c r="I752" s="1"/>
      <c r="J752" s="1"/>
      <c r="K752" s="1"/>
      <c r="L752" s="1"/>
      <c r="M752" s="1"/>
      <c r="N752" s="1"/>
      <c r="O752" s="1"/>
    </row>
    <row r="753" spans="1:15" ht="15.75" customHeight="1">
      <c r="A753" s="1"/>
      <c r="B753" s="1"/>
      <c r="C753" s="3"/>
      <c r="D753" s="1"/>
      <c r="E753" s="1"/>
      <c r="F753" s="1"/>
      <c r="G753" s="1"/>
      <c r="H753" s="1"/>
      <c r="I753" s="1"/>
      <c r="J753" s="1"/>
      <c r="K753" s="1"/>
      <c r="L753" s="1"/>
      <c r="M753" s="1"/>
      <c r="N753" s="1"/>
      <c r="O753" s="1"/>
    </row>
    <row r="754" spans="1:15" ht="15.75" customHeight="1">
      <c r="A754" s="1"/>
      <c r="B754" s="1"/>
      <c r="C754" s="3"/>
      <c r="D754" s="1"/>
      <c r="E754" s="1"/>
      <c r="F754" s="1"/>
      <c r="G754" s="1"/>
      <c r="H754" s="1"/>
      <c r="I754" s="1"/>
      <c r="J754" s="1"/>
      <c r="K754" s="1"/>
      <c r="L754" s="1"/>
      <c r="M754" s="1"/>
      <c r="N754" s="1"/>
      <c r="O754" s="1"/>
    </row>
    <row r="755" spans="1:15" ht="15.75" customHeight="1">
      <c r="A755" s="1"/>
      <c r="B755" s="1"/>
      <c r="C755" s="3"/>
      <c r="D755" s="1"/>
      <c r="E755" s="1"/>
      <c r="F755" s="1"/>
      <c r="G755" s="1"/>
      <c r="H755" s="1"/>
      <c r="I755" s="1"/>
      <c r="J755" s="1"/>
      <c r="K755" s="1"/>
      <c r="L755" s="1"/>
      <c r="M755" s="1"/>
      <c r="N755" s="1"/>
      <c r="O755" s="1"/>
    </row>
    <row r="756" spans="1:15" ht="15.75" customHeight="1">
      <c r="A756" s="1"/>
      <c r="B756" s="1"/>
      <c r="C756" s="3"/>
      <c r="D756" s="1"/>
      <c r="E756" s="1"/>
      <c r="F756" s="1"/>
      <c r="G756" s="1"/>
      <c r="H756" s="1"/>
      <c r="I756" s="1"/>
      <c r="J756" s="1"/>
      <c r="K756" s="1"/>
      <c r="L756" s="1"/>
      <c r="M756" s="1"/>
      <c r="N756" s="1"/>
      <c r="O756" s="1"/>
    </row>
    <row r="757" spans="1:15" ht="15.75" customHeight="1">
      <c r="A757" s="1"/>
      <c r="B757" s="1"/>
      <c r="C757" s="3"/>
      <c r="D757" s="1"/>
      <c r="E757" s="1"/>
      <c r="F757" s="1"/>
      <c r="G757" s="1"/>
      <c r="H757" s="1"/>
      <c r="I757" s="1"/>
      <c r="J757" s="1"/>
      <c r="K757" s="1"/>
      <c r="L757" s="1"/>
      <c r="M757" s="1"/>
      <c r="N757" s="1"/>
      <c r="O757" s="1"/>
    </row>
    <row r="758" spans="1:15" ht="15.75" customHeight="1">
      <c r="A758" s="1"/>
      <c r="B758" s="1"/>
      <c r="C758" s="3"/>
      <c r="D758" s="1"/>
      <c r="E758" s="1"/>
      <c r="F758" s="1"/>
      <c r="G758" s="1"/>
      <c r="H758" s="1"/>
      <c r="I758" s="1"/>
      <c r="J758" s="1"/>
      <c r="K758" s="1"/>
      <c r="L758" s="1"/>
      <c r="M758" s="1"/>
      <c r="N758" s="1"/>
      <c r="O758" s="1"/>
    </row>
    <row r="759" spans="1:15" ht="15.75" customHeight="1">
      <c r="A759" s="1"/>
      <c r="B759" s="1"/>
      <c r="C759" s="3"/>
      <c r="D759" s="1"/>
      <c r="E759" s="1"/>
      <c r="F759" s="1"/>
      <c r="G759" s="1"/>
      <c r="H759" s="1"/>
      <c r="I759" s="1"/>
      <c r="J759" s="1"/>
      <c r="K759" s="1"/>
      <c r="L759" s="1"/>
      <c r="M759" s="1"/>
      <c r="N759" s="1"/>
      <c r="O759" s="1"/>
    </row>
    <row r="760" spans="1:15" ht="15.75" customHeight="1">
      <c r="A760" s="1"/>
      <c r="B760" s="1"/>
      <c r="C760" s="3"/>
      <c r="D760" s="1"/>
      <c r="E760" s="1"/>
      <c r="F760" s="1"/>
      <c r="G760" s="1"/>
      <c r="H760" s="1"/>
      <c r="I760" s="1"/>
      <c r="J760" s="1"/>
      <c r="K760" s="1"/>
      <c r="L760" s="1"/>
      <c r="M760" s="1"/>
      <c r="N760" s="1"/>
      <c r="O760" s="1"/>
    </row>
    <row r="761" spans="1:15" ht="15.75" customHeight="1">
      <c r="A761" s="1"/>
      <c r="B761" s="1"/>
      <c r="C761" s="3"/>
      <c r="D761" s="1"/>
      <c r="E761" s="1"/>
      <c r="F761" s="1"/>
      <c r="G761" s="1"/>
      <c r="H761" s="1"/>
      <c r="I761" s="1"/>
      <c r="J761" s="1"/>
      <c r="K761" s="1"/>
      <c r="L761" s="1"/>
      <c r="M761" s="1"/>
      <c r="N761" s="1"/>
      <c r="O761" s="1"/>
    </row>
    <row r="762" spans="1:15" ht="15.75" customHeight="1">
      <c r="A762" s="1"/>
      <c r="B762" s="1"/>
      <c r="C762" s="3"/>
      <c r="D762" s="1"/>
      <c r="E762" s="1"/>
      <c r="F762" s="1"/>
      <c r="G762" s="1"/>
      <c r="H762" s="1"/>
      <c r="I762" s="1"/>
      <c r="J762" s="1"/>
      <c r="K762" s="1"/>
      <c r="L762" s="1"/>
      <c r="M762" s="1"/>
      <c r="N762" s="1"/>
      <c r="O762" s="1"/>
    </row>
    <row r="763" spans="1:15" ht="15.75" customHeight="1">
      <c r="A763" s="1"/>
      <c r="B763" s="1"/>
      <c r="C763" s="3"/>
      <c r="D763" s="1"/>
      <c r="E763" s="1"/>
      <c r="F763" s="1"/>
      <c r="G763" s="1"/>
      <c r="H763" s="1"/>
      <c r="I763" s="1"/>
      <c r="J763" s="1"/>
      <c r="K763" s="1"/>
      <c r="L763" s="1"/>
      <c r="M763" s="1"/>
      <c r="N763" s="1"/>
      <c r="O763" s="1"/>
    </row>
    <row r="764" spans="1:15" ht="15.75" customHeight="1">
      <c r="A764" s="1"/>
      <c r="B764" s="1"/>
      <c r="C764" s="3"/>
      <c r="D764" s="1"/>
      <c r="E764" s="1"/>
      <c r="F764" s="1"/>
      <c r="G764" s="1"/>
      <c r="H764" s="1"/>
      <c r="I764" s="1"/>
      <c r="J764" s="1"/>
      <c r="K764" s="1"/>
      <c r="L764" s="1"/>
      <c r="M764" s="1"/>
      <c r="N764" s="1"/>
      <c r="O764" s="1"/>
    </row>
    <row r="765" spans="1:15" ht="15.75" customHeight="1">
      <c r="A765" s="1"/>
      <c r="B765" s="1"/>
      <c r="C765" s="3"/>
      <c r="D765" s="1"/>
      <c r="E765" s="1"/>
      <c r="F765" s="1"/>
      <c r="G765" s="1"/>
      <c r="H765" s="1"/>
      <c r="I765" s="1"/>
      <c r="J765" s="1"/>
      <c r="K765" s="1"/>
      <c r="L765" s="1"/>
      <c r="M765" s="1"/>
      <c r="N765" s="1"/>
      <c r="O765" s="1"/>
    </row>
    <row r="766" spans="1:15" ht="15.75" customHeight="1">
      <c r="A766" s="1"/>
      <c r="B766" s="1"/>
      <c r="C766" s="3"/>
      <c r="D766" s="1"/>
      <c r="E766" s="1"/>
      <c r="F766" s="1"/>
      <c r="G766" s="1"/>
      <c r="H766" s="1"/>
      <c r="I766" s="1"/>
      <c r="J766" s="1"/>
      <c r="K766" s="1"/>
      <c r="L766" s="1"/>
      <c r="M766" s="1"/>
      <c r="N766" s="1"/>
      <c r="O766" s="1"/>
    </row>
    <row r="767" spans="1:15" ht="15.75" customHeight="1">
      <c r="A767" s="1"/>
      <c r="B767" s="1"/>
      <c r="C767" s="3"/>
      <c r="D767" s="1"/>
      <c r="E767" s="1"/>
      <c r="F767" s="1"/>
      <c r="G767" s="1"/>
      <c r="H767" s="1"/>
      <c r="I767" s="1"/>
      <c r="J767" s="1"/>
      <c r="K767" s="1"/>
      <c r="L767" s="1"/>
      <c r="M767" s="1"/>
      <c r="N767" s="1"/>
      <c r="O767" s="1"/>
    </row>
    <row r="768" spans="1:15" ht="15.75" customHeight="1">
      <c r="A768" s="1"/>
      <c r="B768" s="1"/>
      <c r="C768" s="3"/>
      <c r="D768" s="1"/>
      <c r="E768" s="1"/>
      <c r="F768" s="1"/>
      <c r="G768" s="1"/>
      <c r="H768" s="1"/>
      <c r="I768" s="1"/>
      <c r="J768" s="1"/>
      <c r="K768" s="1"/>
      <c r="L768" s="1"/>
      <c r="M768" s="1"/>
      <c r="N768" s="1"/>
      <c r="O768" s="1"/>
    </row>
    <row r="769" spans="1:15" ht="15.75" customHeight="1">
      <c r="A769" s="1"/>
      <c r="B769" s="1"/>
      <c r="C769" s="3"/>
      <c r="D769" s="1"/>
      <c r="E769" s="1"/>
      <c r="F769" s="1"/>
      <c r="G769" s="1"/>
      <c r="H769" s="1"/>
      <c r="I769" s="1"/>
      <c r="J769" s="1"/>
      <c r="K769" s="1"/>
      <c r="L769" s="1"/>
      <c r="M769" s="1"/>
      <c r="N769" s="1"/>
      <c r="O769" s="1"/>
    </row>
    <row r="770" spans="1:15" ht="15.75" customHeight="1">
      <c r="A770" s="1"/>
      <c r="B770" s="1"/>
      <c r="C770" s="3"/>
      <c r="D770" s="1"/>
      <c r="E770" s="1"/>
      <c r="F770" s="1"/>
      <c r="G770" s="1"/>
      <c r="H770" s="1"/>
      <c r="I770" s="1"/>
      <c r="J770" s="1"/>
      <c r="K770" s="1"/>
      <c r="L770" s="1"/>
      <c r="M770" s="1"/>
      <c r="N770" s="1"/>
      <c r="O770" s="1"/>
    </row>
    <row r="771" spans="1:15" ht="15.75" customHeight="1">
      <c r="A771" s="1"/>
      <c r="B771" s="1"/>
      <c r="C771" s="3"/>
      <c r="D771" s="1"/>
      <c r="E771" s="1"/>
      <c r="F771" s="1"/>
      <c r="G771" s="1"/>
      <c r="H771" s="1"/>
      <c r="I771" s="1"/>
      <c r="J771" s="1"/>
      <c r="K771" s="1"/>
      <c r="L771" s="1"/>
      <c r="M771" s="1"/>
      <c r="N771" s="1"/>
      <c r="O771" s="1"/>
    </row>
    <row r="772" spans="1:15" ht="15.75" customHeight="1">
      <c r="A772" s="1"/>
      <c r="B772" s="1"/>
      <c r="C772" s="3"/>
      <c r="D772" s="1"/>
      <c r="E772" s="1"/>
      <c r="F772" s="1"/>
      <c r="G772" s="1"/>
      <c r="H772" s="1"/>
      <c r="I772" s="1"/>
      <c r="J772" s="1"/>
      <c r="K772" s="1"/>
      <c r="L772" s="1"/>
      <c r="M772" s="1"/>
      <c r="N772" s="1"/>
      <c r="O772" s="1"/>
    </row>
    <row r="773" spans="1:15" ht="15.75" customHeight="1">
      <c r="A773" s="1"/>
      <c r="B773" s="1"/>
      <c r="C773" s="3"/>
      <c r="D773" s="1"/>
      <c r="E773" s="1"/>
      <c r="F773" s="1"/>
      <c r="G773" s="1"/>
      <c r="H773" s="1"/>
      <c r="I773" s="1"/>
      <c r="J773" s="1"/>
      <c r="K773" s="1"/>
      <c r="L773" s="1"/>
      <c r="M773" s="1"/>
      <c r="N773" s="1"/>
      <c r="O773" s="1"/>
    </row>
    <row r="774" spans="1:15" ht="15.75" customHeight="1">
      <c r="A774" s="1"/>
      <c r="B774" s="1"/>
      <c r="C774" s="3"/>
      <c r="D774" s="1"/>
      <c r="E774" s="1"/>
      <c r="F774" s="1"/>
      <c r="G774" s="1"/>
      <c r="H774" s="1"/>
      <c r="I774" s="1"/>
      <c r="J774" s="1"/>
      <c r="K774" s="1"/>
      <c r="L774" s="1"/>
      <c r="M774" s="1"/>
      <c r="N774" s="1"/>
      <c r="O774" s="1"/>
    </row>
    <row r="775" spans="1:15" ht="15.75" customHeight="1">
      <c r="A775" s="1"/>
      <c r="B775" s="1"/>
      <c r="C775" s="3"/>
      <c r="D775" s="1"/>
      <c r="E775" s="1"/>
      <c r="F775" s="1"/>
      <c r="G775" s="1"/>
      <c r="H775" s="1"/>
      <c r="I775" s="1"/>
      <c r="J775" s="1"/>
      <c r="K775" s="1"/>
      <c r="L775" s="1"/>
      <c r="M775" s="1"/>
      <c r="N775" s="1"/>
      <c r="O775" s="1"/>
    </row>
    <row r="776" spans="1:15" ht="15.75" customHeight="1">
      <c r="A776" s="1"/>
      <c r="B776" s="1"/>
      <c r="C776" s="3"/>
      <c r="D776" s="1"/>
      <c r="E776" s="1"/>
      <c r="F776" s="1"/>
      <c r="G776" s="1"/>
      <c r="H776" s="1"/>
      <c r="I776" s="1"/>
      <c r="J776" s="1"/>
      <c r="K776" s="1"/>
      <c r="L776" s="1"/>
      <c r="M776" s="1"/>
      <c r="N776" s="1"/>
      <c r="O776" s="1"/>
    </row>
    <row r="777" spans="1:15" ht="15.75" customHeight="1">
      <c r="A777" s="1"/>
      <c r="B777" s="1"/>
      <c r="C777" s="3"/>
      <c r="D777" s="1"/>
      <c r="E777" s="1"/>
      <c r="F777" s="1"/>
      <c r="G777" s="1"/>
      <c r="H777" s="1"/>
      <c r="I777" s="1"/>
      <c r="J777" s="1"/>
      <c r="K777" s="1"/>
      <c r="L777" s="1"/>
      <c r="M777" s="1"/>
      <c r="N777" s="1"/>
      <c r="O777" s="1"/>
    </row>
    <row r="778" spans="1:15" ht="15.75" customHeight="1">
      <c r="A778" s="1"/>
      <c r="B778" s="1"/>
      <c r="C778" s="3"/>
      <c r="D778" s="1"/>
      <c r="E778" s="1"/>
      <c r="F778" s="1"/>
      <c r="G778" s="1"/>
      <c r="H778" s="1"/>
      <c r="I778" s="1"/>
      <c r="J778" s="1"/>
      <c r="K778" s="1"/>
      <c r="L778" s="1"/>
      <c r="M778" s="1"/>
      <c r="N778" s="1"/>
      <c r="O778" s="1"/>
    </row>
    <row r="779" spans="1:15" ht="15.75" customHeight="1">
      <c r="A779" s="1"/>
      <c r="B779" s="1"/>
      <c r="C779" s="3"/>
      <c r="D779" s="1"/>
      <c r="E779" s="1"/>
      <c r="F779" s="1"/>
      <c r="G779" s="1"/>
      <c r="H779" s="1"/>
      <c r="I779" s="1"/>
      <c r="J779" s="1"/>
      <c r="K779" s="1"/>
      <c r="L779" s="1"/>
      <c r="M779" s="1"/>
      <c r="N779" s="1"/>
      <c r="O779" s="1"/>
    </row>
    <row r="780" spans="1:15" ht="15.75" customHeight="1">
      <c r="A780" s="1"/>
      <c r="B780" s="1"/>
      <c r="C780" s="3"/>
      <c r="D780" s="1"/>
      <c r="E780" s="1"/>
      <c r="F780" s="1"/>
      <c r="G780" s="1"/>
      <c r="H780" s="1"/>
      <c r="I780" s="1"/>
      <c r="J780" s="1"/>
      <c r="K780" s="1"/>
      <c r="L780" s="1"/>
      <c r="M780" s="1"/>
      <c r="N780" s="1"/>
      <c r="O780" s="1"/>
    </row>
    <row r="781" spans="1:15" ht="15.75" customHeight="1">
      <c r="A781" s="1"/>
      <c r="B781" s="1"/>
      <c r="C781" s="3"/>
      <c r="D781" s="1"/>
      <c r="E781" s="1"/>
      <c r="F781" s="1"/>
      <c r="G781" s="1"/>
      <c r="H781" s="1"/>
      <c r="I781" s="1"/>
      <c r="J781" s="1"/>
      <c r="K781" s="1"/>
      <c r="L781" s="1"/>
      <c r="M781" s="1"/>
      <c r="N781" s="1"/>
      <c r="O781" s="1"/>
    </row>
    <row r="782" spans="1:15" ht="15.75" customHeight="1">
      <c r="A782" s="1"/>
      <c r="B782" s="1"/>
      <c r="C782" s="3"/>
      <c r="D782" s="1"/>
      <c r="E782" s="1"/>
      <c r="F782" s="1"/>
      <c r="G782" s="1"/>
      <c r="H782" s="1"/>
      <c r="I782" s="1"/>
      <c r="J782" s="1"/>
      <c r="K782" s="1"/>
      <c r="L782" s="1"/>
      <c r="M782" s="1"/>
      <c r="N782" s="1"/>
      <c r="O782" s="1"/>
    </row>
    <row r="783" spans="1:15" ht="15.75" customHeight="1">
      <c r="A783" s="1"/>
      <c r="B783" s="1"/>
      <c r="C783" s="3"/>
      <c r="D783" s="1"/>
      <c r="E783" s="1"/>
      <c r="F783" s="1"/>
      <c r="G783" s="1"/>
      <c r="H783" s="1"/>
      <c r="I783" s="1"/>
      <c r="J783" s="1"/>
      <c r="K783" s="1"/>
      <c r="L783" s="1"/>
      <c r="M783" s="1"/>
      <c r="N783" s="1"/>
      <c r="O783" s="1"/>
    </row>
    <row r="784" spans="1:15" ht="15.75" customHeight="1">
      <c r="A784" s="1"/>
      <c r="B784" s="1"/>
      <c r="C784" s="3"/>
      <c r="D784" s="1"/>
      <c r="E784" s="1"/>
      <c r="F784" s="1"/>
      <c r="G784" s="1"/>
      <c r="H784" s="1"/>
      <c r="I784" s="1"/>
      <c r="J784" s="1"/>
      <c r="K784" s="1"/>
      <c r="L784" s="1"/>
      <c r="M784" s="1"/>
      <c r="N784" s="1"/>
      <c r="O784" s="1"/>
    </row>
    <row r="785" spans="1:15" ht="15.75" customHeight="1">
      <c r="A785" s="1"/>
      <c r="B785" s="1"/>
      <c r="C785" s="3"/>
      <c r="D785" s="1"/>
      <c r="E785" s="1"/>
      <c r="F785" s="1"/>
      <c r="G785" s="1"/>
      <c r="H785" s="1"/>
      <c r="I785" s="1"/>
      <c r="J785" s="1"/>
      <c r="K785" s="1"/>
      <c r="L785" s="1"/>
      <c r="M785" s="1"/>
      <c r="N785" s="1"/>
      <c r="O785" s="1"/>
    </row>
    <row r="786" spans="1:15" ht="15.75" customHeight="1">
      <c r="A786" s="1"/>
      <c r="B786" s="1"/>
      <c r="C786" s="3"/>
      <c r="D786" s="1"/>
      <c r="E786" s="1"/>
      <c r="F786" s="1"/>
      <c r="G786" s="1"/>
      <c r="H786" s="1"/>
      <c r="I786" s="1"/>
      <c r="J786" s="1"/>
      <c r="K786" s="1"/>
      <c r="L786" s="1"/>
      <c r="M786" s="1"/>
      <c r="N786" s="1"/>
      <c r="O786" s="1"/>
    </row>
    <row r="787" spans="1:15" ht="15.75" customHeight="1">
      <c r="A787" s="1"/>
      <c r="B787" s="1"/>
      <c r="C787" s="3"/>
      <c r="D787" s="1"/>
      <c r="E787" s="1"/>
      <c r="F787" s="1"/>
      <c r="G787" s="1"/>
      <c r="H787" s="1"/>
      <c r="I787" s="1"/>
      <c r="J787" s="1"/>
      <c r="K787" s="1"/>
      <c r="L787" s="1"/>
      <c r="M787" s="1"/>
      <c r="N787" s="1"/>
      <c r="O787" s="1"/>
    </row>
    <row r="788" spans="1:15" ht="15.75" customHeight="1">
      <c r="A788" s="1"/>
      <c r="B788" s="1"/>
      <c r="C788" s="3"/>
      <c r="D788" s="1"/>
      <c r="E788" s="1"/>
      <c r="F788" s="1"/>
      <c r="G788" s="1"/>
      <c r="H788" s="1"/>
      <c r="I788" s="1"/>
      <c r="J788" s="1"/>
      <c r="K788" s="1"/>
      <c r="L788" s="1"/>
      <c r="M788" s="1"/>
      <c r="N788" s="1"/>
      <c r="O788" s="1"/>
    </row>
    <row r="789" spans="1:15" ht="15.75" customHeight="1">
      <c r="A789" s="1"/>
      <c r="B789" s="1"/>
      <c r="C789" s="3"/>
      <c r="D789" s="1"/>
      <c r="E789" s="1"/>
      <c r="F789" s="1"/>
      <c r="G789" s="1"/>
      <c r="H789" s="1"/>
      <c r="I789" s="1"/>
      <c r="J789" s="1"/>
      <c r="K789" s="1"/>
      <c r="L789" s="1"/>
      <c r="M789" s="1"/>
      <c r="N789" s="1"/>
      <c r="O789" s="1"/>
    </row>
    <row r="790" spans="1:15" ht="15.75" customHeight="1">
      <c r="A790" s="1"/>
      <c r="B790" s="1"/>
      <c r="C790" s="3"/>
      <c r="D790" s="1"/>
      <c r="E790" s="1"/>
      <c r="F790" s="1"/>
      <c r="G790" s="1"/>
      <c r="H790" s="1"/>
      <c r="I790" s="1"/>
      <c r="J790" s="1"/>
      <c r="K790" s="1"/>
      <c r="L790" s="1"/>
      <c r="M790" s="1"/>
      <c r="N790" s="1"/>
      <c r="O790" s="1"/>
    </row>
    <row r="791" spans="1:15" ht="15.75" customHeight="1">
      <c r="A791" s="1"/>
      <c r="B791" s="1"/>
      <c r="C791" s="3"/>
      <c r="D791" s="1"/>
      <c r="E791" s="1"/>
      <c r="F791" s="1"/>
      <c r="G791" s="1"/>
      <c r="H791" s="1"/>
      <c r="I791" s="1"/>
      <c r="J791" s="1"/>
      <c r="K791" s="1"/>
      <c r="L791" s="1"/>
      <c r="M791" s="1"/>
      <c r="N791" s="1"/>
      <c r="O791" s="1"/>
    </row>
    <row r="792" spans="1:15" ht="15.75" customHeight="1">
      <c r="A792" s="1"/>
      <c r="B792" s="1"/>
      <c r="C792" s="3"/>
      <c r="D792" s="1"/>
      <c r="E792" s="1"/>
      <c r="F792" s="1"/>
      <c r="G792" s="1"/>
      <c r="H792" s="1"/>
      <c r="I792" s="1"/>
      <c r="J792" s="1"/>
      <c r="K792" s="1"/>
      <c r="L792" s="1"/>
      <c r="M792" s="1"/>
      <c r="N792" s="1"/>
      <c r="O792" s="1"/>
    </row>
    <row r="793" spans="1:15" ht="15.75" customHeight="1">
      <c r="A793" s="1"/>
      <c r="B793" s="1"/>
      <c r="C793" s="3"/>
      <c r="D793" s="1"/>
      <c r="E793" s="1"/>
      <c r="F793" s="1"/>
      <c r="G793" s="1"/>
      <c r="H793" s="1"/>
      <c r="I793" s="1"/>
      <c r="J793" s="1"/>
      <c r="K793" s="1"/>
      <c r="L793" s="1"/>
      <c r="M793" s="1"/>
      <c r="N793" s="1"/>
      <c r="O793" s="1"/>
    </row>
    <row r="794" spans="1:15" ht="15.75" customHeight="1">
      <c r="A794" s="1"/>
      <c r="B794" s="1"/>
      <c r="C794" s="3"/>
      <c r="D794" s="1"/>
      <c r="E794" s="1"/>
      <c r="F794" s="1"/>
      <c r="G794" s="1"/>
      <c r="H794" s="1"/>
      <c r="I794" s="1"/>
      <c r="J794" s="1"/>
      <c r="K794" s="1"/>
      <c r="L794" s="1"/>
      <c r="M794" s="1"/>
      <c r="N794" s="1"/>
      <c r="O794" s="1"/>
    </row>
    <row r="795" spans="1:15" ht="15.75" customHeight="1">
      <c r="A795" s="1"/>
      <c r="B795" s="1"/>
      <c r="C795" s="3"/>
      <c r="D795" s="1"/>
      <c r="E795" s="1"/>
      <c r="F795" s="1"/>
      <c r="G795" s="1"/>
      <c r="H795" s="1"/>
      <c r="I795" s="1"/>
      <c r="J795" s="1"/>
      <c r="K795" s="1"/>
      <c r="L795" s="1"/>
      <c r="M795" s="1"/>
      <c r="N795" s="1"/>
      <c r="O795" s="1"/>
    </row>
    <row r="796" spans="1:15" ht="15.75" customHeight="1">
      <c r="A796" s="1"/>
      <c r="B796" s="1"/>
      <c r="C796" s="3"/>
      <c r="D796" s="1"/>
      <c r="E796" s="1"/>
      <c r="F796" s="1"/>
      <c r="G796" s="1"/>
      <c r="H796" s="1"/>
      <c r="I796" s="1"/>
      <c r="J796" s="1"/>
      <c r="K796" s="1"/>
      <c r="L796" s="1"/>
      <c r="M796" s="1"/>
      <c r="N796" s="1"/>
      <c r="O796" s="1"/>
    </row>
    <row r="797" spans="1:15" ht="15.75" customHeight="1">
      <c r="A797" s="1"/>
      <c r="B797" s="1"/>
      <c r="C797" s="3"/>
      <c r="D797" s="1"/>
      <c r="E797" s="1"/>
      <c r="F797" s="1"/>
      <c r="G797" s="1"/>
      <c r="H797" s="1"/>
      <c r="I797" s="1"/>
      <c r="J797" s="1"/>
      <c r="K797" s="1"/>
      <c r="L797" s="1"/>
      <c r="M797" s="1"/>
      <c r="N797" s="1"/>
      <c r="O797" s="1"/>
    </row>
    <row r="798" spans="1:15" ht="15.75" customHeight="1">
      <c r="A798" s="1"/>
      <c r="B798" s="1"/>
      <c r="C798" s="3"/>
      <c r="D798" s="1"/>
      <c r="E798" s="1"/>
      <c r="F798" s="1"/>
      <c r="G798" s="1"/>
      <c r="H798" s="1"/>
      <c r="I798" s="1"/>
      <c r="J798" s="1"/>
      <c r="K798" s="1"/>
      <c r="L798" s="1"/>
      <c r="M798" s="1"/>
      <c r="N798" s="1"/>
      <c r="O798" s="1"/>
    </row>
    <row r="799" spans="1:15" ht="15.75" customHeight="1">
      <c r="A799" s="1"/>
      <c r="B799" s="1"/>
      <c r="C799" s="3"/>
      <c r="D799" s="1"/>
      <c r="E799" s="1"/>
      <c r="F799" s="1"/>
      <c r="G799" s="1"/>
      <c r="H799" s="1"/>
      <c r="I799" s="1"/>
      <c r="J799" s="1"/>
      <c r="K799" s="1"/>
      <c r="L799" s="1"/>
      <c r="M799" s="1"/>
      <c r="N799" s="1"/>
      <c r="O799" s="1"/>
    </row>
    <row r="800" spans="1:15" ht="15.75" customHeight="1">
      <c r="A800" s="1"/>
      <c r="B800" s="1"/>
      <c r="C800" s="3"/>
      <c r="D800" s="1"/>
      <c r="E800" s="1"/>
      <c r="F800" s="1"/>
      <c r="G800" s="1"/>
      <c r="H800" s="1"/>
      <c r="I800" s="1"/>
      <c r="J800" s="1"/>
      <c r="K800" s="1"/>
      <c r="L800" s="1"/>
      <c r="M800" s="1"/>
      <c r="N800" s="1"/>
      <c r="O800" s="1"/>
    </row>
    <row r="801" spans="1:15" ht="15.75" customHeight="1">
      <c r="A801" s="1"/>
      <c r="B801" s="1"/>
      <c r="C801" s="3"/>
      <c r="D801" s="1"/>
      <c r="E801" s="1"/>
      <c r="F801" s="1"/>
      <c r="G801" s="1"/>
      <c r="H801" s="1"/>
      <c r="I801" s="1"/>
      <c r="J801" s="1"/>
      <c r="K801" s="1"/>
      <c r="L801" s="1"/>
      <c r="M801" s="1"/>
      <c r="N801" s="1"/>
      <c r="O801" s="1"/>
    </row>
    <row r="802" spans="1:15" ht="15.75" customHeight="1">
      <c r="A802" s="1"/>
      <c r="B802" s="1"/>
      <c r="C802" s="3"/>
      <c r="D802" s="1"/>
      <c r="E802" s="1"/>
      <c r="F802" s="1"/>
      <c r="G802" s="1"/>
      <c r="H802" s="1"/>
      <c r="I802" s="1"/>
      <c r="J802" s="1"/>
      <c r="K802" s="1"/>
      <c r="L802" s="1"/>
      <c r="M802" s="1"/>
      <c r="N802" s="1"/>
      <c r="O802" s="1"/>
    </row>
    <row r="803" spans="1:15" ht="15.75" customHeight="1">
      <c r="A803" s="1"/>
      <c r="B803" s="1"/>
      <c r="C803" s="3"/>
      <c r="D803" s="1"/>
      <c r="E803" s="1"/>
      <c r="F803" s="1"/>
      <c r="G803" s="1"/>
      <c r="H803" s="1"/>
      <c r="I803" s="1"/>
      <c r="J803" s="1"/>
      <c r="K803" s="1"/>
      <c r="L803" s="1"/>
      <c r="M803" s="1"/>
      <c r="N803" s="1"/>
      <c r="O803" s="1"/>
    </row>
    <row r="804" spans="1:15" ht="15.75" customHeight="1">
      <c r="A804" s="1"/>
      <c r="B804" s="1"/>
      <c r="C804" s="3"/>
      <c r="D804" s="1"/>
      <c r="E804" s="1"/>
      <c r="F804" s="1"/>
      <c r="G804" s="1"/>
      <c r="H804" s="1"/>
      <c r="I804" s="1"/>
      <c r="J804" s="1"/>
      <c r="K804" s="1"/>
      <c r="L804" s="1"/>
      <c r="M804" s="1"/>
      <c r="N804" s="1"/>
      <c r="O804" s="1"/>
    </row>
    <row r="805" spans="1:15" ht="15.75" customHeight="1">
      <c r="A805" s="1"/>
      <c r="B805" s="1"/>
      <c r="C805" s="3"/>
      <c r="D805" s="1"/>
      <c r="E805" s="1"/>
      <c r="F805" s="1"/>
      <c r="G805" s="1"/>
      <c r="H805" s="1"/>
      <c r="I805" s="1"/>
      <c r="J805" s="1"/>
      <c r="K805" s="1"/>
      <c r="L805" s="1"/>
      <c r="M805" s="1"/>
      <c r="N805" s="1"/>
      <c r="O805" s="1"/>
    </row>
    <row r="806" spans="1:15" ht="15.75" customHeight="1">
      <c r="A806" s="1"/>
      <c r="B806" s="1"/>
      <c r="C806" s="3"/>
      <c r="D806" s="1"/>
      <c r="E806" s="1"/>
      <c r="F806" s="1"/>
      <c r="G806" s="1"/>
      <c r="H806" s="1"/>
      <c r="I806" s="1"/>
      <c r="J806" s="1"/>
      <c r="K806" s="1"/>
      <c r="L806" s="1"/>
      <c r="M806" s="1"/>
      <c r="N806" s="1"/>
      <c r="O806" s="1"/>
    </row>
    <row r="807" spans="1:15" ht="15.75" customHeight="1">
      <c r="A807" s="1"/>
      <c r="B807" s="1"/>
      <c r="C807" s="3"/>
      <c r="D807" s="1"/>
      <c r="E807" s="1"/>
      <c r="F807" s="1"/>
      <c r="G807" s="1"/>
      <c r="H807" s="1"/>
      <c r="I807" s="1"/>
      <c r="J807" s="1"/>
      <c r="K807" s="1"/>
      <c r="L807" s="1"/>
      <c r="M807" s="1"/>
      <c r="N807" s="1"/>
      <c r="O807" s="1"/>
    </row>
    <row r="808" spans="1:15" ht="15.75" customHeight="1">
      <c r="A808" s="1"/>
      <c r="B808" s="1"/>
      <c r="C808" s="3"/>
      <c r="D808" s="1"/>
      <c r="E808" s="1"/>
      <c r="F808" s="1"/>
      <c r="G808" s="1"/>
      <c r="H808" s="1"/>
      <c r="I808" s="1"/>
      <c r="J808" s="1"/>
      <c r="K808" s="1"/>
      <c r="L808" s="1"/>
      <c r="M808" s="1"/>
      <c r="N808" s="1"/>
      <c r="O808" s="1"/>
    </row>
    <row r="809" spans="1:15" ht="15.75" customHeight="1">
      <c r="A809" s="1"/>
      <c r="B809" s="1"/>
      <c r="C809" s="3"/>
      <c r="D809" s="1"/>
      <c r="E809" s="1"/>
      <c r="F809" s="1"/>
      <c r="G809" s="1"/>
      <c r="H809" s="1"/>
      <c r="I809" s="1"/>
      <c r="J809" s="1"/>
      <c r="K809" s="1"/>
      <c r="L809" s="1"/>
      <c r="M809" s="1"/>
      <c r="N809" s="1"/>
      <c r="O809" s="1"/>
    </row>
    <row r="810" spans="1:15" ht="15.75" customHeight="1">
      <c r="A810" s="1"/>
      <c r="B810" s="1"/>
      <c r="C810" s="3"/>
      <c r="D810" s="1"/>
      <c r="E810" s="1"/>
      <c r="F810" s="1"/>
      <c r="G810" s="1"/>
      <c r="H810" s="1"/>
      <c r="I810" s="1"/>
      <c r="J810" s="1"/>
      <c r="K810" s="1"/>
      <c r="L810" s="1"/>
      <c r="M810" s="1"/>
      <c r="N810" s="1"/>
      <c r="O810" s="1"/>
    </row>
    <row r="811" spans="1:15" ht="15.75" customHeight="1">
      <c r="A811" s="1"/>
      <c r="B811" s="1"/>
      <c r="C811" s="3"/>
      <c r="D811" s="1"/>
      <c r="E811" s="1"/>
      <c r="F811" s="1"/>
      <c r="G811" s="1"/>
      <c r="H811" s="1"/>
      <c r="I811" s="1"/>
      <c r="J811" s="1"/>
      <c r="K811" s="1"/>
      <c r="L811" s="1"/>
      <c r="M811" s="1"/>
      <c r="N811" s="1"/>
      <c r="O811" s="1"/>
    </row>
    <row r="812" spans="1:15" ht="15.75" customHeight="1">
      <c r="A812" s="1"/>
      <c r="B812" s="1"/>
      <c r="C812" s="3"/>
      <c r="D812" s="1"/>
      <c r="E812" s="1"/>
      <c r="F812" s="1"/>
      <c r="G812" s="1"/>
      <c r="H812" s="1"/>
      <c r="I812" s="1"/>
      <c r="J812" s="1"/>
      <c r="K812" s="1"/>
      <c r="L812" s="1"/>
      <c r="M812" s="1"/>
      <c r="N812" s="1"/>
      <c r="O812" s="1"/>
    </row>
    <row r="813" spans="1:15" ht="15.75" customHeight="1">
      <c r="A813" s="1"/>
      <c r="B813" s="1"/>
      <c r="C813" s="3"/>
      <c r="D813" s="1"/>
      <c r="E813" s="1"/>
      <c r="F813" s="1"/>
      <c r="G813" s="1"/>
      <c r="H813" s="1"/>
      <c r="I813" s="1"/>
      <c r="J813" s="1"/>
      <c r="K813" s="1"/>
      <c r="L813" s="1"/>
      <c r="M813" s="1"/>
      <c r="N813" s="1"/>
      <c r="O813" s="1"/>
    </row>
    <row r="814" spans="1:15" ht="15.75" customHeight="1">
      <c r="A814" s="1"/>
      <c r="B814" s="1"/>
      <c r="C814" s="3"/>
      <c r="D814" s="1"/>
      <c r="E814" s="1"/>
      <c r="F814" s="1"/>
      <c r="G814" s="1"/>
      <c r="H814" s="1"/>
      <c r="I814" s="1"/>
      <c r="J814" s="1"/>
      <c r="K814" s="1"/>
      <c r="L814" s="1"/>
      <c r="M814" s="1"/>
      <c r="N814" s="1"/>
      <c r="O814" s="1"/>
    </row>
    <row r="815" spans="1:15" ht="15.75" customHeight="1">
      <c r="A815" s="1"/>
      <c r="B815" s="1"/>
      <c r="C815" s="3"/>
      <c r="D815" s="1"/>
      <c r="E815" s="1"/>
      <c r="F815" s="1"/>
      <c r="G815" s="1"/>
      <c r="H815" s="1"/>
      <c r="I815" s="1"/>
      <c r="J815" s="1"/>
      <c r="K815" s="1"/>
      <c r="L815" s="1"/>
      <c r="M815" s="1"/>
      <c r="N815" s="1"/>
      <c r="O815" s="1"/>
    </row>
    <row r="816" spans="1:15" ht="15.75" customHeight="1">
      <c r="A816" s="1"/>
      <c r="B816" s="1"/>
      <c r="C816" s="3"/>
      <c r="D816" s="1"/>
      <c r="E816" s="1"/>
      <c r="F816" s="1"/>
      <c r="G816" s="1"/>
      <c r="H816" s="1"/>
      <c r="I816" s="1"/>
      <c r="J816" s="1"/>
      <c r="K816" s="1"/>
      <c r="L816" s="1"/>
      <c r="M816" s="1"/>
      <c r="N816" s="1"/>
      <c r="O816" s="1"/>
    </row>
    <row r="817" spans="1:15" ht="15.75" customHeight="1">
      <c r="A817" s="1"/>
      <c r="B817" s="1"/>
      <c r="C817" s="3"/>
      <c r="D817" s="1"/>
      <c r="E817" s="1"/>
      <c r="F817" s="1"/>
      <c r="G817" s="1"/>
      <c r="H817" s="1"/>
      <c r="I817" s="1"/>
      <c r="J817" s="1"/>
      <c r="K817" s="1"/>
      <c r="L817" s="1"/>
      <c r="M817" s="1"/>
      <c r="N817" s="1"/>
      <c r="O817" s="1"/>
    </row>
    <row r="818" spans="1:15" ht="15.75" customHeight="1">
      <c r="A818" s="1"/>
      <c r="B818" s="1"/>
      <c r="C818" s="3"/>
      <c r="D818" s="1"/>
      <c r="E818" s="1"/>
      <c r="F818" s="1"/>
      <c r="G818" s="1"/>
      <c r="H818" s="1"/>
      <c r="I818" s="1"/>
      <c r="J818" s="1"/>
      <c r="K818" s="1"/>
      <c r="L818" s="1"/>
      <c r="M818" s="1"/>
      <c r="N818" s="1"/>
      <c r="O818" s="1"/>
    </row>
    <row r="819" spans="1:15" ht="15.75" customHeight="1">
      <c r="A819" s="1"/>
      <c r="B819" s="1"/>
      <c r="C819" s="3"/>
      <c r="D819" s="1"/>
      <c r="E819" s="1"/>
      <c r="F819" s="1"/>
      <c r="G819" s="1"/>
      <c r="H819" s="1"/>
      <c r="I819" s="1"/>
      <c r="J819" s="1"/>
      <c r="K819" s="1"/>
      <c r="L819" s="1"/>
      <c r="M819" s="1"/>
      <c r="N819" s="1"/>
      <c r="O819" s="1"/>
    </row>
    <row r="820" spans="1:15" ht="15.75" customHeight="1">
      <c r="A820" s="1"/>
      <c r="B820" s="1"/>
      <c r="C820" s="3"/>
      <c r="D820" s="1"/>
      <c r="E820" s="1"/>
      <c r="F820" s="1"/>
      <c r="G820" s="1"/>
      <c r="H820" s="1"/>
      <c r="I820" s="1"/>
      <c r="J820" s="1"/>
      <c r="K820" s="1"/>
      <c r="L820" s="1"/>
      <c r="M820" s="1"/>
      <c r="N820" s="1"/>
      <c r="O820" s="1"/>
    </row>
    <row r="821" spans="1:15" ht="15.75" customHeight="1">
      <c r="A821" s="1"/>
      <c r="B821" s="1"/>
      <c r="C821" s="3"/>
      <c r="D821" s="1"/>
      <c r="E821" s="1"/>
      <c r="F821" s="1"/>
      <c r="G821" s="1"/>
      <c r="H821" s="1"/>
      <c r="I821" s="1"/>
      <c r="J821" s="1"/>
      <c r="K821" s="1"/>
      <c r="L821" s="1"/>
      <c r="M821" s="1"/>
      <c r="N821" s="1"/>
      <c r="O821" s="1"/>
    </row>
    <row r="822" spans="1:15" ht="15.75" customHeight="1">
      <c r="A822" s="1"/>
      <c r="B822" s="1"/>
      <c r="C822" s="3"/>
      <c r="D822" s="1"/>
      <c r="E822" s="1"/>
      <c r="F822" s="1"/>
      <c r="G822" s="1"/>
      <c r="H822" s="1"/>
      <c r="I822" s="1"/>
      <c r="J822" s="1"/>
      <c r="K822" s="1"/>
      <c r="L822" s="1"/>
      <c r="M822" s="1"/>
      <c r="N822" s="1"/>
      <c r="O822" s="1"/>
    </row>
    <row r="823" spans="1:15" ht="15.75" customHeight="1">
      <c r="A823" s="1"/>
      <c r="B823" s="1"/>
      <c r="C823" s="3"/>
      <c r="D823" s="1"/>
      <c r="E823" s="1"/>
      <c r="F823" s="1"/>
      <c r="G823" s="1"/>
      <c r="H823" s="1"/>
      <c r="I823" s="1"/>
      <c r="J823" s="1"/>
      <c r="K823" s="1"/>
      <c r="L823" s="1"/>
      <c r="M823" s="1"/>
      <c r="N823" s="1"/>
      <c r="O823" s="1"/>
    </row>
    <row r="824" spans="1:15" ht="15.75" customHeight="1">
      <c r="A824" s="1"/>
      <c r="B824" s="1"/>
      <c r="C824" s="3"/>
      <c r="D824" s="1"/>
      <c r="E824" s="1"/>
      <c r="F824" s="1"/>
      <c r="G824" s="1"/>
      <c r="H824" s="1"/>
      <c r="I824" s="1"/>
      <c r="J824" s="1"/>
      <c r="K824" s="1"/>
      <c r="L824" s="1"/>
      <c r="M824" s="1"/>
      <c r="N824" s="1"/>
      <c r="O824" s="1"/>
    </row>
    <row r="825" spans="1:15" ht="15.75" customHeight="1">
      <c r="A825" s="1"/>
      <c r="B825" s="1"/>
      <c r="C825" s="3"/>
      <c r="D825" s="1"/>
      <c r="E825" s="1"/>
      <c r="F825" s="1"/>
      <c r="G825" s="1"/>
      <c r="H825" s="1"/>
      <c r="I825" s="1"/>
      <c r="J825" s="1"/>
      <c r="K825" s="1"/>
      <c r="L825" s="1"/>
      <c r="M825" s="1"/>
      <c r="N825" s="1"/>
      <c r="O825" s="1"/>
    </row>
    <row r="826" spans="1:15" ht="15.75" customHeight="1">
      <c r="A826" s="1"/>
      <c r="B826" s="1"/>
      <c r="C826" s="3"/>
      <c r="D826" s="1"/>
      <c r="E826" s="1"/>
      <c r="F826" s="1"/>
      <c r="G826" s="1"/>
      <c r="H826" s="1"/>
      <c r="I826" s="1"/>
      <c r="J826" s="1"/>
      <c r="K826" s="1"/>
      <c r="L826" s="1"/>
      <c r="M826" s="1"/>
      <c r="N826" s="1"/>
      <c r="O826" s="1"/>
    </row>
    <row r="827" spans="1:15" ht="15.75" customHeight="1">
      <c r="A827" s="1"/>
      <c r="B827" s="1"/>
      <c r="C827" s="3"/>
      <c r="D827" s="1"/>
      <c r="E827" s="1"/>
      <c r="F827" s="1"/>
      <c r="G827" s="1"/>
      <c r="H827" s="1"/>
      <c r="I827" s="1"/>
      <c r="J827" s="1"/>
      <c r="K827" s="1"/>
      <c r="L827" s="1"/>
      <c r="M827" s="1"/>
      <c r="N827" s="1"/>
      <c r="O827" s="1"/>
    </row>
    <row r="828" spans="1:15" ht="15.75" customHeight="1">
      <c r="A828" s="1"/>
      <c r="B828" s="1"/>
      <c r="C828" s="3"/>
      <c r="D828" s="1"/>
      <c r="E828" s="1"/>
      <c r="F828" s="1"/>
      <c r="G828" s="1"/>
      <c r="H828" s="1"/>
      <c r="I828" s="1"/>
      <c r="J828" s="1"/>
      <c r="K828" s="1"/>
      <c r="L828" s="1"/>
      <c r="M828" s="1"/>
      <c r="N828" s="1"/>
      <c r="O828" s="1"/>
    </row>
    <row r="829" spans="1:15" ht="15.75" customHeight="1">
      <c r="A829" s="1"/>
      <c r="B829" s="1"/>
      <c r="C829" s="3"/>
      <c r="D829" s="1"/>
      <c r="E829" s="1"/>
      <c r="F829" s="1"/>
      <c r="G829" s="1"/>
      <c r="H829" s="1"/>
      <c r="I829" s="1"/>
      <c r="J829" s="1"/>
      <c r="K829" s="1"/>
      <c r="L829" s="1"/>
      <c r="M829" s="1"/>
      <c r="N829" s="1"/>
      <c r="O829" s="1"/>
    </row>
    <row r="830" spans="1:15" ht="15.75" customHeight="1">
      <c r="A830" s="1"/>
      <c r="B830" s="1"/>
      <c r="C830" s="3"/>
      <c r="D830" s="1"/>
      <c r="E830" s="1"/>
      <c r="F830" s="1"/>
      <c r="G830" s="1"/>
      <c r="H830" s="1"/>
      <c r="I830" s="1"/>
      <c r="J830" s="1"/>
      <c r="K830" s="1"/>
      <c r="L830" s="1"/>
      <c r="M830" s="1"/>
      <c r="N830" s="1"/>
      <c r="O830" s="1"/>
    </row>
    <row r="831" spans="1:15" ht="15.75" customHeight="1">
      <c r="A831" s="1"/>
      <c r="B831" s="1"/>
      <c r="C831" s="3"/>
      <c r="D831" s="1"/>
      <c r="E831" s="1"/>
      <c r="F831" s="1"/>
      <c r="G831" s="1"/>
      <c r="H831" s="1"/>
      <c r="I831" s="1"/>
      <c r="J831" s="1"/>
      <c r="K831" s="1"/>
      <c r="L831" s="1"/>
      <c r="M831" s="1"/>
      <c r="N831" s="1"/>
      <c r="O831" s="1"/>
    </row>
    <row r="832" spans="1:15" ht="15.75" customHeight="1">
      <c r="A832" s="1"/>
      <c r="B832" s="1"/>
      <c r="C832" s="3"/>
      <c r="D832" s="1"/>
      <c r="E832" s="1"/>
      <c r="F832" s="1"/>
      <c r="G832" s="1"/>
      <c r="H832" s="1"/>
      <c r="I832" s="1"/>
      <c r="J832" s="1"/>
      <c r="K832" s="1"/>
      <c r="L832" s="1"/>
      <c r="M832" s="1"/>
      <c r="N832" s="1"/>
      <c r="O832" s="1"/>
    </row>
    <row r="833" spans="1:15" ht="15.75" customHeight="1">
      <c r="A833" s="1"/>
      <c r="B833" s="1"/>
      <c r="C833" s="3"/>
      <c r="D833" s="1"/>
      <c r="E833" s="1"/>
      <c r="F833" s="1"/>
      <c r="G833" s="1"/>
      <c r="H833" s="1"/>
      <c r="I833" s="1"/>
      <c r="J833" s="1"/>
      <c r="K833" s="1"/>
      <c r="L833" s="1"/>
      <c r="M833" s="1"/>
      <c r="N833" s="1"/>
      <c r="O833" s="1"/>
    </row>
    <row r="834" spans="1:15" ht="15.75" customHeight="1">
      <c r="A834" s="1"/>
      <c r="B834" s="1"/>
      <c r="C834" s="3"/>
      <c r="D834" s="1"/>
      <c r="E834" s="1"/>
      <c r="F834" s="1"/>
      <c r="G834" s="1"/>
      <c r="H834" s="1"/>
      <c r="I834" s="1"/>
      <c r="J834" s="1"/>
      <c r="K834" s="1"/>
      <c r="L834" s="1"/>
      <c r="M834" s="1"/>
      <c r="N834" s="1"/>
      <c r="O834" s="1"/>
    </row>
    <row r="835" spans="1:15" ht="15.75" customHeight="1">
      <c r="A835" s="1"/>
      <c r="B835" s="1"/>
      <c r="C835" s="3"/>
      <c r="D835" s="1"/>
      <c r="E835" s="1"/>
      <c r="F835" s="1"/>
      <c r="G835" s="1"/>
      <c r="H835" s="1"/>
      <c r="I835" s="1"/>
      <c r="J835" s="1"/>
      <c r="K835" s="1"/>
      <c r="L835" s="1"/>
      <c r="M835" s="1"/>
      <c r="N835" s="1"/>
      <c r="O835" s="1"/>
    </row>
    <row r="836" spans="1:15" ht="15.75" customHeight="1">
      <c r="A836" s="1"/>
      <c r="B836" s="1"/>
      <c r="C836" s="3"/>
      <c r="D836" s="1"/>
      <c r="E836" s="1"/>
      <c r="F836" s="1"/>
      <c r="G836" s="1"/>
      <c r="H836" s="1"/>
      <c r="I836" s="1"/>
      <c r="J836" s="1"/>
      <c r="K836" s="1"/>
      <c r="L836" s="1"/>
      <c r="M836" s="1"/>
      <c r="N836" s="1"/>
      <c r="O836" s="1"/>
    </row>
    <row r="837" spans="1:15" ht="15.75" customHeight="1">
      <c r="A837" s="1"/>
      <c r="B837" s="1"/>
      <c r="C837" s="3"/>
      <c r="D837" s="1"/>
      <c r="E837" s="1"/>
      <c r="F837" s="1"/>
      <c r="G837" s="1"/>
      <c r="H837" s="1"/>
      <c r="I837" s="1"/>
      <c r="J837" s="1"/>
      <c r="K837" s="1"/>
      <c r="L837" s="1"/>
      <c r="M837" s="1"/>
      <c r="N837" s="1"/>
      <c r="O837" s="1"/>
    </row>
    <row r="838" spans="1:15" ht="15.75" customHeight="1">
      <c r="A838" s="1"/>
      <c r="B838" s="1"/>
      <c r="C838" s="3"/>
      <c r="D838" s="1"/>
      <c r="E838" s="1"/>
      <c r="F838" s="1"/>
      <c r="G838" s="1"/>
      <c r="H838" s="1"/>
      <c r="I838" s="1"/>
      <c r="J838" s="1"/>
      <c r="K838" s="1"/>
      <c r="L838" s="1"/>
      <c r="M838" s="1"/>
      <c r="N838" s="1"/>
      <c r="O838" s="1"/>
    </row>
    <row r="839" spans="1:15" ht="15.75" customHeight="1">
      <c r="A839" s="1"/>
      <c r="B839" s="1"/>
      <c r="C839" s="3"/>
      <c r="D839" s="1"/>
      <c r="E839" s="1"/>
      <c r="F839" s="1"/>
      <c r="G839" s="1"/>
      <c r="H839" s="1"/>
      <c r="I839" s="1"/>
      <c r="J839" s="1"/>
      <c r="K839" s="1"/>
      <c r="L839" s="1"/>
      <c r="M839" s="1"/>
      <c r="N839" s="1"/>
      <c r="O839" s="1"/>
    </row>
    <row r="840" spans="1:15" ht="15.75" customHeight="1">
      <c r="A840" s="1"/>
      <c r="B840" s="1"/>
      <c r="C840" s="3"/>
      <c r="D840" s="1"/>
      <c r="E840" s="1"/>
      <c r="F840" s="1"/>
      <c r="G840" s="1"/>
      <c r="H840" s="1"/>
      <c r="I840" s="1"/>
      <c r="J840" s="1"/>
      <c r="K840" s="1"/>
      <c r="L840" s="1"/>
      <c r="M840" s="1"/>
      <c r="N840" s="1"/>
      <c r="O840" s="1"/>
    </row>
    <row r="841" spans="1:15" ht="15.75" customHeight="1">
      <c r="A841" s="1"/>
      <c r="B841" s="1"/>
      <c r="C841" s="3"/>
      <c r="D841" s="1"/>
      <c r="E841" s="1"/>
      <c r="F841" s="1"/>
      <c r="G841" s="1"/>
      <c r="H841" s="1"/>
      <c r="I841" s="1"/>
      <c r="J841" s="1"/>
      <c r="K841" s="1"/>
      <c r="L841" s="1"/>
      <c r="M841" s="1"/>
      <c r="N841" s="1"/>
      <c r="O841" s="1"/>
    </row>
    <row r="842" spans="1:15" ht="15.75" customHeight="1">
      <c r="A842" s="1"/>
      <c r="B842" s="1"/>
      <c r="C842" s="3"/>
      <c r="D842" s="1"/>
      <c r="E842" s="1"/>
      <c r="F842" s="1"/>
      <c r="G842" s="1"/>
      <c r="H842" s="1"/>
      <c r="I842" s="1"/>
      <c r="J842" s="1"/>
      <c r="K842" s="1"/>
      <c r="L842" s="1"/>
      <c r="M842" s="1"/>
      <c r="N842" s="1"/>
      <c r="O842" s="1"/>
    </row>
    <row r="843" spans="1:15" ht="15.75" customHeight="1">
      <c r="A843" s="1"/>
      <c r="B843" s="1"/>
      <c r="C843" s="3"/>
      <c r="D843" s="1"/>
      <c r="E843" s="1"/>
      <c r="F843" s="1"/>
      <c r="G843" s="1"/>
      <c r="H843" s="1"/>
      <c r="I843" s="1"/>
      <c r="J843" s="1"/>
      <c r="K843" s="1"/>
      <c r="L843" s="1"/>
      <c r="M843" s="1"/>
      <c r="N843" s="1"/>
      <c r="O843" s="1"/>
    </row>
    <row r="844" spans="1:15" ht="15.75" customHeight="1">
      <c r="A844" s="1"/>
      <c r="B844" s="1"/>
      <c r="C844" s="3"/>
      <c r="D844" s="1"/>
      <c r="E844" s="1"/>
      <c r="F844" s="1"/>
      <c r="G844" s="1"/>
      <c r="H844" s="1"/>
      <c r="I844" s="1"/>
      <c r="J844" s="1"/>
      <c r="K844" s="1"/>
      <c r="L844" s="1"/>
      <c r="M844" s="1"/>
      <c r="N844" s="1"/>
      <c r="O844" s="1"/>
    </row>
    <row r="845" spans="1:15" ht="15.75" customHeight="1">
      <c r="A845" s="1"/>
      <c r="B845" s="1"/>
      <c r="C845" s="3"/>
      <c r="D845" s="1"/>
      <c r="E845" s="1"/>
      <c r="F845" s="1"/>
      <c r="G845" s="1"/>
      <c r="H845" s="1"/>
      <c r="I845" s="1"/>
      <c r="J845" s="1"/>
      <c r="K845" s="1"/>
      <c r="L845" s="1"/>
      <c r="M845" s="1"/>
      <c r="N845" s="1"/>
      <c r="O845" s="1"/>
    </row>
    <row r="846" spans="1:15" ht="15.75" customHeight="1">
      <c r="A846" s="1"/>
      <c r="B846" s="1"/>
      <c r="C846" s="3"/>
      <c r="D846" s="1"/>
      <c r="E846" s="1"/>
      <c r="F846" s="1"/>
      <c r="G846" s="1"/>
      <c r="H846" s="1"/>
      <c r="I846" s="1"/>
      <c r="J846" s="1"/>
      <c r="K846" s="1"/>
      <c r="L846" s="1"/>
      <c r="M846" s="1"/>
      <c r="N846" s="1"/>
      <c r="O846" s="1"/>
    </row>
    <row r="847" spans="1:15" ht="15.75" customHeight="1">
      <c r="A847" s="1"/>
      <c r="B847" s="1"/>
      <c r="C847" s="3"/>
      <c r="D847" s="1"/>
      <c r="E847" s="1"/>
      <c r="F847" s="1"/>
      <c r="G847" s="1"/>
      <c r="H847" s="1"/>
      <c r="I847" s="1"/>
      <c r="J847" s="1"/>
      <c r="K847" s="1"/>
      <c r="L847" s="1"/>
      <c r="M847" s="1"/>
      <c r="N847" s="1"/>
      <c r="O847" s="1"/>
    </row>
    <row r="848" spans="1:15" ht="15.75" customHeight="1">
      <c r="A848" s="1"/>
      <c r="B848" s="1"/>
      <c r="C848" s="3"/>
      <c r="D848" s="1"/>
      <c r="E848" s="1"/>
      <c r="F848" s="1"/>
      <c r="G848" s="1"/>
      <c r="H848" s="1"/>
      <c r="I848" s="1"/>
      <c r="J848" s="1"/>
      <c r="K848" s="1"/>
      <c r="L848" s="1"/>
      <c r="M848" s="1"/>
      <c r="N848" s="1"/>
      <c r="O848" s="1"/>
    </row>
    <row r="849" spans="1:15" ht="15.75" customHeight="1">
      <c r="A849" s="1"/>
      <c r="B849" s="1"/>
      <c r="C849" s="3"/>
      <c r="D849" s="1"/>
      <c r="E849" s="1"/>
      <c r="F849" s="1"/>
      <c r="G849" s="1"/>
      <c r="H849" s="1"/>
      <c r="I849" s="1"/>
      <c r="J849" s="1"/>
      <c r="K849" s="1"/>
      <c r="L849" s="1"/>
      <c r="M849" s="1"/>
      <c r="N849" s="1"/>
      <c r="O849" s="1"/>
    </row>
    <row r="850" spans="1:15" ht="15.75" customHeight="1">
      <c r="A850" s="1"/>
      <c r="B850" s="1"/>
      <c r="C850" s="3"/>
      <c r="D850" s="1"/>
      <c r="E850" s="1"/>
      <c r="F850" s="1"/>
      <c r="G850" s="1"/>
      <c r="H850" s="1"/>
      <c r="I850" s="1"/>
      <c r="J850" s="1"/>
      <c r="K850" s="1"/>
      <c r="L850" s="1"/>
      <c r="M850" s="1"/>
      <c r="N850" s="1"/>
      <c r="O850" s="1"/>
    </row>
    <row r="851" spans="1:15" ht="15.75" customHeight="1">
      <c r="A851" s="1"/>
      <c r="B851" s="1"/>
      <c r="C851" s="3"/>
      <c r="D851" s="1"/>
      <c r="E851" s="1"/>
      <c r="F851" s="1"/>
      <c r="G851" s="1"/>
      <c r="H851" s="1"/>
      <c r="I851" s="1"/>
      <c r="J851" s="1"/>
      <c r="K851" s="1"/>
      <c r="L851" s="1"/>
      <c r="M851" s="1"/>
      <c r="N851" s="1"/>
      <c r="O851" s="1"/>
    </row>
    <row r="852" spans="1:15" ht="15.75" customHeight="1">
      <c r="A852" s="1"/>
      <c r="B852" s="1"/>
      <c r="C852" s="3"/>
      <c r="D852" s="1"/>
      <c r="E852" s="1"/>
      <c r="F852" s="1"/>
      <c r="G852" s="1"/>
      <c r="H852" s="1"/>
      <c r="I852" s="1"/>
      <c r="J852" s="1"/>
      <c r="K852" s="1"/>
      <c r="L852" s="1"/>
      <c r="M852" s="1"/>
      <c r="N852" s="1"/>
      <c r="O852" s="1"/>
    </row>
    <row r="853" spans="1:15" ht="15.75" customHeight="1">
      <c r="A853" s="1"/>
      <c r="B853" s="1"/>
      <c r="C853" s="3"/>
      <c r="D853" s="1"/>
      <c r="E853" s="1"/>
      <c r="F853" s="1"/>
      <c r="G853" s="1"/>
      <c r="H853" s="1"/>
      <c r="I853" s="1"/>
      <c r="J853" s="1"/>
      <c r="K853" s="1"/>
      <c r="L853" s="1"/>
      <c r="M853" s="1"/>
      <c r="N853" s="1"/>
      <c r="O853" s="1"/>
    </row>
    <row r="854" spans="1:15" ht="15.75" customHeight="1">
      <c r="A854" s="1"/>
      <c r="B854" s="1"/>
      <c r="C854" s="3"/>
      <c r="D854" s="1"/>
      <c r="E854" s="1"/>
      <c r="F854" s="1"/>
      <c r="G854" s="1"/>
      <c r="H854" s="1"/>
      <c r="I854" s="1"/>
      <c r="J854" s="1"/>
      <c r="K854" s="1"/>
      <c r="L854" s="1"/>
      <c r="M854" s="1"/>
      <c r="N854" s="1"/>
      <c r="O854" s="1"/>
    </row>
    <row r="855" spans="1:15" ht="15.75" customHeight="1">
      <c r="A855" s="1"/>
      <c r="B855" s="1"/>
      <c r="C855" s="3"/>
      <c r="D855" s="1"/>
      <c r="E855" s="1"/>
      <c r="F855" s="1"/>
      <c r="G855" s="1"/>
      <c r="H855" s="1"/>
      <c r="I855" s="1"/>
      <c r="J855" s="1"/>
      <c r="K855" s="1"/>
      <c r="L855" s="1"/>
      <c r="M855" s="1"/>
      <c r="N855" s="1"/>
      <c r="O855" s="1"/>
    </row>
    <row r="856" spans="1:15" ht="15.75" customHeight="1">
      <c r="A856" s="1"/>
      <c r="B856" s="1"/>
      <c r="C856" s="3"/>
      <c r="D856" s="1"/>
      <c r="E856" s="1"/>
      <c r="F856" s="1"/>
      <c r="G856" s="1"/>
      <c r="H856" s="1"/>
      <c r="I856" s="1"/>
      <c r="J856" s="1"/>
      <c r="K856" s="1"/>
      <c r="L856" s="1"/>
      <c r="M856" s="1"/>
      <c r="N856" s="1"/>
      <c r="O856" s="1"/>
    </row>
    <row r="857" spans="1:15" ht="15.75" customHeight="1">
      <c r="A857" s="1"/>
      <c r="B857" s="1"/>
      <c r="C857" s="3"/>
      <c r="D857" s="1"/>
      <c r="E857" s="1"/>
      <c r="F857" s="1"/>
      <c r="G857" s="1"/>
      <c r="H857" s="1"/>
      <c r="I857" s="1"/>
      <c r="J857" s="1"/>
      <c r="K857" s="1"/>
      <c r="L857" s="1"/>
      <c r="M857" s="1"/>
      <c r="N857" s="1"/>
      <c r="O857" s="1"/>
    </row>
    <row r="858" spans="1:15" ht="15.75" customHeight="1">
      <c r="A858" s="1"/>
      <c r="B858" s="1"/>
      <c r="C858" s="3"/>
      <c r="D858" s="1"/>
      <c r="E858" s="1"/>
      <c r="F858" s="1"/>
      <c r="G858" s="1"/>
      <c r="H858" s="1"/>
      <c r="I858" s="1"/>
      <c r="J858" s="1"/>
      <c r="K858" s="1"/>
      <c r="L858" s="1"/>
      <c r="M858" s="1"/>
      <c r="N858" s="1"/>
      <c r="O858" s="1"/>
    </row>
    <row r="859" spans="1:15" ht="15.75" customHeight="1">
      <c r="A859" s="1"/>
      <c r="B859" s="1"/>
      <c r="C859" s="3"/>
      <c r="D859" s="1"/>
      <c r="E859" s="1"/>
      <c r="F859" s="1"/>
      <c r="G859" s="1"/>
      <c r="H859" s="1"/>
      <c r="I859" s="1"/>
      <c r="J859" s="1"/>
      <c r="K859" s="1"/>
      <c r="L859" s="1"/>
      <c r="M859" s="1"/>
      <c r="N859" s="1"/>
      <c r="O859" s="1"/>
    </row>
    <row r="860" spans="1:15" ht="15.75" customHeight="1">
      <c r="A860" s="1"/>
      <c r="B860" s="1"/>
      <c r="C860" s="3"/>
      <c r="D860" s="1"/>
      <c r="E860" s="1"/>
      <c r="F860" s="1"/>
      <c r="G860" s="1"/>
      <c r="H860" s="1"/>
      <c r="I860" s="1"/>
      <c r="J860" s="1"/>
      <c r="K860" s="1"/>
      <c r="L860" s="1"/>
      <c r="M860" s="1"/>
      <c r="N860" s="1"/>
      <c r="O860" s="1"/>
    </row>
    <row r="861" spans="1:15" ht="15.75" customHeight="1">
      <c r="A861" s="1"/>
      <c r="B861" s="1"/>
      <c r="C861" s="3"/>
      <c r="D861" s="1"/>
      <c r="E861" s="1"/>
      <c r="F861" s="1"/>
      <c r="G861" s="1"/>
      <c r="H861" s="1"/>
      <c r="I861" s="1"/>
      <c r="J861" s="1"/>
      <c r="K861" s="1"/>
      <c r="L861" s="1"/>
      <c r="M861" s="1"/>
      <c r="N861" s="1"/>
      <c r="O861" s="1"/>
    </row>
    <row r="862" spans="1:15" ht="15.75" customHeight="1">
      <c r="A862" s="1"/>
      <c r="B862" s="1"/>
      <c r="C862" s="3"/>
      <c r="D862" s="1"/>
      <c r="E862" s="1"/>
      <c r="F862" s="1"/>
      <c r="G862" s="1"/>
      <c r="H862" s="1"/>
      <c r="I862" s="1"/>
      <c r="J862" s="1"/>
      <c r="K862" s="1"/>
      <c r="L862" s="1"/>
      <c r="M862" s="1"/>
      <c r="N862" s="1"/>
      <c r="O862" s="1"/>
    </row>
    <row r="863" spans="1:15" ht="15.75" customHeight="1">
      <c r="A863" s="1"/>
      <c r="B863" s="1"/>
      <c r="C863" s="3"/>
      <c r="D863" s="1"/>
      <c r="E863" s="1"/>
      <c r="F863" s="1"/>
      <c r="G863" s="1"/>
      <c r="H863" s="1"/>
      <c r="I863" s="1"/>
      <c r="J863" s="1"/>
      <c r="K863" s="1"/>
      <c r="L863" s="1"/>
      <c r="M863" s="1"/>
      <c r="N863" s="1"/>
      <c r="O863" s="1"/>
    </row>
    <row r="864" spans="1:15" ht="15.75" customHeight="1">
      <c r="A864" s="1"/>
      <c r="B864" s="1"/>
      <c r="C864" s="3"/>
      <c r="D864" s="1"/>
      <c r="E864" s="1"/>
      <c r="F864" s="1"/>
      <c r="G864" s="1"/>
      <c r="H864" s="1"/>
      <c r="I864" s="1"/>
      <c r="J864" s="1"/>
      <c r="K864" s="1"/>
      <c r="L864" s="1"/>
      <c r="M864" s="1"/>
      <c r="N864" s="1"/>
      <c r="O864" s="1"/>
    </row>
    <row r="865" spans="1:15" ht="15.75" customHeight="1">
      <c r="A865" s="1"/>
      <c r="B865" s="1"/>
      <c r="C865" s="3"/>
      <c r="D865" s="1"/>
      <c r="E865" s="1"/>
      <c r="F865" s="1"/>
      <c r="G865" s="1"/>
      <c r="H865" s="1"/>
      <c r="I865" s="1"/>
      <c r="J865" s="1"/>
      <c r="K865" s="1"/>
      <c r="L865" s="1"/>
      <c r="M865" s="1"/>
      <c r="N865" s="1"/>
      <c r="O865" s="1"/>
    </row>
    <row r="866" spans="1:15" ht="15.75" customHeight="1">
      <c r="A866" s="1"/>
      <c r="B866" s="1"/>
      <c r="C866" s="3"/>
      <c r="D866" s="1"/>
      <c r="E866" s="1"/>
      <c r="F866" s="1"/>
      <c r="G866" s="1"/>
      <c r="H866" s="1"/>
      <c r="I866" s="1"/>
      <c r="J866" s="1"/>
      <c r="K866" s="1"/>
      <c r="L866" s="1"/>
      <c r="M866" s="1"/>
      <c r="N866" s="1"/>
      <c r="O866" s="1"/>
    </row>
    <row r="867" spans="1:15" ht="15.75" customHeight="1">
      <c r="A867" s="1"/>
      <c r="B867" s="1"/>
      <c r="C867" s="3"/>
      <c r="D867" s="1"/>
      <c r="E867" s="1"/>
      <c r="F867" s="1"/>
      <c r="G867" s="1"/>
      <c r="H867" s="1"/>
      <c r="I867" s="1"/>
      <c r="J867" s="1"/>
      <c r="K867" s="1"/>
      <c r="L867" s="1"/>
      <c r="M867" s="1"/>
      <c r="N867" s="1"/>
      <c r="O867" s="1"/>
    </row>
    <row r="868" spans="1:15" ht="15.75" customHeight="1">
      <c r="A868" s="1"/>
      <c r="B868" s="1"/>
      <c r="C868" s="3"/>
      <c r="D868" s="1"/>
      <c r="E868" s="1"/>
      <c r="F868" s="1"/>
      <c r="G868" s="1"/>
      <c r="H868" s="1"/>
      <c r="I868" s="1"/>
      <c r="J868" s="1"/>
      <c r="K868" s="1"/>
      <c r="L868" s="1"/>
      <c r="M868" s="1"/>
      <c r="N868" s="1"/>
      <c r="O868" s="1"/>
    </row>
    <row r="869" spans="1:15" ht="15.75" customHeight="1">
      <c r="A869" s="1"/>
      <c r="B869" s="1"/>
      <c r="C869" s="3"/>
      <c r="D869" s="1"/>
      <c r="E869" s="1"/>
      <c r="F869" s="1"/>
      <c r="G869" s="1"/>
      <c r="H869" s="1"/>
      <c r="I869" s="1"/>
      <c r="J869" s="1"/>
      <c r="K869" s="1"/>
      <c r="L869" s="1"/>
      <c r="M869" s="1"/>
      <c r="N869" s="1"/>
      <c r="O869" s="1"/>
    </row>
    <row r="870" spans="1:15" ht="15.75" customHeight="1">
      <c r="A870" s="1"/>
      <c r="B870" s="1"/>
      <c r="C870" s="3"/>
      <c r="D870" s="1"/>
      <c r="E870" s="1"/>
      <c r="F870" s="1"/>
      <c r="G870" s="1"/>
      <c r="H870" s="1"/>
      <c r="I870" s="1"/>
      <c r="J870" s="1"/>
      <c r="K870" s="1"/>
      <c r="L870" s="1"/>
      <c r="M870" s="1"/>
      <c r="N870" s="1"/>
      <c r="O870" s="1"/>
    </row>
    <row r="871" spans="1:15" ht="15.75" customHeight="1">
      <c r="A871" s="1"/>
      <c r="B871" s="1"/>
      <c r="C871" s="3"/>
      <c r="D871" s="1"/>
      <c r="E871" s="1"/>
      <c r="F871" s="1"/>
      <c r="G871" s="1"/>
      <c r="H871" s="1"/>
      <c r="I871" s="1"/>
      <c r="J871" s="1"/>
      <c r="K871" s="1"/>
      <c r="L871" s="1"/>
      <c r="M871" s="1"/>
      <c r="N871" s="1"/>
      <c r="O871" s="1"/>
    </row>
    <row r="872" spans="1:15" ht="15.75" customHeight="1">
      <c r="A872" s="1"/>
      <c r="B872" s="1"/>
      <c r="C872" s="3"/>
      <c r="D872" s="1"/>
      <c r="E872" s="1"/>
      <c r="F872" s="1"/>
      <c r="G872" s="1"/>
      <c r="H872" s="1"/>
      <c r="I872" s="1"/>
      <c r="J872" s="1"/>
      <c r="K872" s="1"/>
      <c r="L872" s="1"/>
      <c r="M872" s="1"/>
      <c r="N872" s="1"/>
      <c r="O872" s="1"/>
    </row>
    <row r="873" spans="1:15" ht="15.75" customHeight="1">
      <c r="A873" s="1"/>
      <c r="B873" s="1"/>
      <c r="C873" s="3"/>
      <c r="D873" s="1"/>
      <c r="E873" s="1"/>
      <c r="F873" s="1"/>
      <c r="G873" s="1"/>
      <c r="H873" s="1"/>
      <c r="I873" s="1"/>
      <c r="J873" s="1"/>
      <c r="K873" s="1"/>
      <c r="L873" s="1"/>
      <c r="M873" s="1"/>
      <c r="N873" s="1"/>
      <c r="O873" s="1"/>
    </row>
    <row r="874" spans="1:15" ht="15.75" customHeight="1">
      <c r="A874" s="1"/>
      <c r="B874" s="1"/>
      <c r="C874" s="3"/>
      <c r="D874" s="1"/>
      <c r="E874" s="1"/>
      <c r="F874" s="1"/>
      <c r="G874" s="1"/>
      <c r="H874" s="1"/>
      <c r="I874" s="1"/>
      <c r="J874" s="1"/>
      <c r="K874" s="1"/>
      <c r="L874" s="1"/>
      <c r="M874" s="1"/>
      <c r="N874" s="1"/>
      <c r="O874" s="1"/>
    </row>
    <row r="875" spans="1:15" ht="15.75" customHeight="1">
      <c r="A875" s="1"/>
      <c r="B875" s="1"/>
      <c r="C875" s="3"/>
      <c r="D875" s="1"/>
      <c r="E875" s="1"/>
      <c r="F875" s="1"/>
      <c r="G875" s="1"/>
      <c r="H875" s="1"/>
      <c r="I875" s="1"/>
      <c r="J875" s="1"/>
      <c r="K875" s="1"/>
      <c r="L875" s="1"/>
      <c r="M875" s="1"/>
      <c r="N875" s="1"/>
      <c r="O875" s="1"/>
    </row>
    <row r="876" spans="1:15" ht="15.75" customHeight="1">
      <c r="A876" s="1"/>
      <c r="B876" s="1"/>
      <c r="C876" s="3"/>
      <c r="D876" s="1"/>
      <c r="E876" s="1"/>
      <c r="F876" s="1"/>
      <c r="G876" s="1"/>
      <c r="H876" s="1"/>
      <c r="I876" s="1"/>
      <c r="J876" s="1"/>
      <c r="K876" s="1"/>
      <c r="L876" s="1"/>
      <c r="M876" s="1"/>
      <c r="N876" s="1"/>
      <c r="O876" s="1"/>
    </row>
    <row r="877" spans="1:15" ht="15.75" customHeight="1">
      <c r="A877" s="1"/>
      <c r="B877" s="1"/>
      <c r="C877" s="3"/>
      <c r="D877" s="1"/>
      <c r="E877" s="1"/>
      <c r="F877" s="1"/>
      <c r="G877" s="1"/>
      <c r="H877" s="1"/>
      <c r="I877" s="1"/>
      <c r="J877" s="1"/>
      <c r="K877" s="1"/>
      <c r="L877" s="1"/>
      <c r="M877" s="1"/>
      <c r="N877" s="1"/>
      <c r="O877" s="1"/>
    </row>
    <row r="878" spans="1:15" ht="15.75" customHeight="1">
      <c r="A878" s="1"/>
      <c r="B878" s="1"/>
      <c r="C878" s="3"/>
      <c r="D878" s="1"/>
      <c r="E878" s="1"/>
      <c r="F878" s="1"/>
      <c r="G878" s="1"/>
      <c r="H878" s="1"/>
      <c r="I878" s="1"/>
      <c r="J878" s="1"/>
      <c r="K878" s="1"/>
      <c r="L878" s="1"/>
      <c r="M878" s="1"/>
      <c r="N878" s="1"/>
      <c r="O878" s="1"/>
    </row>
    <row r="879" spans="1:15" ht="15.75" customHeight="1">
      <c r="A879" s="1"/>
      <c r="B879" s="1"/>
      <c r="C879" s="3"/>
      <c r="D879" s="1"/>
      <c r="E879" s="1"/>
      <c r="F879" s="1"/>
      <c r="G879" s="1"/>
      <c r="H879" s="1"/>
      <c r="I879" s="1"/>
      <c r="J879" s="1"/>
      <c r="K879" s="1"/>
      <c r="L879" s="1"/>
      <c r="M879" s="1"/>
      <c r="N879" s="1"/>
      <c r="O879" s="1"/>
    </row>
    <row r="880" spans="1:15" ht="15.75" customHeight="1">
      <c r="A880" s="1"/>
      <c r="B880" s="1"/>
      <c r="C880" s="3"/>
      <c r="D880" s="1"/>
      <c r="E880" s="1"/>
      <c r="F880" s="1"/>
      <c r="G880" s="1"/>
      <c r="H880" s="1"/>
      <c r="I880" s="1"/>
      <c r="J880" s="1"/>
      <c r="K880" s="1"/>
      <c r="L880" s="1"/>
      <c r="M880" s="1"/>
      <c r="N880" s="1"/>
      <c r="O880" s="1"/>
    </row>
    <row r="881" spans="1:15" ht="15.75" customHeight="1">
      <c r="A881" s="1"/>
      <c r="B881" s="1"/>
      <c r="C881" s="3"/>
      <c r="D881" s="1"/>
      <c r="E881" s="1"/>
      <c r="F881" s="1"/>
      <c r="G881" s="1"/>
      <c r="H881" s="1"/>
      <c r="I881" s="1"/>
      <c r="J881" s="1"/>
      <c r="K881" s="1"/>
      <c r="L881" s="1"/>
      <c r="M881" s="1"/>
      <c r="N881" s="1"/>
      <c r="O881" s="1"/>
    </row>
    <row r="882" spans="1:15" ht="15.75" customHeight="1">
      <c r="A882" s="1"/>
      <c r="B882" s="1"/>
      <c r="C882" s="3"/>
      <c r="D882" s="1"/>
      <c r="E882" s="1"/>
      <c r="F882" s="1"/>
      <c r="G882" s="1"/>
      <c r="H882" s="1"/>
      <c r="I882" s="1"/>
      <c r="J882" s="1"/>
      <c r="K882" s="1"/>
      <c r="L882" s="1"/>
      <c r="M882" s="1"/>
      <c r="N882" s="1"/>
      <c r="O882" s="1"/>
    </row>
    <row r="883" spans="1:15" ht="15.75" customHeight="1">
      <c r="A883" s="1"/>
      <c r="B883" s="1"/>
      <c r="C883" s="3"/>
      <c r="D883" s="1"/>
      <c r="E883" s="1"/>
      <c r="F883" s="1"/>
      <c r="G883" s="1"/>
      <c r="H883" s="1"/>
      <c r="I883" s="1"/>
      <c r="J883" s="1"/>
      <c r="K883" s="1"/>
      <c r="L883" s="1"/>
      <c r="M883" s="1"/>
      <c r="N883" s="1"/>
      <c r="O883" s="1"/>
    </row>
    <row r="884" spans="1:15" ht="15.75" customHeight="1">
      <c r="A884" s="1"/>
      <c r="B884" s="1"/>
      <c r="C884" s="3"/>
      <c r="D884" s="1"/>
      <c r="E884" s="1"/>
      <c r="F884" s="1"/>
      <c r="G884" s="1"/>
      <c r="H884" s="1"/>
      <c r="I884" s="1"/>
      <c r="J884" s="1"/>
      <c r="K884" s="1"/>
      <c r="L884" s="1"/>
      <c r="M884" s="1"/>
      <c r="N884" s="1"/>
      <c r="O884" s="1"/>
    </row>
    <row r="885" spans="1:15" ht="15.75" customHeight="1">
      <c r="A885" s="1"/>
      <c r="B885" s="1"/>
      <c r="C885" s="3"/>
      <c r="D885" s="1"/>
      <c r="E885" s="1"/>
      <c r="F885" s="1"/>
      <c r="G885" s="1"/>
      <c r="H885" s="1"/>
      <c r="I885" s="1"/>
      <c r="J885" s="1"/>
      <c r="K885" s="1"/>
      <c r="L885" s="1"/>
      <c r="M885" s="1"/>
      <c r="N885" s="1"/>
      <c r="O885" s="1"/>
    </row>
    <row r="886" spans="1:15" ht="15.75" customHeight="1">
      <c r="A886" s="1"/>
      <c r="B886" s="1"/>
      <c r="C886" s="3"/>
      <c r="D886" s="1"/>
      <c r="E886" s="1"/>
      <c r="F886" s="1"/>
      <c r="G886" s="1"/>
      <c r="H886" s="1"/>
      <c r="I886" s="1"/>
      <c r="J886" s="1"/>
      <c r="K886" s="1"/>
      <c r="L886" s="1"/>
      <c r="M886" s="1"/>
      <c r="N886" s="1"/>
      <c r="O886" s="1"/>
    </row>
    <row r="887" spans="1:15" ht="15.75" customHeight="1">
      <c r="A887" s="1"/>
      <c r="B887" s="1"/>
      <c r="C887" s="3"/>
      <c r="D887" s="1"/>
      <c r="E887" s="1"/>
      <c r="F887" s="1"/>
      <c r="G887" s="1"/>
      <c r="H887" s="1"/>
      <c r="I887" s="1"/>
      <c r="J887" s="1"/>
      <c r="K887" s="1"/>
      <c r="L887" s="1"/>
      <c r="M887" s="1"/>
      <c r="N887" s="1"/>
      <c r="O887" s="1"/>
    </row>
    <row r="888" spans="1:15" ht="15.75" customHeight="1">
      <c r="A888" s="1"/>
      <c r="B888" s="1"/>
      <c r="C888" s="3"/>
      <c r="D888" s="1"/>
      <c r="E888" s="1"/>
      <c r="F888" s="1"/>
      <c r="G888" s="1"/>
      <c r="H888" s="1"/>
      <c r="I888" s="1"/>
      <c r="J888" s="1"/>
      <c r="K888" s="1"/>
      <c r="L888" s="1"/>
      <c r="M888" s="1"/>
      <c r="N888" s="1"/>
      <c r="O888" s="1"/>
    </row>
    <row r="889" spans="1:15" ht="15.75" customHeight="1">
      <c r="A889" s="1"/>
      <c r="B889" s="1"/>
      <c r="C889" s="3"/>
      <c r="D889" s="1"/>
      <c r="E889" s="1"/>
      <c r="F889" s="1"/>
      <c r="G889" s="1"/>
      <c r="H889" s="1"/>
      <c r="I889" s="1"/>
      <c r="J889" s="1"/>
      <c r="K889" s="1"/>
      <c r="L889" s="1"/>
      <c r="M889" s="1"/>
      <c r="N889" s="1"/>
      <c r="O889" s="1"/>
    </row>
    <row r="890" spans="1:15" ht="15.75" customHeight="1">
      <c r="A890" s="1"/>
      <c r="B890" s="1"/>
      <c r="C890" s="3"/>
      <c r="D890" s="1"/>
      <c r="E890" s="1"/>
      <c r="F890" s="1"/>
      <c r="G890" s="1"/>
      <c r="H890" s="1"/>
      <c r="I890" s="1"/>
      <c r="J890" s="1"/>
      <c r="K890" s="1"/>
      <c r="L890" s="1"/>
      <c r="M890" s="1"/>
      <c r="N890" s="1"/>
      <c r="O890" s="1"/>
    </row>
    <row r="891" spans="1:15" ht="15.75" customHeight="1">
      <c r="A891" s="1"/>
      <c r="B891" s="1"/>
      <c r="C891" s="3"/>
      <c r="D891" s="1"/>
      <c r="E891" s="1"/>
      <c r="F891" s="1"/>
      <c r="G891" s="1"/>
      <c r="H891" s="1"/>
      <c r="I891" s="1"/>
      <c r="J891" s="1"/>
      <c r="K891" s="1"/>
      <c r="L891" s="1"/>
      <c r="M891" s="1"/>
      <c r="N891" s="1"/>
      <c r="O891" s="1"/>
    </row>
    <row r="892" spans="1:15" ht="15.75" customHeight="1">
      <c r="A892" s="1"/>
      <c r="B892" s="1"/>
      <c r="C892" s="3"/>
      <c r="D892" s="1"/>
      <c r="E892" s="1"/>
      <c r="F892" s="1"/>
      <c r="G892" s="1"/>
      <c r="H892" s="1"/>
      <c r="I892" s="1"/>
      <c r="J892" s="1"/>
      <c r="K892" s="1"/>
      <c r="L892" s="1"/>
      <c r="M892" s="1"/>
      <c r="N892" s="1"/>
      <c r="O892" s="1"/>
    </row>
    <row r="893" spans="1:15" ht="15.75" customHeight="1">
      <c r="A893" s="1"/>
      <c r="B893" s="1"/>
      <c r="C893" s="3"/>
      <c r="D893" s="1"/>
      <c r="E893" s="1"/>
      <c r="F893" s="1"/>
      <c r="G893" s="1"/>
      <c r="H893" s="1"/>
      <c r="I893" s="1"/>
      <c r="J893" s="1"/>
      <c r="K893" s="1"/>
      <c r="L893" s="1"/>
      <c r="M893" s="1"/>
      <c r="N893" s="1"/>
      <c r="O893" s="1"/>
    </row>
    <row r="894" spans="1:15" ht="15.75" customHeight="1">
      <c r="A894" s="1"/>
      <c r="B894" s="1"/>
      <c r="C894" s="3"/>
      <c r="D894" s="1"/>
      <c r="E894" s="1"/>
      <c r="F894" s="1"/>
      <c r="G894" s="1"/>
      <c r="H894" s="1"/>
      <c r="I894" s="1"/>
      <c r="J894" s="1"/>
      <c r="K894" s="1"/>
      <c r="L894" s="1"/>
      <c r="M894" s="1"/>
      <c r="N894" s="1"/>
      <c r="O894" s="1"/>
    </row>
    <row r="895" spans="1:15" ht="15.75" customHeight="1">
      <c r="A895" s="1"/>
      <c r="B895" s="1"/>
      <c r="C895" s="3"/>
      <c r="D895" s="1"/>
      <c r="E895" s="1"/>
      <c r="F895" s="1"/>
      <c r="G895" s="1"/>
      <c r="H895" s="1"/>
      <c r="I895" s="1"/>
      <c r="J895" s="1"/>
      <c r="K895" s="1"/>
      <c r="L895" s="1"/>
      <c r="M895" s="1"/>
      <c r="N895" s="1"/>
      <c r="O895" s="1"/>
    </row>
    <row r="896" spans="1:15" ht="15.75" customHeight="1">
      <c r="A896" s="1"/>
      <c r="B896" s="1"/>
      <c r="C896" s="3"/>
      <c r="D896" s="1"/>
      <c r="E896" s="1"/>
      <c r="F896" s="1"/>
      <c r="G896" s="1"/>
      <c r="H896" s="1"/>
      <c r="I896" s="1"/>
      <c r="J896" s="1"/>
      <c r="K896" s="1"/>
      <c r="L896" s="1"/>
      <c r="M896" s="1"/>
      <c r="N896" s="1"/>
      <c r="O896" s="1"/>
    </row>
    <row r="897" spans="1:15" ht="15.75" customHeight="1">
      <c r="A897" s="1"/>
      <c r="B897" s="1"/>
      <c r="C897" s="3"/>
      <c r="D897" s="1"/>
      <c r="E897" s="1"/>
      <c r="F897" s="1"/>
      <c r="G897" s="1"/>
      <c r="H897" s="1"/>
      <c r="I897" s="1"/>
      <c r="J897" s="1"/>
      <c r="K897" s="1"/>
      <c r="L897" s="1"/>
      <c r="M897" s="1"/>
      <c r="N897" s="1"/>
      <c r="O897" s="1"/>
    </row>
    <row r="898" spans="1:15" ht="15.75" customHeight="1">
      <c r="A898" s="1"/>
      <c r="B898" s="1"/>
      <c r="C898" s="3"/>
      <c r="D898" s="1"/>
      <c r="E898" s="1"/>
      <c r="F898" s="1"/>
      <c r="G898" s="1"/>
      <c r="H898" s="1"/>
      <c r="I898" s="1"/>
      <c r="J898" s="1"/>
      <c r="K898" s="1"/>
      <c r="L898" s="1"/>
      <c r="M898" s="1"/>
      <c r="N898" s="1"/>
      <c r="O898" s="1"/>
    </row>
    <row r="899" spans="1:15" ht="15.75" customHeight="1">
      <c r="A899" s="1"/>
      <c r="B899" s="1"/>
      <c r="C899" s="3"/>
      <c r="D899" s="1"/>
      <c r="E899" s="1"/>
      <c r="F899" s="1"/>
      <c r="G899" s="1"/>
      <c r="H899" s="1"/>
      <c r="I899" s="1"/>
      <c r="J899" s="1"/>
      <c r="K899" s="1"/>
      <c r="L899" s="1"/>
      <c r="M899" s="1"/>
      <c r="N899" s="1"/>
      <c r="O899" s="1"/>
    </row>
    <row r="900" spans="1:15" ht="15.75" customHeight="1">
      <c r="A900" s="1"/>
      <c r="B900" s="1"/>
      <c r="C900" s="3"/>
      <c r="D900" s="1"/>
      <c r="E900" s="1"/>
      <c r="F900" s="1"/>
      <c r="G900" s="1"/>
      <c r="H900" s="1"/>
      <c r="I900" s="1"/>
      <c r="J900" s="1"/>
      <c r="K900" s="1"/>
      <c r="L900" s="1"/>
      <c r="M900" s="1"/>
      <c r="N900" s="1"/>
      <c r="O900" s="1"/>
    </row>
    <row r="901" spans="1:15" ht="15.75" customHeight="1">
      <c r="A901" s="1"/>
      <c r="B901" s="1"/>
      <c r="C901" s="3"/>
      <c r="D901" s="1"/>
      <c r="E901" s="1"/>
      <c r="F901" s="1"/>
      <c r="G901" s="1"/>
      <c r="H901" s="1"/>
      <c r="I901" s="1"/>
      <c r="J901" s="1"/>
      <c r="K901" s="1"/>
      <c r="L901" s="1"/>
      <c r="M901" s="1"/>
      <c r="N901" s="1"/>
      <c r="O901" s="1"/>
    </row>
    <row r="902" spans="1:15" ht="15.75" customHeight="1">
      <c r="A902" s="1"/>
      <c r="B902" s="1"/>
      <c r="C902" s="3"/>
      <c r="D902" s="1"/>
      <c r="E902" s="1"/>
      <c r="F902" s="1"/>
      <c r="G902" s="1"/>
      <c r="H902" s="1"/>
      <c r="I902" s="1"/>
      <c r="J902" s="1"/>
      <c r="K902" s="1"/>
      <c r="L902" s="1"/>
      <c r="M902" s="1"/>
      <c r="N902" s="1"/>
      <c r="O902" s="1"/>
    </row>
    <row r="903" spans="1:15" ht="15.75" customHeight="1">
      <c r="A903" s="1"/>
      <c r="B903" s="1"/>
      <c r="C903" s="3"/>
      <c r="D903" s="1"/>
      <c r="E903" s="1"/>
      <c r="F903" s="1"/>
      <c r="G903" s="1"/>
      <c r="H903" s="1"/>
      <c r="I903" s="1"/>
      <c r="J903" s="1"/>
      <c r="K903" s="1"/>
      <c r="L903" s="1"/>
      <c r="M903" s="1"/>
      <c r="N903" s="1"/>
      <c r="O903" s="1"/>
    </row>
    <row r="904" spans="1:15" ht="15.75" customHeight="1">
      <c r="A904" s="1"/>
      <c r="B904" s="1"/>
      <c r="C904" s="3"/>
      <c r="D904" s="1"/>
      <c r="E904" s="1"/>
      <c r="F904" s="1"/>
      <c r="G904" s="1"/>
      <c r="H904" s="1"/>
      <c r="I904" s="1"/>
      <c r="J904" s="1"/>
      <c r="K904" s="1"/>
      <c r="L904" s="1"/>
      <c r="M904" s="1"/>
      <c r="N904" s="1"/>
      <c r="O904" s="1"/>
    </row>
    <row r="905" spans="1:15" ht="15.75" customHeight="1">
      <c r="A905" s="1"/>
      <c r="B905" s="1"/>
      <c r="C905" s="3"/>
      <c r="D905" s="1"/>
      <c r="E905" s="1"/>
      <c r="F905" s="1"/>
      <c r="G905" s="1"/>
      <c r="H905" s="1"/>
      <c r="I905" s="1"/>
      <c r="J905" s="1"/>
      <c r="K905" s="1"/>
      <c r="L905" s="1"/>
      <c r="M905" s="1"/>
      <c r="N905" s="1"/>
      <c r="O905" s="1"/>
    </row>
    <row r="906" spans="1:15" ht="15.75" customHeight="1">
      <c r="A906" s="1"/>
      <c r="B906" s="1"/>
      <c r="C906" s="3"/>
      <c r="D906" s="1"/>
      <c r="E906" s="1"/>
      <c r="F906" s="1"/>
      <c r="G906" s="1"/>
      <c r="H906" s="1"/>
      <c r="I906" s="1"/>
      <c r="J906" s="1"/>
      <c r="K906" s="1"/>
      <c r="L906" s="1"/>
      <c r="M906" s="1"/>
      <c r="N906" s="1"/>
      <c r="O906" s="1"/>
    </row>
    <row r="907" spans="1:15" ht="15.75" customHeight="1">
      <c r="A907" s="1"/>
      <c r="B907" s="1"/>
      <c r="C907" s="3"/>
      <c r="D907" s="1"/>
      <c r="E907" s="1"/>
      <c r="F907" s="1"/>
      <c r="G907" s="1"/>
      <c r="H907" s="1"/>
      <c r="I907" s="1"/>
      <c r="J907" s="1"/>
      <c r="K907" s="1"/>
      <c r="L907" s="1"/>
      <c r="M907" s="1"/>
      <c r="N907" s="1"/>
      <c r="O907" s="1"/>
    </row>
    <row r="908" spans="1:15" ht="15.75" customHeight="1">
      <c r="A908" s="1"/>
      <c r="B908" s="1"/>
      <c r="C908" s="3"/>
      <c r="D908" s="1"/>
      <c r="E908" s="1"/>
      <c r="F908" s="1"/>
      <c r="G908" s="1"/>
      <c r="H908" s="1"/>
      <c r="I908" s="1"/>
      <c r="J908" s="1"/>
      <c r="K908" s="1"/>
      <c r="L908" s="1"/>
      <c r="M908" s="1"/>
      <c r="N908" s="1"/>
      <c r="O908" s="1"/>
    </row>
    <row r="909" spans="1:15" ht="15.75" customHeight="1">
      <c r="A909" s="1"/>
      <c r="B909" s="1"/>
      <c r="C909" s="3"/>
      <c r="D909" s="1"/>
      <c r="E909" s="1"/>
      <c r="F909" s="1"/>
      <c r="G909" s="1"/>
      <c r="H909" s="1"/>
      <c r="I909" s="1"/>
      <c r="J909" s="1"/>
      <c r="K909" s="1"/>
      <c r="L909" s="1"/>
      <c r="M909" s="1"/>
      <c r="N909" s="1"/>
      <c r="O909" s="1"/>
    </row>
    <row r="910" spans="1:15" ht="15.75" customHeight="1">
      <c r="A910" s="1"/>
      <c r="B910" s="1"/>
      <c r="C910" s="3"/>
      <c r="D910" s="1"/>
      <c r="E910" s="1"/>
      <c r="F910" s="1"/>
      <c r="G910" s="1"/>
      <c r="H910" s="1"/>
      <c r="I910" s="1"/>
      <c r="J910" s="1"/>
      <c r="K910" s="1"/>
      <c r="L910" s="1"/>
      <c r="M910" s="1"/>
      <c r="N910" s="1"/>
      <c r="O910" s="1"/>
    </row>
    <row r="911" spans="1:15" ht="15.75" customHeight="1">
      <c r="A911" s="1"/>
      <c r="B911" s="1"/>
      <c r="C911" s="3"/>
      <c r="D911" s="1"/>
      <c r="E911" s="1"/>
      <c r="F911" s="1"/>
      <c r="G911" s="1"/>
      <c r="H911" s="1"/>
      <c r="I911" s="1"/>
      <c r="J911" s="1"/>
      <c r="K911" s="1"/>
      <c r="L911" s="1"/>
      <c r="M911" s="1"/>
      <c r="N911" s="1"/>
      <c r="O911" s="1"/>
    </row>
    <row r="912" spans="1:15" ht="15.75" customHeight="1">
      <c r="A912" s="1"/>
      <c r="B912" s="1"/>
      <c r="C912" s="3"/>
      <c r="D912" s="1"/>
      <c r="E912" s="1"/>
      <c r="F912" s="1"/>
      <c r="G912" s="1"/>
      <c r="H912" s="1"/>
      <c r="I912" s="1"/>
      <c r="J912" s="1"/>
      <c r="K912" s="1"/>
      <c r="L912" s="1"/>
      <c r="M912" s="1"/>
      <c r="N912" s="1"/>
      <c r="O912" s="1"/>
    </row>
    <row r="913" spans="1:15" ht="15.75" customHeight="1">
      <c r="A913" s="1"/>
      <c r="B913" s="1"/>
      <c r="C913" s="3"/>
      <c r="D913" s="1"/>
      <c r="E913" s="1"/>
      <c r="F913" s="1"/>
      <c r="G913" s="1"/>
      <c r="H913" s="1"/>
      <c r="I913" s="1"/>
      <c r="J913" s="1"/>
      <c r="K913" s="1"/>
      <c r="L913" s="1"/>
      <c r="M913" s="1"/>
      <c r="N913" s="1"/>
      <c r="O913" s="1"/>
    </row>
    <row r="914" spans="1:15" ht="15.75" customHeight="1">
      <c r="A914" s="1"/>
      <c r="B914" s="1"/>
      <c r="C914" s="3"/>
      <c r="D914" s="1"/>
      <c r="E914" s="1"/>
      <c r="F914" s="1"/>
      <c r="G914" s="1"/>
      <c r="H914" s="1"/>
      <c r="I914" s="1"/>
      <c r="J914" s="1"/>
      <c r="K914" s="1"/>
      <c r="L914" s="1"/>
      <c r="M914" s="1"/>
      <c r="N914" s="1"/>
      <c r="O914" s="1"/>
    </row>
    <row r="915" spans="1:15" ht="15.75" customHeight="1">
      <c r="A915" s="1"/>
      <c r="B915" s="1"/>
      <c r="C915" s="3"/>
      <c r="D915" s="1"/>
      <c r="E915" s="1"/>
      <c r="F915" s="1"/>
      <c r="G915" s="1"/>
      <c r="H915" s="1"/>
      <c r="I915" s="1"/>
      <c r="J915" s="1"/>
      <c r="K915" s="1"/>
      <c r="L915" s="1"/>
      <c r="M915" s="1"/>
      <c r="N915" s="1"/>
      <c r="O915" s="1"/>
    </row>
    <row r="916" spans="1:15" ht="15.75" customHeight="1">
      <c r="A916" s="1"/>
      <c r="B916" s="1"/>
      <c r="C916" s="3"/>
      <c r="D916" s="1"/>
      <c r="E916" s="1"/>
      <c r="F916" s="1"/>
      <c r="G916" s="1"/>
      <c r="H916" s="1"/>
      <c r="I916" s="1"/>
      <c r="J916" s="1"/>
      <c r="K916" s="1"/>
      <c r="L916" s="1"/>
      <c r="M916" s="1"/>
      <c r="N916" s="1"/>
      <c r="O916" s="1"/>
    </row>
    <row r="917" spans="1:15" ht="15.75" customHeight="1">
      <c r="A917" s="1"/>
      <c r="B917" s="1"/>
      <c r="C917" s="3"/>
      <c r="D917" s="1"/>
      <c r="E917" s="1"/>
      <c r="F917" s="1"/>
      <c r="G917" s="1"/>
      <c r="H917" s="1"/>
      <c r="I917" s="1"/>
      <c r="J917" s="1"/>
      <c r="K917" s="1"/>
      <c r="L917" s="1"/>
      <c r="M917" s="1"/>
      <c r="N917" s="1"/>
      <c r="O917" s="1"/>
    </row>
    <row r="918" spans="1:15" ht="15.75" customHeight="1">
      <c r="A918" s="1"/>
      <c r="B918" s="1"/>
      <c r="C918" s="3"/>
      <c r="D918" s="1"/>
      <c r="E918" s="1"/>
      <c r="F918" s="1"/>
      <c r="G918" s="1"/>
      <c r="H918" s="1"/>
      <c r="I918" s="1"/>
      <c r="J918" s="1"/>
      <c r="K918" s="1"/>
      <c r="L918" s="1"/>
      <c r="M918" s="1"/>
      <c r="N918" s="1"/>
      <c r="O918" s="1"/>
    </row>
    <row r="919" spans="1:15" ht="15.75" customHeight="1">
      <c r="A919" s="1"/>
      <c r="B919" s="1"/>
      <c r="C919" s="3"/>
      <c r="D919" s="1"/>
      <c r="E919" s="1"/>
      <c r="F919" s="1"/>
      <c r="G919" s="1"/>
      <c r="H919" s="1"/>
      <c r="I919" s="1"/>
      <c r="J919" s="1"/>
      <c r="K919" s="1"/>
      <c r="L919" s="1"/>
      <c r="M919" s="1"/>
      <c r="N919" s="1"/>
      <c r="O919" s="1"/>
    </row>
    <row r="920" spans="1:15" ht="15.75" customHeight="1">
      <c r="A920" s="1"/>
      <c r="B920" s="1"/>
      <c r="C920" s="3"/>
      <c r="D920" s="1"/>
      <c r="E920" s="1"/>
      <c r="F920" s="1"/>
      <c r="G920" s="1"/>
      <c r="H920" s="1"/>
      <c r="I920" s="1"/>
      <c r="J920" s="1"/>
      <c r="K920" s="1"/>
      <c r="L920" s="1"/>
      <c r="M920" s="1"/>
      <c r="N920" s="1"/>
      <c r="O920" s="1"/>
    </row>
    <row r="921" spans="1:15" ht="15.75" customHeight="1">
      <c r="A921" s="1"/>
      <c r="B921" s="1"/>
      <c r="C921" s="3"/>
      <c r="D921" s="1"/>
      <c r="E921" s="1"/>
      <c r="F921" s="1"/>
      <c r="G921" s="1"/>
      <c r="H921" s="1"/>
      <c r="I921" s="1"/>
      <c r="J921" s="1"/>
      <c r="K921" s="1"/>
      <c r="L921" s="1"/>
      <c r="M921" s="1"/>
      <c r="N921" s="1"/>
      <c r="O921" s="1"/>
    </row>
    <row r="922" spans="1:15" ht="15.75" customHeight="1">
      <c r="A922" s="1"/>
      <c r="B922" s="1"/>
      <c r="C922" s="3"/>
      <c r="D922" s="1"/>
      <c r="E922" s="1"/>
      <c r="F922" s="1"/>
      <c r="G922" s="1"/>
      <c r="H922" s="1"/>
      <c r="I922" s="1"/>
      <c r="J922" s="1"/>
      <c r="K922" s="1"/>
      <c r="L922" s="1"/>
      <c r="M922" s="1"/>
      <c r="N922" s="1"/>
      <c r="O922" s="1"/>
    </row>
    <row r="923" spans="1:15" ht="15.75" customHeight="1">
      <c r="A923" s="1"/>
      <c r="B923" s="1"/>
      <c r="C923" s="3"/>
      <c r="D923" s="1"/>
      <c r="E923" s="1"/>
      <c r="F923" s="1"/>
      <c r="G923" s="1"/>
      <c r="H923" s="1"/>
      <c r="I923" s="1"/>
      <c r="J923" s="1"/>
      <c r="K923" s="1"/>
      <c r="L923" s="1"/>
      <c r="M923" s="1"/>
      <c r="N923" s="1"/>
      <c r="O923" s="1"/>
    </row>
    <row r="924" spans="1:15" ht="15.75" customHeight="1">
      <c r="A924" s="1"/>
      <c r="B924" s="1"/>
      <c r="C924" s="3"/>
      <c r="D924" s="1"/>
      <c r="E924" s="1"/>
      <c r="F924" s="1"/>
      <c r="G924" s="1"/>
      <c r="H924" s="1"/>
      <c r="I924" s="1"/>
      <c r="J924" s="1"/>
      <c r="K924" s="1"/>
      <c r="L924" s="1"/>
      <c r="M924" s="1"/>
      <c r="N924" s="1"/>
      <c r="O924" s="1"/>
    </row>
    <row r="925" spans="1:15" ht="15.75" customHeight="1">
      <c r="A925" s="1"/>
      <c r="B925" s="1"/>
      <c r="C925" s="3"/>
      <c r="D925" s="1"/>
      <c r="E925" s="1"/>
      <c r="F925" s="1"/>
      <c r="G925" s="1"/>
      <c r="H925" s="1"/>
      <c r="I925" s="1"/>
      <c r="J925" s="1"/>
      <c r="K925" s="1"/>
      <c r="L925" s="1"/>
      <c r="M925" s="1"/>
      <c r="N925" s="1"/>
      <c r="O925" s="1"/>
    </row>
    <row r="926" spans="1:15" ht="15.75" customHeight="1">
      <c r="A926" s="1"/>
      <c r="B926" s="1"/>
      <c r="C926" s="3"/>
      <c r="D926" s="1"/>
      <c r="E926" s="1"/>
      <c r="F926" s="1"/>
      <c r="G926" s="1"/>
      <c r="H926" s="1"/>
      <c r="I926" s="1"/>
      <c r="J926" s="1"/>
      <c r="K926" s="1"/>
      <c r="L926" s="1"/>
      <c r="M926" s="1"/>
      <c r="N926" s="1"/>
      <c r="O926" s="1"/>
    </row>
    <row r="927" spans="1:15" ht="15.75" customHeight="1">
      <c r="A927" s="1"/>
      <c r="B927" s="1"/>
      <c r="C927" s="3"/>
      <c r="D927" s="1"/>
      <c r="E927" s="1"/>
      <c r="F927" s="1"/>
      <c r="G927" s="1"/>
      <c r="H927" s="1"/>
      <c r="I927" s="1"/>
      <c r="J927" s="1"/>
      <c r="K927" s="1"/>
      <c r="L927" s="1"/>
      <c r="M927" s="1"/>
      <c r="N927" s="1"/>
      <c r="O927" s="1"/>
    </row>
    <row r="928" spans="1:15" ht="15.75" customHeight="1">
      <c r="A928" s="1"/>
      <c r="B928" s="1"/>
      <c r="C928" s="3"/>
      <c r="D928" s="1"/>
      <c r="E928" s="1"/>
      <c r="F928" s="1"/>
      <c r="G928" s="1"/>
      <c r="H928" s="1"/>
      <c r="I928" s="1"/>
      <c r="J928" s="1"/>
      <c r="K928" s="1"/>
      <c r="L928" s="1"/>
      <c r="M928" s="1"/>
      <c r="N928" s="1"/>
      <c r="O928" s="1"/>
    </row>
    <row r="929" spans="1:15" ht="15.75" customHeight="1">
      <c r="A929" s="1"/>
      <c r="B929" s="1"/>
      <c r="C929" s="3"/>
      <c r="D929" s="1"/>
      <c r="E929" s="1"/>
      <c r="F929" s="1"/>
      <c r="G929" s="1"/>
      <c r="H929" s="1"/>
      <c r="I929" s="1"/>
      <c r="J929" s="1"/>
      <c r="K929" s="1"/>
      <c r="L929" s="1"/>
      <c r="M929" s="1"/>
      <c r="N929" s="1"/>
      <c r="O929" s="1"/>
    </row>
    <row r="930" spans="1:15" ht="15.75" customHeight="1">
      <c r="A930" s="1"/>
      <c r="B930" s="1"/>
      <c r="C930" s="3"/>
      <c r="D930" s="1"/>
      <c r="E930" s="1"/>
      <c r="F930" s="1"/>
      <c r="G930" s="1"/>
      <c r="H930" s="1"/>
      <c r="I930" s="1"/>
      <c r="J930" s="1"/>
      <c r="K930" s="1"/>
      <c r="L930" s="1"/>
      <c r="M930" s="1"/>
      <c r="N930" s="1"/>
      <c r="O930" s="1"/>
    </row>
    <row r="931" spans="1:15" ht="15.75" customHeight="1">
      <c r="A931" s="1"/>
      <c r="B931" s="1"/>
      <c r="C931" s="3"/>
      <c r="D931" s="1"/>
      <c r="E931" s="1"/>
      <c r="F931" s="1"/>
      <c r="G931" s="1"/>
      <c r="H931" s="1"/>
      <c r="I931" s="1"/>
      <c r="J931" s="1"/>
      <c r="K931" s="1"/>
      <c r="L931" s="1"/>
      <c r="M931" s="1"/>
      <c r="N931" s="1"/>
      <c r="O931" s="1"/>
    </row>
    <row r="932" spans="1:15" ht="15.75" customHeight="1">
      <c r="A932" s="1"/>
      <c r="B932" s="1"/>
      <c r="C932" s="3"/>
      <c r="D932" s="1"/>
      <c r="E932" s="1"/>
      <c r="F932" s="1"/>
      <c r="G932" s="1"/>
      <c r="H932" s="1"/>
      <c r="I932" s="1"/>
      <c r="J932" s="1"/>
      <c r="K932" s="1"/>
      <c r="L932" s="1"/>
      <c r="M932" s="1"/>
      <c r="N932" s="1"/>
      <c r="O932" s="1"/>
    </row>
    <row r="933" spans="1:15" ht="15.75" customHeight="1">
      <c r="A933" s="1"/>
      <c r="B933" s="1"/>
      <c r="C933" s="3"/>
      <c r="D933" s="1"/>
      <c r="E933" s="1"/>
      <c r="F933" s="1"/>
      <c r="G933" s="1"/>
      <c r="H933" s="1"/>
      <c r="I933" s="1"/>
      <c r="J933" s="1"/>
      <c r="K933" s="1"/>
      <c r="L933" s="1"/>
      <c r="M933" s="1"/>
      <c r="N933" s="1"/>
      <c r="O933" s="1"/>
    </row>
    <row r="934" spans="1:15" ht="15.75" customHeight="1">
      <c r="A934" s="1"/>
      <c r="B934" s="1"/>
      <c r="C934" s="3"/>
      <c r="D934" s="1"/>
      <c r="E934" s="1"/>
      <c r="F934" s="1"/>
      <c r="G934" s="1"/>
      <c r="H934" s="1"/>
      <c r="I934" s="1"/>
      <c r="J934" s="1"/>
      <c r="K934" s="1"/>
      <c r="L934" s="1"/>
      <c r="M934" s="1"/>
      <c r="N934" s="1"/>
      <c r="O934" s="1"/>
    </row>
    <row r="935" spans="1:15" ht="15.75" customHeight="1">
      <c r="A935" s="1"/>
      <c r="B935" s="1"/>
      <c r="C935" s="3"/>
      <c r="D935" s="1"/>
      <c r="E935" s="1"/>
      <c r="F935" s="1"/>
      <c r="G935" s="1"/>
      <c r="H935" s="1"/>
      <c r="I935" s="1"/>
      <c r="J935" s="1"/>
      <c r="K935" s="1"/>
      <c r="L935" s="1"/>
      <c r="M935" s="1"/>
      <c r="N935" s="1"/>
      <c r="O935" s="1"/>
    </row>
    <row r="936" spans="1:15" ht="15.75" customHeight="1">
      <c r="A936" s="1"/>
      <c r="B936" s="1"/>
      <c r="C936" s="3"/>
      <c r="D936" s="1"/>
      <c r="E936" s="1"/>
      <c r="F936" s="1"/>
      <c r="G936" s="1"/>
      <c r="H936" s="1"/>
      <c r="I936" s="1"/>
      <c r="J936" s="1"/>
      <c r="K936" s="1"/>
      <c r="L936" s="1"/>
      <c r="M936" s="1"/>
      <c r="N936" s="1"/>
      <c r="O936" s="1"/>
    </row>
    <row r="937" spans="1:15" ht="15.75" customHeight="1">
      <c r="A937" s="1"/>
      <c r="B937" s="1"/>
      <c r="C937" s="3"/>
      <c r="D937" s="1"/>
      <c r="E937" s="1"/>
      <c r="F937" s="1"/>
      <c r="G937" s="1"/>
      <c r="H937" s="1"/>
      <c r="I937" s="1"/>
      <c r="J937" s="1"/>
      <c r="K937" s="1"/>
      <c r="L937" s="1"/>
      <c r="M937" s="1"/>
      <c r="N937" s="1"/>
      <c r="O937" s="1"/>
    </row>
    <row r="938" spans="1:15" ht="15.75" customHeight="1">
      <c r="A938" s="1"/>
      <c r="B938" s="1"/>
      <c r="C938" s="3"/>
      <c r="D938" s="1"/>
      <c r="E938" s="1"/>
      <c r="F938" s="1"/>
      <c r="G938" s="1"/>
      <c r="H938" s="1"/>
      <c r="I938" s="1"/>
      <c r="J938" s="1"/>
      <c r="K938" s="1"/>
      <c r="L938" s="1"/>
      <c r="M938" s="1"/>
      <c r="N938" s="1"/>
      <c r="O938" s="1"/>
    </row>
    <row r="939" spans="1:15" ht="15.75" customHeight="1">
      <c r="A939" s="1"/>
      <c r="B939" s="1"/>
      <c r="C939" s="3"/>
      <c r="D939" s="1"/>
      <c r="E939" s="1"/>
      <c r="F939" s="1"/>
      <c r="G939" s="1"/>
      <c r="H939" s="1"/>
      <c r="I939" s="1"/>
      <c r="J939" s="1"/>
      <c r="K939" s="1"/>
      <c r="L939" s="1"/>
      <c r="M939" s="1"/>
      <c r="N939" s="1"/>
      <c r="O939" s="1"/>
    </row>
    <row r="940" spans="1:15" ht="15.75" customHeight="1">
      <c r="A940" s="1"/>
      <c r="B940" s="1"/>
      <c r="C940" s="3"/>
      <c r="D940" s="1"/>
      <c r="E940" s="1"/>
      <c r="F940" s="1"/>
      <c r="G940" s="1"/>
      <c r="H940" s="1"/>
      <c r="I940" s="1"/>
      <c r="J940" s="1"/>
      <c r="K940" s="1"/>
      <c r="L940" s="1"/>
      <c r="M940" s="1"/>
      <c r="N940" s="1"/>
      <c r="O940" s="1"/>
    </row>
    <row r="941" spans="1:15" ht="15.75" customHeight="1">
      <c r="A941" s="1"/>
      <c r="B941" s="1"/>
      <c r="C941" s="3"/>
      <c r="D941" s="1"/>
      <c r="E941" s="1"/>
      <c r="F941" s="1"/>
      <c r="G941" s="1"/>
      <c r="H941" s="1"/>
      <c r="I941" s="1"/>
      <c r="J941" s="1"/>
      <c r="K941" s="1"/>
      <c r="L941" s="1"/>
      <c r="M941" s="1"/>
      <c r="N941" s="1"/>
      <c r="O941" s="1"/>
    </row>
    <row r="942" spans="1:15" ht="15.75" customHeight="1">
      <c r="A942" s="1"/>
      <c r="B942" s="1"/>
      <c r="C942" s="3"/>
      <c r="D942" s="1"/>
      <c r="E942" s="1"/>
      <c r="F942" s="1"/>
      <c r="G942" s="1"/>
      <c r="H942" s="1"/>
      <c r="I942" s="1"/>
      <c r="J942" s="1"/>
      <c r="K942" s="1"/>
      <c r="L942" s="1"/>
      <c r="M942" s="1"/>
      <c r="N942" s="1"/>
      <c r="O942" s="1"/>
    </row>
    <row r="943" spans="1:15" ht="15.75" customHeight="1">
      <c r="A943" s="1"/>
      <c r="B943" s="1"/>
      <c r="C943" s="3"/>
      <c r="D943" s="1"/>
      <c r="E943" s="1"/>
      <c r="F943" s="1"/>
      <c r="G943" s="1"/>
      <c r="H943" s="1"/>
      <c r="I943" s="1"/>
      <c r="J943" s="1"/>
      <c r="K943" s="1"/>
      <c r="L943" s="1"/>
      <c r="M943" s="1"/>
      <c r="N943" s="1"/>
      <c r="O943" s="1"/>
    </row>
    <row r="944" spans="1:15" ht="15.75" customHeight="1">
      <c r="A944" s="1"/>
      <c r="B944" s="1"/>
      <c r="C944" s="3"/>
      <c r="D944" s="1"/>
      <c r="E944" s="1"/>
      <c r="F944" s="1"/>
      <c r="G944" s="1"/>
      <c r="H944" s="1"/>
      <c r="I944" s="1"/>
      <c r="J944" s="1"/>
      <c r="K944" s="1"/>
      <c r="L944" s="1"/>
      <c r="M944" s="1"/>
      <c r="N944" s="1"/>
      <c r="O944" s="1"/>
    </row>
    <row r="945" spans="1:15" ht="15.75" customHeight="1">
      <c r="A945" s="1"/>
      <c r="B945" s="1"/>
      <c r="C945" s="3"/>
      <c r="D945" s="1"/>
      <c r="E945" s="1"/>
      <c r="F945" s="1"/>
      <c r="G945" s="1"/>
      <c r="H945" s="1"/>
      <c r="I945" s="1"/>
      <c r="J945" s="1"/>
      <c r="K945" s="1"/>
      <c r="L945" s="1"/>
      <c r="M945" s="1"/>
      <c r="N945" s="1"/>
      <c r="O945" s="1"/>
    </row>
    <row r="946" spans="1:15" ht="15.75" customHeight="1">
      <c r="A946" s="1"/>
      <c r="B946" s="1"/>
      <c r="C946" s="3"/>
      <c r="D946" s="1"/>
      <c r="E946" s="1"/>
      <c r="F946" s="1"/>
      <c r="G946" s="1"/>
      <c r="H946" s="1"/>
      <c r="I946" s="1"/>
      <c r="J946" s="1"/>
      <c r="K946" s="1"/>
      <c r="L946" s="1"/>
      <c r="M946" s="1"/>
      <c r="N946" s="1"/>
      <c r="O946" s="1"/>
    </row>
    <row r="947" spans="1:15" ht="15.75" customHeight="1">
      <c r="A947" s="1"/>
      <c r="B947" s="1"/>
      <c r="C947" s="3"/>
      <c r="D947" s="1"/>
      <c r="E947" s="1"/>
      <c r="F947" s="1"/>
      <c r="G947" s="1"/>
      <c r="H947" s="1"/>
      <c r="I947" s="1"/>
      <c r="J947" s="1"/>
      <c r="K947" s="1"/>
      <c r="L947" s="1"/>
      <c r="M947" s="1"/>
      <c r="N947" s="1"/>
      <c r="O947" s="1"/>
    </row>
    <row r="948" spans="1:15" ht="15.75" customHeight="1">
      <c r="A948" s="1"/>
      <c r="B948" s="1"/>
      <c r="C948" s="3"/>
      <c r="D948" s="1"/>
      <c r="E948" s="1"/>
      <c r="F948" s="1"/>
      <c r="G948" s="1"/>
      <c r="H948" s="1"/>
      <c r="I948" s="1"/>
      <c r="J948" s="1"/>
      <c r="K948" s="1"/>
      <c r="L948" s="1"/>
      <c r="M948" s="1"/>
      <c r="N948" s="1"/>
      <c r="O948" s="1"/>
    </row>
    <row r="949" spans="1:15" ht="15.75" customHeight="1">
      <c r="A949" s="1"/>
      <c r="B949" s="1"/>
      <c r="C949" s="3"/>
      <c r="D949" s="1"/>
      <c r="E949" s="1"/>
      <c r="F949" s="1"/>
      <c r="G949" s="1"/>
      <c r="H949" s="1"/>
      <c r="I949" s="1"/>
      <c r="J949" s="1"/>
      <c r="K949" s="1"/>
      <c r="L949" s="1"/>
      <c r="M949" s="1"/>
      <c r="N949" s="1"/>
      <c r="O949" s="1"/>
    </row>
    <row r="950" spans="1:15" ht="15.75" customHeight="1">
      <c r="A950" s="1"/>
      <c r="B950" s="1"/>
      <c r="C950" s="3"/>
      <c r="D950" s="1"/>
      <c r="E950" s="1"/>
      <c r="F950" s="1"/>
      <c r="G950" s="1"/>
      <c r="H950" s="1"/>
      <c r="I950" s="1"/>
      <c r="J950" s="1"/>
      <c r="K950" s="1"/>
      <c r="L950" s="1"/>
      <c r="M950" s="1"/>
      <c r="N950" s="1"/>
      <c r="O950" s="1"/>
    </row>
    <row r="951" spans="1:15" ht="15.75" customHeight="1">
      <c r="A951" s="1"/>
      <c r="B951" s="1"/>
      <c r="C951" s="3"/>
      <c r="D951" s="1"/>
      <c r="E951" s="1"/>
      <c r="F951" s="1"/>
      <c r="G951" s="1"/>
      <c r="H951" s="1"/>
      <c r="I951" s="1"/>
      <c r="J951" s="1"/>
      <c r="K951" s="1"/>
      <c r="L951" s="1"/>
      <c r="M951" s="1"/>
      <c r="N951" s="1"/>
      <c r="O951" s="1"/>
    </row>
    <row r="952" spans="1:15" ht="15.75" customHeight="1">
      <c r="A952" s="1"/>
      <c r="B952" s="1"/>
      <c r="C952" s="3"/>
      <c r="D952" s="1"/>
      <c r="E952" s="1"/>
      <c r="F952" s="1"/>
      <c r="G952" s="1"/>
      <c r="H952" s="1"/>
      <c r="I952" s="1"/>
      <c r="J952" s="1"/>
      <c r="K952" s="1"/>
      <c r="L952" s="1"/>
      <c r="M952" s="1"/>
      <c r="N952" s="1"/>
      <c r="O952" s="1"/>
    </row>
    <row r="953" spans="1:15" ht="15.75" customHeight="1">
      <c r="A953" s="1"/>
      <c r="B953" s="1"/>
      <c r="C953" s="3"/>
      <c r="D953" s="1"/>
      <c r="E953" s="1"/>
      <c r="F953" s="1"/>
      <c r="G953" s="1"/>
      <c r="H953" s="1"/>
      <c r="I953" s="1"/>
      <c r="J953" s="1"/>
      <c r="K953" s="1"/>
      <c r="L953" s="1"/>
      <c r="M953" s="1"/>
      <c r="N953" s="1"/>
      <c r="O953" s="1"/>
    </row>
    <row r="954" spans="1:15" ht="15.75" customHeight="1">
      <c r="A954" s="1"/>
      <c r="B954" s="1"/>
      <c r="C954" s="3"/>
      <c r="D954" s="1"/>
      <c r="E954" s="1"/>
      <c r="F954" s="1"/>
      <c r="G954" s="1"/>
      <c r="H954" s="1"/>
      <c r="I954" s="1"/>
      <c r="J954" s="1"/>
      <c r="K954" s="1"/>
      <c r="L954" s="1"/>
      <c r="M954" s="1"/>
      <c r="N954" s="1"/>
      <c r="O954" s="1"/>
    </row>
    <row r="955" spans="1:15" ht="15.75" customHeight="1">
      <c r="A955" s="1"/>
      <c r="B955" s="1"/>
      <c r="C955" s="3"/>
      <c r="D955" s="1"/>
      <c r="E955" s="1"/>
      <c r="F955" s="1"/>
      <c r="G955" s="1"/>
      <c r="H955" s="1"/>
      <c r="I955" s="1"/>
      <c r="J955" s="1"/>
      <c r="K955" s="1"/>
      <c r="L955" s="1"/>
      <c r="M955" s="1"/>
      <c r="N955" s="1"/>
      <c r="O955" s="1"/>
    </row>
    <row r="956" spans="1:15" ht="15.75" customHeight="1">
      <c r="A956" s="1"/>
      <c r="B956" s="1"/>
      <c r="C956" s="3"/>
      <c r="D956" s="1"/>
      <c r="E956" s="1"/>
      <c r="F956" s="1"/>
      <c r="G956" s="1"/>
      <c r="H956" s="1"/>
      <c r="I956" s="1"/>
      <c r="J956" s="1"/>
      <c r="K956" s="1"/>
      <c r="L956" s="1"/>
      <c r="M956" s="1"/>
      <c r="N956" s="1"/>
      <c r="O956" s="1"/>
    </row>
    <row r="957" spans="1:15" ht="15.75" customHeight="1">
      <c r="A957" s="1"/>
      <c r="B957" s="1"/>
      <c r="C957" s="3"/>
      <c r="D957" s="1"/>
      <c r="E957" s="1"/>
      <c r="F957" s="1"/>
      <c r="G957" s="1"/>
      <c r="H957" s="1"/>
      <c r="I957" s="1"/>
      <c r="J957" s="1"/>
      <c r="K957" s="1"/>
      <c r="L957" s="1"/>
      <c r="M957" s="1"/>
      <c r="N957" s="1"/>
      <c r="O957" s="1"/>
    </row>
    <row r="958" spans="1:15" ht="15.75" customHeight="1">
      <c r="A958" s="1"/>
      <c r="B958" s="1"/>
      <c r="C958" s="3"/>
      <c r="D958" s="1"/>
      <c r="E958" s="1"/>
      <c r="F958" s="1"/>
      <c r="G958" s="1"/>
      <c r="H958" s="1"/>
      <c r="I958" s="1"/>
      <c r="J958" s="1"/>
      <c r="K958" s="1"/>
      <c r="L958" s="1"/>
      <c r="M958" s="1"/>
      <c r="N958" s="1"/>
      <c r="O958" s="1"/>
    </row>
    <row r="959" spans="1:15" ht="15.75" customHeight="1">
      <c r="A959" s="1"/>
      <c r="B959" s="1"/>
      <c r="C959" s="3"/>
      <c r="D959" s="1"/>
      <c r="E959" s="1"/>
      <c r="F959" s="1"/>
      <c r="G959" s="1"/>
      <c r="H959" s="1"/>
      <c r="I959" s="1"/>
      <c r="J959" s="1"/>
      <c r="K959" s="1"/>
      <c r="L959" s="1"/>
      <c r="M959" s="1"/>
      <c r="N959" s="1"/>
      <c r="O959" s="1"/>
    </row>
    <row r="960" spans="1:15" ht="15.75" customHeight="1">
      <c r="A960" s="1"/>
      <c r="B960" s="1"/>
      <c r="C960" s="3"/>
      <c r="D960" s="1"/>
      <c r="E960" s="1"/>
      <c r="F960" s="1"/>
      <c r="G960" s="1"/>
      <c r="H960" s="1"/>
      <c r="I960" s="1"/>
      <c r="J960" s="1"/>
      <c r="K960" s="1"/>
      <c r="L960" s="1"/>
      <c r="M960" s="1"/>
      <c r="N960" s="1"/>
      <c r="O960" s="1"/>
    </row>
    <row r="961" spans="1:15" ht="15.75" customHeight="1">
      <c r="A961" s="1"/>
      <c r="B961" s="1"/>
      <c r="C961" s="3"/>
      <c r="D961" s="1"/>
      <c r="E961" s="1"/>
      <c r="F961" s="1"/>
      <c r="G961" s="1"/>
      <c r="H961" s="1"/>
      <c r="I961" s="1"/>
      <c r="J961" s="1"/>
      <c r="K961" s="1"/>
      <c r="L961" s="1"/>
      <c r="M961" s="1"/>
      <c r="N961" s="1"/>
      <c r="O961" s="1"/>
    </row>
    <row r="962" spans="1:15" ht="15.75" customHeight="1">
      <c r="A962" s="1"/>
      <c r="B962" s="1"/>
      <c r="C962" s="3"/>
      <c r="D962" s="1"/>
      <c r="E962" s="1"/>
      <c r="F962" s="1"/>
      <c r="G962" s="1"/>
      <c r="H962" s="1"/>
      <c r="I962" s="1"/>
      <c r="J962" s="1"/>
      <c r="K962" s="1"/>
      <c r="L962" s="1"/>
      <c r="M962" s="1"/>
      <c r="N962" s="1"/>
      <c r="O962" s="1"/>
    </row>
    <row r="963" spans="1:15" ht="15.75" customHeight="1">
      <c r="A963" s="1"/>
      <c r="B963" s="1"/>
      <c r="C963" s="3"/>
      <c r="D963" s="1"/>
      <c r="E963" s="1"/>
      <c r="F963" s="1"/>
      <c r="G963" s="1"/>
      <c r="H963" s="1"/>
      <c r="I963" s="1"/>
      <c r="J963" s="1"/>
      <c r="K963" s="1"/>
      <c r="L963" s="1"/>
      <c r="M963" s="1"/>
      <c r="N963" s="1"/>
      <c r="O963" s="1"/>
    </row>
    <row r="964" spans="1:15" ht="15.75" customHeight="1">
      <c r="A964" s="1"/>
      <c r="B964" s="1"/>
      <c r="C964" s="3"/>
      <c r="D964" s="1"/>
      <c r="E964" s="1"/>
      <c r="F964" s="1"/>
      <c r="G964" s="1"/>
      <c r="H964" s="1"/>
      <c r="I964" s="1"/>
      <c r="J964" s="1"/>
      <c r="K964" s="1"/>
      <c r="L964" s="1"/>
      <c r="M964" s="1"/>
      <c r="N964" s="1"/>
      <c r="O964" s="1"/>
    </row>
    <row r="965" spans="1:15" ht="15.75" customHeight="1">
      <c r="A965" s="1"/>
      <c r="B965" s="1"/>
      <c r="C965" s="3"/>
      <c r="D965" s="1"/>
      <c r="E965" s="1"/>
      <c r="F965" s="1"/>
      <c r="G965" s="1"/>
      <c r="H965" s="1"/>
      <c r="I965" s="1"/>
      <c r="J965" s="1"/>
      <c r="K965" s="1"/>
      <c r="L965" s="1"/>
      <c r="M965" s="1"/>
      <c r="N965" s="1"/>
      <c r="O965" s="1"/>
    </row>
    <row r="966" spans="1:15" ht="15.75" customHeight="1">
      <c r="A966" s="1"/>
      <c r="B966" s="1"/>
      <c r="C966" s="3"/>
      <c r="D966" s="1"/>
      <c r="E966" s="1"/>
      <c r="F966" s="1"/>
      <c r="G966" s="1"/>
      <c r="H966" s="1"/>
      <c r="I966" s="1"/>
      <c r="J966" s="1"/>
      <c r="K966" s="1"/>
      <c r="L966" s="1"/>
      <c r="M966" s="1"/>
      <c r="N966" s="1"/>
      <c r="O966" s="1"/>
    </row>
    <row r="967" spans="1:15" ht="15.75" customHeight="1">
      <c r="A967" s="1"/>
      <c r="B967" s="1"/>
      <c r="C967" s="3"/>
      <c r="D967" s="1"/>
      <c r="E967" s="1"/>
      <c r="F967" s="1"/>
      <c r="G967" s="1"/>
      <c r="H967" s="1"/>
      <c r="I967" s="1"/>
      <c r="J967" s="1"/>
      <c r="K967" s="1"/>
      <c r="L967" s="1"/>
      <c r="M967" s="1"/>
      <c r="N967" s="1"/>
      <c r="O967" s="1"/>
    </row>
    <row r="968" spans="1:15" ht="15.75" customHeight="1">
      <c r="A968" s="1"/>
      <c r="B968" s="1"/>
      <c r="C968" s="3"/>
      <c r="D968" s="1"/>
      <c r="E968" s="1"/>
      <c r="F968" s="1"/>
      <c r="G968" s="1"/>
      <c r="H968" s="1"/>
      <c r="I968" s="1"/>
      <c r="J968" s="1"/>
      <c r="K968" s="1"/>
      <c r="L968" s="1"/>
      <c r="M968" s="1"/>
      <c r="N968" s="1"/>
      <c r="O968" s="1"/>
    </row>
    <row r="969" spans="1:15" ht="15.75" customHeight="1">
      <c r="A969" s="1"/>
      <c r="B969" s="1"/>
      <c r="C969" s="3"/>
      <c r="D969" s="1"/>
      <c r="E969" s="1"/>
      <c r="F969" s="1"/>
      <c r="G969" s="1"/>
      <c r="H969" s="1"/>
      <c r="I969" s="1"/>
      <c r="J969" s="1"/>
      <c r="K969" s="1"/>
      <c r="L969" s="1"/>
      <c r="M969" s="1"/>
      <c r="N969" s="1"/>
      <c r="O969" s="1"/>
    </row>
    <row r="970" spans="1:15" ht="15.75" customHeight="1">
      <c r="A970" s="1"/>
      <c r="B970" s="1"/>
      <c r="C970" s="3"/>
      <c r="D970" s="1"/>
      <c r="E970" s="1"/>
      <c r="F970" s="1"/>
      <c r="G970" s="1"/>
      <c r="H970" s="1"/>
      <c r="I970" s="1"/>
      <c r="J970" s="1"/>
      <c r="K970" s="1"/>
      <c r="L970" s="1"/>
      <c r="M970" s="1"/>
      <c r="N970" s="1"/>
      <c r="O970" s="1"/>
    </row>
    <row r="971" spans="1:15" ht="15.75" customHeight="1">
      <c r="A971" s="1"/>
      <c r="B971" s="1"/>
      <c r="C971" s="3"/>
      <c r="D971" s="1"/>
      <c r="E971" s="1"/>
      <c r="F971" s="1"/>
      <c r="G971" s="1"/>
      <c r="H971" s="1"/>
      <c r="I971" s="1"/>
      <c r="J971" s="1"/>
      <c r="K971" s="1"/>
      <c r="L971" s="1"/>
      <c r="M971" s="1"/>
      <c r="N971" s="1"/>
      <c r="O971" s="1"/>
    </row>
    <row r="972" spans="1:15" ht="15.75" customHeight="1">
      <c r="A972" s="1"/>
      <c r="B972" s="1"/>
      <c r="C972" s="3"/>
      <c r="D972" s="1"/>
      <c r="E972" s="1"/>
      <c r="F972" s="1"/>
      <c r="G972" s="1"/>
      <c r="H972" s="1"/>
      <c r="I972" s="1"/>
      <c r="J972" s="1"/>
      <c r="K972" s="1"/>
      <c r="L972" s="1"/>
      <c r="M972" s="1"/>
      <c r="N972" s="1"/>
      <c r="O972" s="1"/>
    </row>
    <row r="973" spans="1:15" ht="15.75" customHeight="1">
      <c r="A973" s="1"/>
      <c r="B973" s="1"/>
      <c r="C973" s="3"/>
      <c r="D973" s="1"/>
      <c r="E973" s="1"/>
      <c r="F973" s="1"/>
      <c r="G973" s="1"/>
      <c r="H973" s="1"/>
      <c r="I973" s="1"/>
      <c r="J973" s="1"/>
      <c r="K973" s="1"/>
      <c r="L973" s="1"/>
      <c r="M973" s="1"/>
      <c r="N973" s="1"/>
      <c r="O973" s="1"/>
    </row>
    <row r="974" spans="1:15" ht="15.75" customHeight="1">
      <c r="A974" s="1"/>
      <c r="B974" s="1"/>
      <c r="C974" s="3"/>
      <c r="D974" s="1"/>
      <c r="E974" s="1"/>
      <c r="F974" s="1"/>
      <c r="G974" s="1"/>
      <c r="H974" s="1"/>
      <c r="I974" s="1"/>
      <c r="J974" s="1"/>
      <c r="K974" s="1"/>
      <c r="L974" s="1"/>
      <c r="M974" s="1"/>
      <c r="N974" s="1"/>
      <c r="O974" s="1"/>
    </row>
    <row r="975" spans="1:15" ht="15.75" customHeight="1">
      <c r="A975" s="1"/>
      <c r="B975" s="1"/>
      <c r="C975" s="3"/>
      <c r="D975" s="1"/>
      <c r="E975" s="1"/>
      <c r="F975" s="1"/>
      <c r="G975" s="1"/>
      <c r="H975" s="1"/>
      <c r="I975" s="1"/>
      <c r="J975" s="1"/>
      <c r="K975" s="1"/>
      <c r="L975" s="1"/>
      <c r="M975" s="1"/>
      <c r="N975" s="1"/>
      <c r="O975" s="1"/>
    </row>
    <row r="976" spans="1:15" ht="15.75" customHeight="1">
      <c r="A976" s="1"/>
      <c r="B976" s="1"/>
      <c r="C976" s="3"/>
      <c r="D976" s="1"/>
      <c r="E976" s="1"/>
      <c r="F976" s="1"/>
      <c r="G976" s="1"/>
      <c r="H976" s="1"/>
      <c r="I976" s="1"/>
      <c r="J976" s="1"/>
      <c r="K976" s="1"/>
      <c r="L976" s="1"/>
      <c r="M976" s="1"/>
      <c r="N976" s="1"/>
      <c r="O976" s="1"/>
    </row>
    <row r="977" spans="1:15" ht="15.75" customHeight="1">
      <c r="A977" s="1"/>
      <c r="B977" s="1"/>
      <c r="C977" s="3"/>
      <c r="D977" s="1"/>
      <c r="E977" s="1"/>
      <c r="F977" s="1"/>
      <c r="G977" s="1"/>
      <c r="H977" s="1"/>
      <c r="I977" s="1"/>
      <c r="J977" s="1"/>
      <c r="K977" s="1"/>
      <c r="L977" s="1"/>
      <c r="M977" s="1"/>
      <c r="N977" s="1"/>
      <c r="O977" s="1"/>
    </row>
    <row r="978" spans="1:15" ht="15.75" customHeight="1">
      <c r="A978" s="1"/>
      <c r="B978" s="1"/>
      <c r="C978" s="3"/>
      <c r="D978" s="1"/>
      <c r="E978" s="1"/>
      <c r="F978" s="1"/>
      <c r="G978" s="1"/>
      <c r="H978" s="1"/>
      <c r="I978" s="1"/>
      <c r="J978" s="1"/>
      <c r="K978" s="1"/>
      <c r="L978" s="1"/>
      <c r="M978" s="1"/>
      <c r="N978" s="1"/>
      <c r="O978" s="1"/>
    </row>
    <row r="979" spans="1:15" ht="15.75" customHeight="1">
      <c r="A979" s="1"/>
      <c r="B979" s="1"/>
      <c r="C979" s="3"/>
      <c r="D979" s="1"/>
      <c r="E979" s="1"/>
      <c r="F979" s="1"/>
      <c r="G979" s="1"/>
      <c r="H979" s="1"/>
      <c r="I979" s="1"/>
      <c r="J979" s="1"/>
      <c r="K979" s="1"/>
      <c r="L979" s="1"/>
      <c r="M979" s="1"/>
      <c r="N979" s="1"/>
      <c r="O979" s="1"/>
    </row>
    <row r="980" spans="1:15" ht="15.75" customHeight="1">
      <c r="A980" s="1"/>
      <c r="B980" s="1"/>
      <c r="C980" s="3"/>
      <c r="D980" s="1"/>
      <c r="E980" s="1"/>
      <c r="F980" s="1"/>
      <c r="G980" s="1"/>
      <c r="H980" s="1"/>
      <c r="I980" s="1"/>
      <c r="J980" s="1"/>
      <c r="K980" s="1"/>
      <c r="L980" s="1"/>
      <c r="M980" s="1"/>
      <c r="N980" s="1"/>
      <c r="O980" s="1"/>
    </row>
    <row r="981" spans="1:15" ht="15.75" customHeight="1">
      <c r="A981" s="1"/>
      <c r="B981" s="1"/>
      <c r="C981" s="3"/>
      <c r="D981" s="1"/>
      <c r="E981" s="1"/>
      <c r="F981" s="1"/>
      <c r="G981" s="1"/>
      <c r="H981" s="1"/>
      <c r="I981" s="1"/>
      <c r="J981" s="1"/>
      <c r="K981" s="1"/>
      <c r="L981" s="1"/>
      <c r="M981" s="1"/>
      <c r="N981" s="1"/>
      <c r="O981" s="1"/>
    </row>
    <row r="982" spans="1:15" ht="15.75" customHeight="1">
      <c r="A982" s="1"/>
      <c r="B982" s="1"/>
      <c r="C982" s="3"/>
      <c r="D982" s="1"/>
      <c r="E982" s="1"/>
      <c r="F982" s="1"/>
      <c r="G982" s="1"/>
      <c r="H982" s="1"/>
      <c r="I982" s="1"/>
      <c r="J982" s="1"/>
      <c r="K982" s="1"/>
      <c r="L982" s="1"/>
      <c r="M982" s="1"/>
      <c r="N982" s="1"/>
      <c r="O982" s="1"/>
    </row>
    <row r="983" spans="1:15" ht="15.75" customHeight="1">
      <c r="A983" s="1"/>
      <c r="B983" s="1"/>
      <c r="C983" s="3"/>
      <c r="D983" s="1"/>
      <c r="E983" s="1"/>
      <c r="F983" s="1"/>
      <c r="G983" s="1"/>
      <c r="H983" s="1"/>
      <c r="I983" s="1"/>
      <c r="J983" s="1"/>
      <c r="K983" s="1"/>
      <c r="L983" s="1"/>
      <c r="M983" s="1"/>
      <c r="N983" s="1"/>
      <c r="O983" s="1"/>
    </row>
    <row r="984" spans="1:15" ht="15.75" customHeight="1">
      <c r="A984" s="1"/>
      <c r="B984" s="1"/>
      <c r="C984" s="3"/>
      <c r="D984" s="1"/>
      <c r="E984" s="1"/>
      <c r="F984" s="1"/>
      <c r="G984" s="1"/>
      <c r="H984" s="1"/>
      <c r="I984" s="1"/>
      <c r="J984" s="1"/>
      <c r="K984" s="1"/>
      <c r="L984" s="1"/>
      <c r="M984" s="1"/>
      <c r="N984" s="1"/>
      <c r="O984" s="1"/>
    </row>
    <row r="985" spans="1:15" ht="15.75" customHeight="1">
      <c r="A985" s="1"/>
      <c r="B985" s="1"/>
      <c r="C985" s="3"/>
      <c r="D985" s="1"/>
      <c r="E985" s="1"/>
      <c r="F985" s="1"/>
      <c r="G985" s="1"/>
      <c r="H985" s="1"/>
      <c r="I985" s="1"/>
      <c r="J985" s="1"/>
      <c r="K985" s="1"/>
      <c r="L985" s="1"/>
      <c r="M985" s="1"/>
      <c r="N985" s="1"/>
      <c r="O985" s="1"/>
    </row>
    <row r="986" spans="1:15" ht="15.75" customHeight="1">
      <c r="A986" s="1"/>
      <c r="B986" s="1"/>
      <c r="C986" s="3"/>
      <c r="D986" s="1"/>
      <c r="E986" s="1"/>
      <c r="F986" s="1"/>
      <c r="G986" s="1"/>
      <c r="H986" s="1"/>
      <c r="I986" s="1"/>
      <c r="J986" s="1"/>
      <c r="K986" s="1"/>
      <c r="L986" s="1"/>
      <c r="M986" s="1"/>
      <c r="N986" s="1"/>
      <c r="O986" s="1"/>
    </row>
    <row r="987" spans="1:15" ht="15.75" customHeight="1">
      <c r="A987" s="1"/>
      <c r="B987" s="1"/>
      <c r="C987" s="3"/>
      <c r="D987" s="1"/>
      <c r="E987" s="1"/>
      <c r="F987" s="1"/>
      <c r="G987" s="1"/>
      <c r="H987" s="1"/>
      <c r="I987" s="1"/>
      <c r="J987" s="1"/>
      <c r="K987" s="1"/>
      <c r="L987" s="1"/>
      <c r="M987" s="1"/>
      <c r="N987" s="1"/>
      <c r="O987" s="1"/>
    </row>
    <row r="988" spans="1:15" ht="15.75" customHeight="1">
      <c r="A988" s="1"/>
      <c r="B988" s="1"/>
      <c r="C988" s="3"/>
      <c r="D988" s="1"/>
      <c r="E988" s="1"/>
      <c r="F988" s="1"/>
      <c r="G988" s="1"/>
      <c r="H988" s="1"/>
      <c r="I988" s="1"/>
      <c r="J988" s="1"/>
      <c r="K988" s="1"/>
      <c r="L988" s="1"/>
      <c r="M988" s="1"/>
      <c r="N988" s="1"/>
      <c r="O988" s="1"/>
    </row>
    <row r="989" spans="1:15" ht="15.75" customHeight="1">
      <c r="A989" s="1"/>
      <c r="B989" s="1"/>
      <c r="C989" s="3"/>
      <c r="D989" s="1"/>
      <c r="E989" s="1"/>
      <c r="F989" s="1"/>
      <c r="G989" s="1"/>
      <c r="H989" s="1"/>
      <c r="I989" s="1"/>
      <c r="J989" s="1"/>
      <c r="K989" s="1"/>
      <c r="L989" s="1"/>
      <c r="M989" s="1"/>
      <c r="N989" s="1"/>
      <c r="O989" s="1"/>
    </row>
    <row r="990" spans="1:15" ht="15.75" customHeight="1">
      <c r="A990" s="1"/>
      <c r="B990" s="1"/>
      <c r="C990" s="3"/>
      <c r="D990" s="1"/>
      <c r="E990" s="1"/>
      <c r="F990" s="1"/>
      <c r="G990" s="1"/>
      <c r="H990" s="1"/>
      <c r="I990" s="1"/>
      <c r="J990" s="1"/>
      <c r="K990" s="1"/>
      <c r="L990" s="1"/>
      <c r="M990" s="1"/>
      <c r="N990" s="1"/>
      <c r="O990" s="1"/>
    </row>
    <row r="991" spans="1:15" ht="15.75" customHeight="1">
      <c r="A991" s="1"/>
      <c r="B991" s="1"/>
      <c r="C991" s="3"/>
      <c r="D991" s="1"/>
      <c r="E991" s="1"/>
      <c r="F991" s="1"/>
      <c r="G991" s="1"/>
      <c r="H991" s="1"/>
      <c r="I991" s="1"/>
      <c r="J991" s="1"/>
      <c r="K991" s="1"/>
      <c r="L991" s="1"/>
      <c r="M991" s="1"/>
      <c r="N991" s="1"/>
      <c r="O991" s="1"/>
    </row>
    <row r="992" spans="1:15" ht="15.75" customHeight="1">
      <c r="A992" s="1"/>
      <c r="B992" s="1"/>
      <c r="C992" s="3"/>
      <c r="D992" s="1"/>
      <c r="E992" s="1"/>
      <c r="F992" s="1"/>
      <c r="G992" s="1"/>
      <c r="H992" s="1"/>
      <c r="I992" s="1"/>
      <c r="J992" s="1"/>
      <c r="K992" s="1"/>
      <c r="L992" s="1"/>
      <c r="M992" s="1"/>
      <c r="N992" s="1"/>
      <c r="O992" s="1"/>
    </row>
    <row r="993" spans="1:15" ht="15.75" customHeight="1">
      <c r="A993" s="1"/>
      <c r="B993" s="1"/>
      <c r="C993" s="3"/>
      <c r="D993" s="1"/>
      <c r="E993" s="1"/>
      <c r="F993" s="1"/>
      <c r="G993" s="1"/>
      <c r="H993" s="1"/>
      <c r="I993" s="1"/>
      <c r="J993" s="1"/>
      <c r="K993" s="1"/>
      <c r="L993" s="1"/>
      <c r="M993" s="1"/>
      <c r="N993" s="1"/>
      <c r="O993" s="1"/>
    </row>
    <row r="994" spans="1:15" ht="15.75" customHeight="1">
      <c r="A994" s="1"/>
      <c r="B994" s="1"/>
      <c r="C994" s="3"/>
      <c r="D994" s="1"/>
      <c r="E994" s="1"/>
      <c r="F994" s="1"/>
      <c r="G994" s="1"/>
      <c r="H994" s="1"/>
      <c r="I994" s="1"/>
      <c r="J994" s="1"/>
      <c r="K994" s="1"/>
      <c r="L994" s="1"/>
      <c r="M994" s="1"/>
      <c r="N994" s="1"/>
      <c r="O994" s="1"/>
    </row>
    <row r="995" spans="1:15" ht="15.75" customHeight="1">
      <c r="A995" s="1"/>
      <c r="B995" s="1"/>
      <c r="C995" s="3"/>
      <c r="D995" s="1"/>
      <c r="E995" s="1"/>
      <c r="F995" s="1"/>
      <c r="G995" s="1"/>
      <c r="H995" s="1"/>
      <c r="I995" s="1"/>
      <c r="J995" s="1"/>
      <c r="K995" s="1"/>
      <c r="L995" s="1"/>
      <c r="M995" s="1"/>
      <c r="N995" s="1"/>
      <c r="O995" s="1"/>
    </row>
    <row r="996" spans="1:15" ht="15.75" customHeight="1">
      <c r="A996" s="1"/>
      <c r="B996" s="1"/>
      <c r="C996" s="3"/>
      <c r="D996" s="1"/>
      <c r="E996" s="1"/>
      <c r="F996" s="1"/>
      <c r="G996" s="1"/>
      <c r="H996" s="1"/>
      <c r="I996" s="1"/>
      <c r="J996" s="1"/>
      <c r="K996" s="1"/>
      <c r="L996" s="1"/>
      <c r="M996" s="1"/>
      <c r="N996" s="1"/>
      <c r="O996" s="1"/>
    </row>
    <row r="997" spans="1:15" ht="15.75" customHeight="1">
      <c r="A997" s="1"/>
      <c r="B997" s="1"/>
      <c r="C997" s="3"/>
      <c r="D997" s="1"/>
      <c r="E997" s="1"/>
      <c r="F997" s="1"/>
      <c r="G997" s="1"/>
      <c r="H997" s="1"/>
      <c r="I997" s="1"/>
      <c r="J997" s="1"/>
      <c r="K997" s="1"/>
      <c r="L997" s="1"/>
      <c r="M997" s="1"/>
      <c r="N997" s="1"/>
      <c r="O997" s="1"/>
    </row>
    <row r="998" spans="1:15" ht="15.75" customHeight="1">
      <c r="A998" s="1"/>
      <c r="B998" s="1"/>
      <c r="C998" s="3"/>
      <c r="D998" s="1"/>
      <c r="E998" s="1"/>
      <c r="F998" s="1"/>
      <c r="G998" s="1"/>
      <c r="H998" s="1"/>
      <c r="I998" s="1"/>
      <c r="J998" s="1"/>
      <c r="K998" s="1"/>
      <c r="L998" s="1"/>
      <c r="M998" s="1"/>
      <c r="N998" s="1"/>
      <c r="O998" s="1"/>
    </row>
    <row r="999" spans="1:15" ht="15.75" customHeight="1">
      <c r="A999" s="1"/>
      <c r="B999" s="1"/>
      <c r="C999" s="3"/>
      <c r="D999" s="1"/>
      <c r="E999" s="1"/>
      <c r="F999" s="1"/>
      <c r="G999" s="1"/>
      <c r="H999" s="1"/>
      <c r="I999" s="1"/>
      <c r="J999" s="1"/>
      <c r="K999" s="1"/>
      <c r="L999" s="1"/>
      <c r="M999" s="1"/>
      <c r="N999" s="1"/>
      <c r="O999" s="1"/>
    </row>
    <row r="1000" spans="1:15" ht="15.75" customHeight="1">
      <c r="A1000" s="1"/>
      <c r="B1000" s="1"/>
      <c r="C1000" s="3"/>
      <c r="D1000" s="1"/>
      <c r="E1000" s="1"/>
      <c r="F1000" s="1"/>
      <c r="G1000" s="1"/>
      <c r="H1000" s="1"/>
      <c r="I1000" s="1"/>
      <c r="J1000" s="1"/>
      <c r="K1000" s="1"/>
      <c r="L1000" s="1"/>
      <c r="M1000" s="1"/>
      <c r="N1000" s="1"/>
      <c r="O1000" s="1"/>
    </row>
    <row r="1001" spans="1:15" ht="15.75" customHeight="1">
      <c r="A1001" s="1"/>
      <c r="B1001" s="1"/>
      <c r="C1001" s="3"/>
      <c r="D1001" s="1"/>
      <c r="E1001" s="1"/>
      <c r="F1001" s="1"/>
      <c r="G1001" s="1"/>
      <c r="H1001" s="1"/>
      <c r="I1001" s="1"/>
      <c r="J1001" s="1"/>
      <c r="K1001" s="1"/>
      <c r="L1001" s="1"/>
      <c r="M1001" s="1"/>
      <c r="N1001" s="1"/>
      <c r="O1001" s="1"/>
    </row>
    <row r="1002" spans="1:15" ht="15.75" customHeight="1">
      <c r="A1002" s="1"/>
      <c r="B1002" s="1"/>
      <c r="C1002" s="3"/>
      <c r="D1002" s="1"/>
      <c r="E1002" s="1"/>
      <c r="F1002" s="1"/>
      <c r="G1002" s="1"/>
      <c r="H1002" s="1"/>
      <c r="I1002" s="1"/>
      <c r="J1002" s="1"/>
      <c r="K1002" s="1"/>
      <c r="L1002" s="1"/>
      <c r="M1002" s="1"/>
      <c r="N1002" s="1"/>
      <c r="O1002" s="1"/>
    </row>
    <row r="1003" spans="1:15" ht="15.75" customHeight="1">
      <c r="A1003" s="1"/>
      <c r="B1003" s="1"/>
      <c r="C1003" s="3"/>
      <c r="D1003" s="1"/>
      <c r="E1003" s="1"/>
      <c r="F1003" s="1"/>
      <c r="G1003" s="1"/>
      <c r="H1003" s="1"/>
      <c r="I1003" s="1"/>
      <c r="J1003" s="1"/>
      <c r="K1003" s="1"/>
      <c r="L1003" s="1"/>
      <c r="M1003" s="1"/>
      <c r="N1003" s="1"/>
      <c r="O1003" s="1"/>
    </row>
    <row r="1004" spans="1:15" ht="15.75" customHeight="1">
      <c r="A1004" s="1"/>
      <c r="B1004" s="1"/>
      <c r="C1004" s="3"/>
      <c r="D1004" s="1"/>
      <c r="E1004" s="1"/>
      <c r="F1004" s="1"/>
      <c r="G1004" s="1"/>
      <c r="H1004" s="1"/>
      <c r="I1004" s="1"/>
      <c r="J1004" s="1"/>
      <c r="K1004" s="1"/>
      <c r="L1004" s="1"/>
      <c r="M1004" s="1"/>
      <c r="N1004" s="1"/>
      <c r="O1004" s="1"/>
    </row>
    <row r="1005" spans="1:15" ht="15.75" customHeight="1">
      <c r="A1005" s="1"/>
      <c r="B1005" s="1"/>
      <c r="C1005" s="3"/>
      <c r="D1005" s="1"/>
      <c r="E1005" s="1"/>
      <c r="F1005" s="1"/>
      <c r="G1005" s="1"/>
      <c r="H1005" s="1"/>
      <c r="I1005" s="1"/>
      <c r="J1005" s="1"/>
      <c r="K1005" s="1"/>
      <c r="L1005" s="1"/>
      <c r="M1005" s="1"/>
      <c r="N1005" s="1"/>
      <c r="O1005" s="1"/>
    </row>
    <row r="1006" spans="1:15" ht="15.75" customHeight="1">
      <c r="A1006" s="1"/>
      <c r="B1006" s="1"/>
      <c r="C1006" s="3"/>
      <c r="D1006" s="1"/>
      <c r="E1006" s="1"/>
      <c r="F1006" s="1"/>
      <c r="G1006" s="1"/>
      <c r="H1006" s="1"/>
      <c r="I1006" s="1"/>
      <c r="J1006" s="1"/>
      <c r="K1006" s="1"/>
      <c r="L1006" s="1"/>
      <c r="M1006" s="1"/>
      <c r="N1006" s="1"/>
      <c r="O1006" s="1"/>
    </row>
    <row r="1007" spans="1:15" ht="15.75" customHeight="1">
      <c r="A1007" s="1"/>
      <c r="B1007" s="1"/>
      <c r="C1007" s="3"/>
      <c r="D1007" s="1"/>
      <c r="E1007" s="1"/>
      <c r="F1007" s="1"/>
      <c r="G1007" s="1"/>
      <c r="H1007" s="1"/>
      <c r="I1007" s="1"/>
      <c r="J1007" s="1"/>
      <c r="K1007" s="1"/>
      <c r="L1007" s="1"/>
      <c r="M1007" s="1"/>
      <c r="N1007" s="1"/>
      <c r="O1007" s="1"/>
    </row>
    <row r="1008" spans="1:15" ht="15.75" customHeight="1">
      <c r="A1008" s="1"/>
      <c r="B1008" s="1"/>
      <c r="C1008" s="3"/>
      <c r="D1008" s="1"/>
      <c r="E1008" s="1"/>
      <c r="F1008" s="1"/>
      <c r="G1008" s="1"/>
      <c r="H1008" s="1"/>
      <c r="I1008" s="1"/>
      <c r="J1008" s="1"/>
      <c r="K1008" s="1"/>
      <c r="L1008" s="1"/>
      <c r="M1008" s="1"/>
      <c r="N1008" s="1"/>
      <c r="O1008" s="1"/>
    </row>
    <row r="1009" spans="1:15" ht="15.75" customHeight="1">
      <c r="A1009" s="1"/>
      <c r="B1009" s="1"/>
      <c r="C1009" s="3"/>
      <c r="D1009" s="1"/>
      <c r="E1009" s="1"/>
      <c r="F1009" s="1"/>
      <c r="G1009" s="1"/>
      <c r="H1009" s="1"/>
      <c r="I1009" s="1"/>
      <c r="J1009" s="1"/>
      <c r="K1009" s="1"/>
      <c r="L1009" s="1"/>
      <c r="M1009" s="1"/>
      <c r="N1009" s="1"/>
      <c r="O1009" s="1"/>
    </row>
    <row r="1010" spans="1:15" ht="15.75" customHeight="1">
      <c r="A1010" s="1"/>
      <c r="B1010" s="1"/>
      <c r="C1010" s="3"/>
      <c r="D1010" s="1"/>
      <c r="E1010" s="1"/>
      <c r="F1010" s="1"/>
      <c r="G1010" s="1"/>
      <c r="H1010" s="1"/>
      <c r="I1010" s="1"/>
      <c r="J1010" s="1"/>
      <c r="K1010" s="1"/>
      <c r="L1010" s="1"/>
      <c r="M1010" s="1"/>
      <c r="N1010" s="1"/>
      <c r="O1010" s="1"/>
    </row>
    <row r="1011" spans="1:15" ht="15.75" customHeight="1">
      <c r="A1011" s="1"/>
      <c r="B1011" s="1"/>
      <c r="C1011" s="3"/>
      <c r="D1011" s="1"/>
      <c r="E1011" s="1"/>
      <c r="F1011" s="1"/>
      <c r="G1011" s="1"/>
      <c r="H1011" s="1"/>
      <c r="I1011" s="1"/>
      <c r="J1011" s="1"/>
      <c r="K1011" s="1"/>
      <c r="L1011" s="1"/>
      <c r="M1011" s="1"/>
      <c r="N1011" s="1"/>
      <c r="O1011" s="1"/>
    </row>
    <row r="1012" spans="1:15" ht="15.75" customHeight="1">
      <c r="A1012" s="1"/>
      <c r="B1012" s="1"/>
      <c r="C1012" s="3"/>
      <c r="D1012" s="1"/>
      <c r="E1012" s="1"/>
      <c r="F1012" s="1"/>
      <c r="G1012" s="1"/>
      <c r="H1012" s="1"/>
      <c r="I1012" s="1"/>
      <c r="J1012" s="1"/>
      <c r="K1012" s="1"/>
      <c r="L1012" s="1"/>
      <c r="M1012" s="1"/>
      <c r="N1012" s="1"/>
      <c r="O1012" s="1"/>
    </row>
    <row r="1013" spans="1:15" ht="15.75" customHeight="1">
      <c r="A1013" s="1"/>
      <c r="B1013" s="1"/>
      <c r="C1013" s="3"/>
      <c r="D1013" s="1"/>
      <c r="E1013" s="1"/>
      <c r="F1013" s="1"/>
      <c r="G1013" s="1"/>
      <c r="H1013" s="1"/>
      <c r="I1013" s="1"/>
      <c r="J1013" s="1"/>
      <c r="K1013" s="1"/>
      <c r="L1013" s="1"/>
      <c r="M1013" s="1"/>
      <c r="N1013" s="1"/>
      <c r="O1013" s="1"/>
    </row>
    <row r="1014" spans="1:15" ht="15.75" customHeight="1">
      <c r="A1014" s="1"/>
      <c r="B1014" s="1"/>
      <c r="C1014" s="3"/>
      <c r="D1014" s="1"/>
      <c r="E1014" s="1"/>
      <c r="F1014" s="1"/>
      <c r="G1014" s="1"/>
      <c r="H1014" s="1"/>
      <c r="I1014" s="1"/>
      <c r="J1014" s="1"/>
      <c r="K1014" s="1"/>
      <c r="L1014" s="1"/>
      <c r="M1014" s="1"/>
      <c r="N1014" s="1"/>
      <c r="O1014" s="1"/>
    </row>
    <row r="1015" spans="1:15" ht="15.75" customHeight="1">
      <c r="A1015" s="1"/>
      <c r="B1015" s="1"/>
      <c r="C1015" s="3"/>
      <c r="D1015" s="1"/>
      <c r="E1015" s="1"/>
      <c r="F1015" s="1"/>
      <c r="G1015" s="1"/>
      <c r="H1015" s="1"/>
      <c r="I1015" s="1"/>
      <c r="J1015" s="1"/>
      <c r="K1015" s="1"/>
      <c r="L1015" s="1"/>
      <c r="M1015" s="1"/>
      <c r="N1015" s="1"/>
      <c r="O1015" s="1"/>
    </row>
    <row r="1016" spans="1:15" ht="15.75" customHeight="1">
      <c r="A1016" s="1"/>
      <c r="B1016" s="1"/>
      <c r="C1016" s="3"/>
      <c r="D1016" s="1"/>
      <c r="E1016" s="1"/>
      <c r="F1016" s="1"/>
      <c r="G1016" s="1"/>
      <c r="H1016" s="1"/>
      <c r="I1016" s="1"/>
      <c r="J1016" s="1"/>
      <c r="K1016" s="1"/>
      <c r="L1016" s="1"/>
      <c r="M1016" s="1"/>
      <c r="N1016" s="1"/>
      <c r="O1016" s="1"/>
    </row>
    <row r="1017" spans="1:15" ht="15.75" customHeight="1">
      <c r="A1017" s="1"/>
      <c r="B1017" s="1"/>
      <c r="C1017" s="3"/>
      <c r="D1017" s="1"/>
      <c r="E1017" s="1"/>
      <c r="F1017" s="1"/>
      <c r="G1017" s="1"/>
      <c r="H1017" s="1"/>
      <c r="I1017" s="1"/>
      <c r="J1017" s="1"/>
      <c r="K1017" s="1"/>
      <c r="L1017" s="1"/>
      <c r="M1017" s="1"/>
      <c r="N1017" s="1"/>
      <c r="O1017" s="1"/>
    </row>
    <row r="1018" spans="1:15" ht="15.75" customHeight="1">
      <c r="A1018" s="1"/>
      <c r="B1018" s="1"/>
      <c r="C1018" s="3"/>
      <c r="D1018" s="1"/>
      <c r="E1018" s="1"/>
      <c r="F1018" s="1"/>
      <c r="G1018" s="1"/>
      <c r="H1018" s="1"/>
      <c r="I1018" s="1"/>
      <c r="J1018" s="1"/>
      <c r="K1018" s="1"/>
      <c r="L1018" s="1"/>
      <c r="M1018" s="1"/>
      <c r="N1018" s="1"/>
      <c r="O1018" s="1"/>
    </row>
    <row r="1019" spans="1:15" ht="15.75" customHeight="1">
      <c r="A1019" s="1"/>
      <c r="B1019" s="1"/>
      <c r="C1019" s="3"/>
      <c r="D1019" s="1"/>
      <c r="E1019" s="1"/>
      <c r="F1019" s="1"/>
      <c r="G1019" s="1"/>
      <c r="H1019" s="1"/>
      <c r="I1019" s="1"/>
      <c r="J1019" s="1"/>
      <c r="K1019" s="1"/>
      <c r="L1019" s="1"/>
      <c r="M1019" s="1"/>
      <c r="N1019" s="1"/>
      <c r="O1019" s="1"/>
    </row>
    <row r="1020" spans="1:15" ht="15.75" customHeight="1">
      <c r="A1020" s="1"/>
      <c r="B1020" s="1"/>
      <c r="C1020" s="3"/>
      <c r="D1020" s="1"/>
      <c r="E1020" s="1"/>
      <c r="F1020" s="1"/>
      <c r="G1020" s="1"/>
      <c r="H1020" s="1"/>
      <c r="I1020" s="1"/>
      <c r="J1020" s="1"/>
      <c r="K1020" s="1"/>
      <c r="L1020" s="1"/>
      <c r="M1020" s="1"/>
      <c r="N1020" s="1"/>
      <c r="O1020" s="1"/>
    </row>
    <row r="1021" spans="1:15" ht="15.75" customHeight="1">
      <c r="A1021" s="1"/>
      <c r="B1021" s="1"/>
      <c r="C1021" s="3"/>
      <c r="D1021" s="1"/>
      <c r="E1021" s="1"/>
      <c r="F1021" s="1"/>
      <c r="G1021" s="1"/>
      <c r="H1021" s="1"/>
      <c r="I1021" s="1"/>
      <c r="J1021" s="1"/>
      <c r="K1021" s="1"/>
      <c r="L1021" s="1"/>
      <c r="M1021" s="1"/>
      <c r="N1021" s="1"/>
      <c r="O1021" s="1"/>
    </row>
    <row r="1022" spans="1:15" ht="15.75" customHeight="1">
      <c r="A1022" s="1"/>
      <c r="B1022" s="1"/>
      <c r="C1022" s="3"/>
      <c r="D1022" s="1"/>
      <c r="E1022" s="1"/>
      <c r="F1022" s="1"/>
      <c r="G1022" s="1"/>
      <c r="H1022" s="1"/>
      <c r="I1022" s="1"/>
      <c r="J1022" s="1"/>
      <c r="K1022" s="1"/>
      <c r="L1022" s="1"/>
      <c r="M1022" s="1"/>
      <c r="N1022" s="1"/>
      <c r="O1022" s="1"/>
    </row>
    <row r="1023" spans="1:15" ht="15.75" customHeight="1">
      <c r="A1023" s="1"/>
      <c r="B1023" s="1"/>
      <c r="C1023" s="3"/>
      <c r="D1023" s="1"/>
      <c r="E1023" s="1"/>
      <c r="F1023" s="1"/>
      <c r="G1023" s="1"/>
      <c r="H1023" s="1"/>
      <c r="I1023" s="1"/>
      <c r="J1023" s="1"/>
      <c r="K1023" s="1"/>
      <c r="L1023" s="1"/>
      <c r="M1023" s="1"/>
      <c r="N1023" s="1"/>
      <c r="O1023" s="1"/>
    </row>
    <row r="1024" spans="1:15" ht="15.75" customHeight="1">
      <c r="A1024" s="1"/>
      <c r="B1024" s="1"/>
      <c r="C1024" s="3"/>
      <c r="D1024" s="1"/>
      <c r="E1024" s="1"/>
      <c r="F1024" s="1"/>
      <c r="G1024" s="1"/>
      <c r="H1024" s="1"/>
      <c r="I1024" s="1"/>
      <c r="J1024" s="1"/>
      <c r="K1024" s="1"/>
      <c r="L1024" s="1"/>
      <c r="M1024" s="1"/>
      <c r="N1024" s="1"/>
      <c r="O1024" s="1"/>
    </row>
    <row r="1025" spans="1:15" ht="15.75" customHeight="1">
      <c r="A1025" s="1"/>
      <c r="B1025" s="1"/>
      <c r="C1025" s="3"/>
      <c r="D1025" s="1"/>
      <c r="E1025" s="1"/>
      <c r="F1025" s="1"/>
      <c r="G1025" s="1"/>
      <c r="H1025" s="1"/>
      <c r="I1025" s="1"/>
      <c r="J1025" s="1"/>
      <c r="K1025" s="1"/>
      <c r="L1025" s="1"/>
      <c r="M1025" s="1"/>
      <c r="N1025" s="1"/>
      <c r="O1025" s="1"/>
    </row>
    <row r="1026" spans="1:15" ht="15.75" customHeight="1">
      <c r="A1026" s="1"/>
      <c r="B1026" s="1"/>
      <c r="C1026" s="3"/>
      <c r="D1026" s="1"/>
      <c r="E1026" s="1"/>
      <c r="F1026" s="1"/>
      <c r="G1026" s="1"/>
      <c r="H1026" s="1"/>
      <c r="I1026" s="1"/>
      <c r="J1026" s="1"/>
      <c r="K1026" s="1"/>
      <c r="L1026" s="1"/>
      <c r="M1026" s="1"/>
      <c r="N1026" s="1"/>
      <c r="O1026" s="1"/>
    </row>
    <row r="1027" spans="1:15" ht="15.75" customHeight="1">
      <c r="A1027" s="1"/>
      <c r="B1027" s="1"/>
      <c r="C1027" s="3"/>
      <c r="D1027" s="1"/>
      <c r="E1027" s="1"/>
      <c r="F1027" s="1"/>
      <c r="G1027" s="1"/>
      <c r="H1027" s="1"/>
      <c r="I1027" s="1"/>
      <c r="J1027" s="1"/>
      <c r="K1027" s="1"/>
      <c r="L1027" s="1"/>
      <c r="M1027" s="1"/>
      <c r="N1027" s="1"/>
      <c r="O1027" s="1"/>
    </row>
    <row r="1028" spans="1:15" ht="15.75" customHeight="1">
      <c r="A1028" s="1"/>
      <c r="B1028" s="1"/>
      <c r="C1028" s="3"/>
      <c r="D1028" s="1"/>
      <c r="E1028" s="1"/>
      <c r="F1028" s="1"/>
      <c r="G1028" s="1"/>
      <c r="H1028" s="1"/>
      <c r="I1028" s="1"/>
      <c r="J1028" s="1"/>
      <c r="K1028" s="1"/>
      <c r="L1028" s="1"/>
      <c r="M1028" s="1"/>
      <c r="N1028" s="1"/>
      <c r="O1028" s="1"/>
    </row>
    <row r="1029" spans="1:15" ht="15.75" customHeight="1">
      <c r="A1029" s="1"/>
      <c r="B1029" s="1"/>
      <c r="C1029" s="3"/>
      <c r="D1029" s="1"/>
      <c r="E1029" s="1"/>
      <c r="F1029" s="1"/>
      <c r="G1029" s="1"/>
      <c r="H1029" s="1"/>
      <c r="I1029" s="1"/>
      <c r="J1029" s="1"/>
      <c r="K1029" s="1"/>
      <c r="L1029" s="1"/>
      <c r="M1029" s="1"/>
      <c r="N1029" s="1"/>
      <c r="O1029" s="1"/>
    </row>
    <row r="1030" spans="1:15" ht="15.75" customHeight="1">
      <c r="A1030" s="1"/>
      <c r="B1030" s="1"/>
      <c r="C1030" s="3"/>
      <c r="D1030" s="1"/>
      <c r="E1030" s="1"/>
      <c r="F1030" s="1"/>
      <c r="G1030" s="1"/>
      <c r="H1030" s="1"/>
      <c r="I1030" s="1"/>
      <c r="J1030" s="1"/>
      <c r="K1030" s="1"/>
      <c r="L1030" s="1"/>
      <c r="M1030" s="1"/>
      <c r="N1030" s="1"/>
      <c r="O1030" s="1"/>
    </row>
    <row r="1031" spans="1:15" ht="15.75" customHeight="1">
      <c r="A1031" s="1"/>
      <c r="B1031" s="1"/>
      <c r="C1031" s="3"/>
      <c r="D1031" s="1"/>
      <c r="E1031" s="1"/>
      <c r="F1031" s="1"/>
      <c r="G1031" s="1"/>
      <c r="H1031" s="1"/>
      <c r="I1031" s="1"/>
      <c r="J1031" s="1"/>
      <c r="K1031" s="1"/>
      <c r="L1031" s="1"/>
      <c r="M1031" s="1"/>
      <c r="N1031" s="1"/>
      <c r="O1031" s="1"/>
    </row>
    <row r="1032" spans="1:15" ht="15.75" customHeight="1">
      <c r="A1032" s="1"/>
      <c r="B1032" s="1"/>
      <c r="C1032" s="3"/>
      <c r="D1032" s="1"/>
      <c r="E1032" s="1"/>
      <c r="F1032" s="1"/>
      <c r="G1032" s="1"/>
      <c r="H1032" s="1"/>
      <c r="I1032" s="1"/>
      <c r="J1032" s="1"/>
      <c r="K1032" s="1"/>
      <c r="L1032" s="1"/>
      <c r="M1032" s="1"/>
      <c r="N1032" s="1"/>
      <c r="O1032" s="1"/>
    </row>
    <row r="1033" spans="1:15" ht="15.75" customHeight="1">
      <c r="A1033" s="1"/>
      <c r="B1033" s="1"/>
      <c r="C1033" s="3"/>
      <c r="D1033" s="1"/>
      <c r="E1033" s="1"/>
      <c r="F1033" s="1"/>
      <c r="G1033" s="1"/>
      <c r="H1033" s="1"/>
      <c r="I1033" s="1"/>
      <c r="J1033" s="1"/>
      <c r="K1033" s="1"/>
      <c r="L1033" s="1"/>
      <c r="M1033" s="1"/>
      <c r="N1033" s="1"/>
      <c r="O1033" s="1"/>
    </row>
    <row r="1034" spans="1:15" ht="15.75" customHeight="1">
      <c r="A1034" s="1"/>
      <c r="B1034" s="1"/>
      <c r="C1034" s="3"/>
      <c r="D1034" s="1"/>
      <c r="E1034" s="1"/>
      <c r="F1034" s="1"/>
      <c r="I1034" s="1"/>
      <c r="J1034" s="1"/>
      <c r="K1034" s="1"/>
      <c r="L1034" s="1"/>
      <c r="M1034" s="1"/>
      <c r="N1034" s="1"/>
      <c r="O1034" s="1"/>
    </row>
    <row r="1035" spans="1:15" ht="15.75" customHeight="1">
      <c r="A1035" s="1"/>
      <c r="B1035" s="1"/>
      <c r="C1035" s="3"/>
      <c r="D1035" s="1"/>
      <c r="E1035" s="1"/>
      <c r="F1035" s="1"/>
      <c r="I1035" s="1"/>
      <c r="J1035" s="1"/>
      <c r="K1035" s="1"/>
      <c r="L1035" s="1"/>
      <c r="M1035" s="1"/>
      <c r="N1035" s="1"/>
      <c r="O1035" s="1"/>
    </row>
    <row r="1036" spans="1:15" ht="15.75" customHeight="1">
      <c r="A1036" s="1"/>
      <c r="B1036" s="1"/>
      <c r="C1036" s="3"/>
      <c r="D1036" s="1"/>
      <c r="E1036" s="1"/>
      <c r="F1036" s="1"/>
      <c r="I1036" s="1"/>
      <c r="J1036" s="1"/>
      <c r="K1036" s="1"/>
      <c r="L1036" s="1"/>
      <c r="M1036" s="1"/>
      <c r="N1036" s="1"/>
      <c r="O1036" s="1"/>
    </row>
    <row r="1037" spans="1:15" ht="15.75" customHeight="1">
      <c r="A1037" s="1"/>
      <c r="B1037" s="1"/>
      <c r="C1037" s="3"/>
      <c r="D1037" s="1"/>
      <c r="E1037" s="1"/>
      <c r="F1037" s="1"/>
      <c r="I1037" s="1"/>
      <c r="J1037" s="1"/>
      <c r="K1037" s="1"/>
      <c r="L1037" s="1"/>
      <c r="M1037" s="1"/>
      <c r="N1037" s="1"/>
      <c r="O1037" s="1"/>
    </row>
    <row r="1038" spans="1:15" ht="15.75" customHeight="1">
      <c r="A1038" s="1"/>
      <c r="B1038" s="1"/>
      <c r="C1038" s="3"/>
      <c r="D1038" s="1"/>
      <c r="E1038" s="1"/>
      <c r="F1038" s="1"/>
      <c r="I1038" s="1"/>
      <c r="J1038" s="1"/>
      <c r="K1038" s="1"/>
      <c r="L1038" s="1"/>
      <c r="M1038" s="1"/>
      <c r="N1038" s="1"/>
      <c r="O1038" s="1"/>
    </row>
    <row r="1039" spans="1:15" ht="15.75" customHeight="1">
      <c r="A1039" s="1"/>
      <c r="B1039" s="1"/>
      <c r="C1039" s="3"/>
      <c r="D1039" s="1"/>
      <c r="E1039" s="1"/>
      <c r="F1039" s="1"/>
      <c r="I1039" s="1"/>
      <c r="J1039" s="1"/>
      <c r="K1039" s="1"/>
      <c r="L1039" s="1"/>
      <c r="M1039" s="1"/>
      <c r="N1039" s="1"/>
      <c r="O1039" s="1"/>
    </row>
    <row r="1040" spans="1:15" ht="15.75" customHeight="1">
      <c r="A1040" s="1"/>
      <c r="B1040" s="1"/>
      <c r="C1040" s="3"/>
      <c r="D1040" s="1"/>
      <c r="E1040" s="1"/>
      <c r="F1040" s="1"/>
      <c r="I1040" s="1"/>
      <c r="J1040" s="1"/>
      <c r="K1040" s="1"/>
      <c r="L1040" s="1"/>
      <c r="M1040" s="1"/>
      <c r="N1040" s="1"/>
      <c r="O1040" s="1"/>
    </row>
    <row r="1041" spans="1:15" ht="15.75" customHeight="1">
      <c r="A1041" s="1"/>
      <c r="B1041" s="1"/>
      <c r="C1041" s="3"/>
      <c r="D1041" s="1"/>
      <c r="E1041" s="1"/>
      <c r="F1041" s="1"/>
      <c r="I1041" s="1"/>
      <c r="J1041" s="1"/>
      <c r="K1041" s="1"/>
      <c r="L1041" s="1"/>
      <c r="M1041" s="1"/>
      <c r="N1041" s="1"/>
      <c r="O1041" s="1"/>
    </row>
    <row r="1042" spans="1:15" ht="15.75" customHeight="1">
      <c r="A1042" s="1"/>
      <c r="B1042" s="1"/>
      <c r="C1042" s="3"/>
      <c r="F1042" s="1"/>
      <c r="I1042" s="1"/>
      <c r="J1042" s="1"/>
      <c r="K1042" s="1"/>
      <c r="L1042" s="1"/>
      <c r="M1042" s="1"/>
      <c r="N1042" s="1"/>
      <c r="O1042" s="1"/>
    </row>
    <row r="1043" spans="1:15" ht="15.75" customHeight="1">
      <c r="A1043" s="1"/>
      <c r="B1043" s="1"/>
      <c r="C1043" s="3"/>
      <c r="F1043" s="1"/>
      <c r="I1043" s="1"/>
      <c r="J1043" s="1"/>
      <c r="K1043" s="1"/>
      <c r="L1043" s="1"/>
      <c r="M1043" s="1"/>
      <c r="N1043" s="1"/>
      <c r="O1043" s="1"/>
    </row>
  </sheetData>
  <mergeCells count="9">
    <mergeCell ref="A40:B40"/>
    <mergeCell ref="A73:B73"/>
    <mergeCell ref="D2:E2"/>
    <mergeCell ref="G2:H2"/>
    <mergeCell ref="D10:E10"/>
    <mergeCell ref="D20:E20"/>
    <mergeCell ref="G25:H25"/>
    <mergeCell ref="D29:E29"/>
    <mergeCell ref="D54:E5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4662-5AF1-43C3-A243-42B359F46EA7}">
  <sheetPr>
    <pageSetUpPr autoPageBreaks="0"/>
  </sheetPr>
  <dimension ref="A3:K135"/>
  <sheetViews>
    <sheetView topLeftCell="A10" zoomScaleNormal="100" workbookViewId="0">
      <selection activeCell="G115" sqref="G115"/>
    </sheetView>
  </sheetViews>
  <sheetFormatPr defaultRowHeight="14.5"/>
  <cols>
    <col min="1" max="1" width="11.1796875" bestFit="1" customWidth="1"/>
    <col min="2" max="2" width="17.26953125" bestFit="1" customWidth="1"/>
    <col min="3" max="3" width="11.54296875" bestFit="1" customWidth="1"/>
    <col min="4" max="5" width="15.6328125" bestFit="1" customWidth="1"/>
    <col min="6" max="6" width="19.6328125" bestFit="1" customWidth="1"/>
    <col min="7" max="7" width="16.6328125" bestFit="1" customWidth="1"/>
    <col min="8" max="17" width="15.6328125" bestFit="1" customWidth="1"/>
    <col min="18" max="18" width="10.36328125" bestFit="1" customWidth="1"/>
    <col min="19" max="19" width="2.81640625" bestFit="1" customWidth="1"/>
    <col min="20" max="25" width="4.81640625" bestFit="1" customWidth="1"/>
    <col min="26" max="26" width="2.81640625" bestFit="1" customWidth="1"/>
    <col min="27" max="30" width="4.81640625" bestFit="1" customWidth="1"/>
    <col min="31" max="31" width="2.81640625" bestFit="1" customWidth="1"/>
    <col min="32" max="32" width="4.81640625" bestFit="1" customWidth="1"/>
    <col min="33" max="33" width="2.81640625" bestFit="1" customWidth="1"/>
    <col min="34" max="44" width="4.81640625" bestFit="1" customWidth="1"/>
    <col min="45" max="45" width="2.81640625" bestFit="1" customWidth="1"/>
    <col min="46" max="47" width="4.81640625" bestFit="1" customWidth="1"/>
    <col min="48" max="48" width="2.81640625" bestFit="1" customWidth="1"/>
    <col min="49" max="53" width="4.81640625" bestFit="1" customWidth="1"/>
    <col min="54" max="54" width="2.81640625" bestFit="1" customWidth="1"/>
    <col min="55" max="56" width="4.81640625" bestFit="1" customWidth="1"/>
    <col min="57" max="57" width="2.81640625" bestFit="1" customWidth="1"/>
    <col min="58" max="59" width="4.81640625" bestFit="1" customWidth="1"/>
    <col min="60" max="60" width="2.81640625" bestFit="1" customWidth="1"/>
    <col min="61" max="72" width="4.81640625" bestFit="1" customWidth="1"/>
    <col min="73" max="73" width="2.81640625" bestFit="1" customWidth="1"/>
    <col min="74" max="75" width="4.81640625" bestFit="1" customWidth="1"/>
    <col min="76" max="76" width="2.81640625" bestFit="1" customWidth="1"/>
    <col min="77" max="82" width="4.81640625" bestFit="1" customWidth="1"/>
    <col min="83" max="83" width="2.81640625" bestFit="1" customWidth="1"/>
    <col min="84" max="89" width="4.81640625" bestFit="1" customWidth="1"/>
    <col min="90" max="90" width="2.81640625" bestFit="1" customWidth="1"/>
    <col min="91" max="91" width="4.81640625" bestFit="1" customWidth="1"/>
    <col min="92" max="92" width="2.81640625" bestFit="1" customWidth="1"/>
    <col min="93" max="95" width="4.81640625" bestFit="1" customWidth="1"/>
    <col min="96" max="96" width="2.81640625" bestFit="1" customWidth="1"/>
    <col min="97" max="97" width="4.81640625" bestFit="1" customWidth="1"/>
    <col min="98" max="98" width="2.81640625" bestFit="1" customWidth="1"/>
    <col min="99" max="102" width="4.81640625" bestFit="1" customWidth="1"/>
    <col min="103" max="103" width="2.81640625" bestFit="1" customWidth="1"/>
    <col min="104" max="105" width="4.81640625" bestFit="1" customWidth="1"/>
    <col min="106" max="106" width="2.81640625" bestFit="1" customWidth="1"/>
    <col min="107" max="107" width="4.81640625" bestFit="1" customWidth="1"/>
    <col min="108" max="108" width="2.81640625" bestFit="1" customWidth="1"/>
    <col min="109" max="111" width="4.81640625" bestFit="1" customWidth="1"/>
    <col min="112" max="112" width="2.81640625" bestFit="1" customWidth="1"/>
    <col min="113" max="118" width="4.81640625" bestFit="1" customWidth="1"/>
    <col min="119" max="119" width="2.81640625" bestFit="1" customWidth="1"/>
    <col min="120" max="124" width="4.81640625" bestFit="1" customWidth="1"/>
    <col min="125" max="125" width="2.81640625" bestFit="1" customWidth="1"/>
    <col min="126" max="127" width="4.81640625" bestFit="1" customWidth="1"/>
    <col min="128" max="128" width="2.81640625" bestFit="1" customWidth="1"/>
    <col min="129" max="132" width="4.81640625" bestFit="1" customWidth="1"/>
    <col min="133" max="134" width="2.81640625" bestFit="1" customWidth="1"/>
    <col min="135" max="137" width="4.81640625" bestFit="1" customWidth="1"/>
    <col min="138" max="138" width="2.81640625" bestFit="1" customWidth="1"/>
    <col min="139" max="141" width="4.81640625" bestFit="1" customWidth="1"/>
    <col min="142" max="143" width="2.81640625" bestFit="1" customWidth="1"/>
    <col min="144" max="145" width="4.81640625" bestFit="1" customWidth="1"/>
    <col min="146" max="146" width="2.81640625" bestFit="1" customWidth="1"/>
    <col min="147" max="151" width="4.81640625" bestFit="1" customWidth="1"/>
    <col min="152" max="152" width="2.81640625" bestFit="1" customWidth="1"/>
    <col min="153" max="154" width="4.81640625" bestFit="1" customWidth="1"/>
    <col min="155" max="155" width="2.81640625" bestFit="1" customWidth="1"/>
    <col min="156" max="157" width="4.81640625" bestFit="1" customWidth="1"/>
    <col min="158" max="158" width="2.81640625" bestFit="1" customWidth="1"/>
    <col min="159" max="162" width="4.81640625" bestFit="1" customWidth="1"/>
    <col min="163" max="164" width="2.81640625" bestFit="1" customWidth="1"/>
    <col min="165" max="167" width="4.81640625" bestFit="1" customWidth="1"/>
    <col min="168" max="168" width="2.81640625" bestFit="1" customWidth="1"/>
    <col min="169" max="170" width="4.81640625" bestFit="1" customWidth="1"/>
    <col min="171" max="171" width="2.81640625" bestFit="1" customWidth="1"/>
    <col min="172" max="173" width="4.81640625" bestFit="1" customWidth="1"/>
    <col min="174" max="175" width="2.81640625" bestFit="1" customWidth="1"/>
    <col min="176" max="177" width="4.81640625" bestFit="1" customWidth="1"/>
    <col min="178" max="179" width="2.81640625" bestFit="1" customWidth="1"/>
    <col min="180" max="181" width="4.81640625" bestFit="1" customWidth="1"/>
    <col min="182" max="182" width="2.81640625" bestFit="1" customWidth="1"/>
    <col min="183" max="183" width="3.81640625" bestFit="1" customWidth="1"/>
    <col min="184" max="186" width="5.81640625" bestFit="1" customWidth="1"/>
    <col min="187" max="189" width="3.81640625" bestFit="1" customWidth="1"/>
    <col min="190" max="191" width="5.81640625" bestFit="1" customWidth="1"/>
    <col min="192" max="192" width="3.81640625" bestFit="1" customWidth="1"/>
    <col min="193" max="193" width="10.36328125" bestFit="1" customWidth="1"/>
    <col min="194" max="382" width="15.6328125" bestFit="1" customWidth="1"/>
    <col min="383" max="383" width="20.1796875" bestFit="1" customWidth="1"/>
    <col min="384" max="384" width="18.81640625" bestFit="1" customWidth="1"/>
  </cols>
  <sheetData>
    <row r="3" spans="1:11">
      <c r="A3" s="34" t="s">
        <v>692</v>
      </c>
      <c r="B3" s="34" t="s">
        <v>693</v>
      </c>
      <c r="C3" s="34" t="s">
        <v>695</v>
      </c>
      <c r="D3" s="34" t="s">
        <v>696</v>
      </c>
      <c r="E3" s="34" t="s">
        <v>697</v>
      </c>
      <c r="F3" s="34" t="s">
        <v>698</v>
      </c>
      <c r="G3" s="34" t="s">
        <v>707</v>
      </c>
      <c r="H3" s="35" t="s">
        <v>699</v>
      </c>
      <c r="I3" s="51" t="s">
        <v>711</v>
      </c>
      <c r="J3" s="51"/>
      <c r="K3" s="51"/>
    </row>
    <row r="4" spans="1:11">
      <c r="A4" s="53">
        <v>250</v>
      </c>
      <c r="B4" s="53">
        <v>6954</v>
      </c>
      <c r="C4" s="53">
        <v>12960.500000000004</v>
      </c>
      <c r="D4" s="53">
        <v>6950.3999999999978</v>
      </c>
      <c r="E4" s="27">
        <v>5759.1099999999979</v>
      </c>
      <c r="F4" s="27">
        <v>250.98999999999995</v>
      </c>
      <c r="G4" s="27">
        <v>7201.3900000000012</v>
      </c>
      <c r="H4" s="26">
        <f>(C4-G4)/C4</f>
        <v>0.44435862813934651</v>
      </c>
      <c r="I4" s="27">
        <f>C4-G4</f>
        <v>5759.1100000000024</v>
      </c>
    </row>
    <row r="5" spans="1:11">
      <c r="D5">
        <f>GETPIVOTDATA("Sum of Total_Cost",$A$3)+GETPIVOTDATA("Sum of Total_Discount",$A$3)</f>
        <v>7201.3899999999976</v>
      </c>
      <c r="E5" s="26"/>
    </row>
    <row r="7" spans="1:11">
      <c r="A7" s="34" t="s">
        <v>694</v>
      </c>
      <c r="B7" s="34" t="s">
        <v>695</v>
      </c>
      <c r="C7" s="34" t="s">
        <v>700</v>
      </c>
      <c r="D7" s="37"/>
    </row>
    <row r="8" spans="1:11">
      <c r="A8" s="25">
        <v>1</v>
      </c>
      <c r="B8" s="53">
        <v>334.2</v>
      </c>
      <c r="C8" s="53">
        <v>334.2</v>
      </c>
      <c r="E8" s="37"/>
    </row>
    <row r="9" spans="1:11">
      <c r="A9" s="25">
        <v>2</v>
      </c>
      <c r="B9" s="53">
        <v>270.60000000000002</v>
      </c>
      <c r="C9" s="53">
        <v>270.60000000000002</v>
      </c>
    </row>
    <row r="10" spans="1:11">
      <c r="A10" s="25">
        <v>3</v>
      </c>
      <c r="B10" s="53">
        <v>115.5</v>
      </c>
      <c r="C10" s="53">
        <v>115.5</v>
      </c>
    </row>
    <row r="11" spans="1:11">
      <c r="A11" s="25">
        <v>4</v>
      </c>
      <c r="B11" s="53">
        <v>409.2</v>
      </c>
      <c r="C11" s="53">
        <v>409.2</v>
      </c>
    </row>
    <row r="12" spans="1:11">
      <c r="A12" s="25">
        <v>5</v>
      </c>
      <c r="B12" s="53">
        <v>481.09999999999997</v>
      </c>
      <c r="C12" s="53">
        <v>481.09999999999997</v>
      </c>
    </row>
    <row r="13" spans="1:11">
      <c r="A13" s="25">
        <v>6</v>
      </c>
      <c r="B13" s="53">
        <v>537.20000000000005</v>
      </c>
      <c r="C13" s="53">
        <v>537.20000000000005</v>
      </c>
    </row>
    <row r="14" spans="1:11">
      <c r="A14" s="25">
        <v>7</v>
      </c>
      <c r="B14" s="53">
        <v>484.59999999999997</v>
      </c>
      <c r="C14" s="53">
        <v>484.59999999999997</v>
      </c>
    </row>
    <row r="15" spans="1:11">
      <c r="A15" s="25">
        <v>8</v>
      </c>
      <c r="B15" s="53">
        <v>391.70000000000005</v>
      </c>
      <c r="C15" s="53">
        <v>391.70000000000005</v>
      </c>
    </row>
    <row r="16" spans="1:11">
      <c r="A16" s="25">
        <v>9</v>
      </c>
      <c r="B16" s="53">
        <v>359.09999999999991</v>
      </c>
      <c r="C16" s="53">
        <v>359.09999999999991</v>
      </c>
    </row>
    <row r="17" spans="1:3">
      <c r="A17" s="25">
        <v>10</v>
      </c>
      <c r="B17" s="53">
        <v>560.79999999999995</v>
      </c>
      <c r="C17" s="53">
        <v>560.79999999999995</v>
      </c>
    </row>
    <row r="18" spans="1:3">
      <c r="A18" s="25">
        <v>11</v>
      </c>
      <c r="B18" s="53">
        <v>424.3</v>
      </c>
      <c r="C18" s="53">
        <v>424.3</v>
      </c>
    </row>
    <row r="19" spans="1:3">
      <c r="A19" s="25">
        <v>12</v>
      </c>
      <c r="B19" s="53">
        <v>745.8</v>
      </c>
      <c r="C19" s="53">
        <v>745.8</v>
      </c>
    </row>
    <row r="20" spans="1:3">
      <c r="A20" s="25">
        <v>13</v>
      </c>
      <c r="B20" s="53">
        <v>370.79999999999995</v>
      </c>
      <c r="C20" s="53">
        <v>370.79999999999995</v>
      </c>
    </row>
    <row r="21" spans="1:3">
      <c r="A21" s="25">
        <v>14</v>
      </c>
      <c r="B21" s="53">
        <v>385.9</v>
      </c>
      <c r="C21" s="53">
        <v>385.9</v>
      </c>
    </row>
    <row r="22" spans="1:3">
      <c r="A22" s="25">
        <v>15</v>
      </c>
      <c r="B22" s="53">
        <v>503.1</v>
      </c>
      <c r="C22" s="53">
        <v>503.1</v>
      </c>
    </row>
    <row r="23" spans="1:3">
      <c r="A23" s="25">
        <v>16</v>
      </c>
      <c r="B23" s="53">
        <v>333.4</v>
      </c>
      <c r="C23" s="53">
        <v>333.4</v>
      </c>
    </row>
    <row r="24" spans="1:3">
      <c r="A24" s="25">
        <v>17</v>
      </c>
      <c r="B24" s="53">
        <v>599.6</v>
      </c>
      <c r="C24" s="53">
        <v>599.6</v>
      </c>
    </row>
    <row r="25" spans="1:3">
      <c r="A25" s="25">
        <v>18</v>
      </c>
      <c r="B25" s="53">
        <v>369.20000000000005</v>
      </c>
      <c r="C25" s="53">
        <v>369.20000000000005</v>
      </c>
    </row>
    <row r="26" spans="1:3">
      <c r="A26" s="25">
        <v>19</v>
      </c>
      <c r="B26" s="53">
        <v>310</v>
      </c>
      <c r="C26" s="53">
        <v>310</v>
      </c>
    </row>
    <row r="27" spans="1:3">
      <c r="A27" s="25">
        <v>20</v>
      </c>
      <c r="B27" s="53">
        <v>541.80000000000007</v>
      </c>
      <c r="C27" s="53">
        <v>541.80000000000007</v>
      </c>
    </row>
    <row r="28" spans="1:3">
      <c r="A28" s="25">
        <v>21</v>
      </c>
      <c r="B28" s="53">
        <v>410.2</v>
      </c>
      <c r="C28" s="53">
        <v>410.2</v>
      </c>
    </row>
    <row r="29" spans="1:3">
      <c r="A29" s="25">
        <v>22</v>
      </c>
      <c r="B29" s="53">
        <v>243.4</v>
      </c>
      <c r="C29" s="53">
        <v>243.4</v>
      </c>
    </row>
    <row r="30" spans="1:3">
      <c r="A30" s="25">
        <v>23</v>
      </c>
      <c r="B30" s="53">
        <v>257.60000000000002</v>
      </c>
      <c r="C30" s="53">
        <v>257.60000000000002</v>
      </c>
    </row>
    <row r="31" spans="1:3">
      <c r="A31" s="25">
        <v>24</v>
      </c>
      <c r="B31" s="53">
        <v>556.79999999999995</v>
      </c>
      <c r="C31" s="53">
        <v>556.79999999999995</v>
      </c>
    </row>
    <row r="32" spans="1:3">
      <c r="A32" s="25">
        <v>25</v>
      </c>
      <c r="B32" s="53">
        <v>607</v>
      </c>
      <c r="C32" s="53">
        <v>607</v>
      </c>
    </row>
    <row r="33" spans="1:3">
      <c r="A33" s="25">
        <v>26</v>
      </c>
      <c r="B33" s="53">
        <v>296.90000000000003</v>
      </c>
      <c r="C33" s="53">
        <v>296.90000000000003</v>
      </c>
    </row>
    <row r="34" spans="1:3">
      <c r="A34" s="25">
        <v>27</v>
      </c>
      <c r="B34" s="53">
        <v>211.6</v>
      </c>
      <c r="C34" s="53">
        <v>211.6</v>
      </c>
    </row>
    <row r="35" spans="1:3">
      <c r="A35" s="25">
        <v>28</v>
      </c>
      <c r="B35" s="53">
        <v>590.4</v>
      </c>
      <c r="C35" s="53">
        <v>590.4</v>
      </c>
    </row>
    <row r="36" spans="1:3">
      <c r="A36" s="25">
        <v>29</v>
      </c>
      <c r="B36" s="53">
        <v>686.9</v>
      </c>
      <c r="C36" s="53">
        <v>686.9</v>
      </c>
    </row>
    <row r="37" spans="1:3">
      <c r="A37" s="25">
        <v>30</v>
      </c>
      <c r="B37" s="53">
        <v>571.79999999999995</v>
      </c>
      <c r="C37" s="53">
        <v>571.79999999999995</v>
      </c>
    </row>
    <row r="42" spans="1:3">
      <c r="A42" s="34" t="s">
        <v>694</v>
      </c>
      <c r="B42" s="34" t="s">
        <v>695</v>
      </c>
    </row>
    <row r="43" spans="1:3">
      <c r="A43" s="25" t="s">
        <v>101</v>
      </c>
      <c r="B43" s="53">
        <v>878.3</v>
      </c>
    </row>
    <row r="44" spans="1:3">
      <c r="A44" s="25" t="s">
        <v>329</v>
      </c>
      <c r="B44" s="53">
        <v>243.5</v>
      </c>
    </row>
    <row r="45" spans="1:3">
      <c r="A45" s="25" t="s">
        <v>123</v>
      </c>
      <c r="B45" s="53">
        <v>425.1</v>
      </c>
    </row>
    <row r="46" spans="1:3">
      <c r="A46" s="25" t="s">
        <v>213</v>
      </c>
      <c r="B46" s="53">
        <v>414.1</v>
      </c>
    </row>
    <row r="47" spans="1:3">
      <c r="A47" s="25" t="s">
        <v>68</v>
      </c>
      <c r="B47" s="53">
        <v>1078.9000000000001</v>
      </c>
    </row>
    <row r="48" spans="1:3">
      <c r="A48" s="25" t="s">
        <v>35</v>
      </c>
      <c r="B48" s="53">
        <v>925</v>
      </c>
    </row>
    <row r="49" spans="1:4">
      <c r="A49" s="25" t="s">
        <v>47</v>
      </c>
      <c r="B49" s="53">
        <v>804.19999999999993</v>
      </c>
    </row>
    <row r="50" spans="1:4">
      <c r="A50" s="25" t="s">
        <v>15</v>
      </c>
      <c r="B50" s="53">
        <v>213.79999999999998</v>
      </c>
    </row>
    <row r="51" spans="1:4">
      <c r="A51" s="25" t="s">
        <v>252</v>
      </c>
      <c r="B51" s="53">
        <v>1194.3999999999999</v>
      </c>
    </row>
    <row r="52" spans="1:4">
      <c r="A52" s="25" t="s">
        <v>357</v>
      </c>
      <c r="B52" s="53">
        <v>286</v>
      </c>
    </row>
    <row r="53" spans="1:4">
      <c r="A53" s="25" t="s">
        <v>269</v>
      </c>
      <c r="B53" s="53">
        <v>873.10000000000014</v>
      </c>
    </row>
    <row r="54" spans="1:4">
      <c r="A54" s="25" t="s">
        <v>60</v>
      </c>
      <c r="B54" s="53">
        <v>1140.6000000000001</v>
      </c>
    </row>
    <row r="55" spans="1:4">
      <c r="A55" s="25" t="s">
        <v>256</v>
      </c>
      <c r="B55" s="53">
        <v>649.70000000000005</v>
      </c>
    </row>
    <row r="56" spans="1:4">
      <c r="A56" s="25" t="s">
        <v>26</v>
      </c>
      <c r="B56" s="53">
        <v>829.5</v>
      </c>
    </row>
    <row r="57" spans="1:4">
      <c r="A57" s="25" t="s">
        <v>131</v>
      </c>
      <c r="B57" s="53">
        <v>1530</v>
      </c>
    </row>
    <row r="58" spans="1:4">
      <c r="A58" s="25" t="s">
        <v>146</v>
      </c>
      <c r="B58" s="53">
        <v>1474.3</v>
      </c>
    </row>
    <row r="63" spans="1:4">
      <c r="A63" s="34" t="s">
        <v>694</v>
      </c>
      <c r="B63" s="34" t="s">
        <v>695</v>
      </c>
      <c r="C63" s="35" t="s">
        <v>709</v>
      </c>
      <c r="D63" s="35" t="s">
        <v>710</v>
      </c>
    </row>
    <row r="64" spans="1:4">
      <c r="A64" s="25" t="s">
        <v>83</v>
      </c>
      <c r="B64" s="53">
        <v>2050.3999999999996</v>
      </c>
      <c r="C64" t="str">
        <f>A64</f>
        <v>Distributor</v>
      </c>
      <c r="D64">
        <f>B64</f>
        <v>2050.3999999999996</v>
      </c>
    </row>
    <row r="65" spans="1:7">
      <c r="A65" s="25" t="s">
        <v>73</v>
      </c>
      <c r="B65" s="53">
        <v>1961</v>
      </c>
      <c r="C65" t="str">
        <f t="shared" ref="C65:C68" si="0">A65</f>
        <v>Email</v>
      </c>
      <c r="D65">
        <f t="shared" ref="D65:D68" si="1">B65</f>
        <v>1961</v>
      </c>
    </row>
    <row r="66" spans="1:7">
      <c r="A66" s="25" t="s">
        <v>20</v>
      </c>
      <c r="B66" s="53">
        <v>2386.0000000000005</v>
      </c>
      <c r="C66" t="str">
        <f t="shared" si="0"/>
        <v>Online</v>
      </c>
      <c r="D66">
        <f t="shared" si="1"/>
        <v>2386.0000000000005</v>
      </c>
    </row>
    <row r="67" spans="1:7">
      <c r="A67" s="25" t="s">
        <v>92</v>
      </c>
      <c r="B67" s="53">
        <v>4773.3000000000011</v>
      </c>
      <c r="C67" t="str">
        <f t="shared" si="0"/>
        <v>Phone</v>
      </c>
      <c r="D67">
        <f t="shared" si="1"/>
        <v>4773.3000000000011</v>
      </c>
    </row>
    <row r="68" spans="1:7">
      <c r="A68" s="25" t="s">
        <v>51</v>
      </c>
      <c r="B68" s="53">
        <v>1789.8</v>
      </c>
      <c r="C68" t="str">
        <f t="shared" si="0"/>
        <v>Sales Rep</v>
      </c>
      <c r="D68">
        <f t="shared" si="1"/>
        <v>1789.8</v>
      </c>
    </row>
    <row r="73" spans="1:7">
      <c r="A73" s="34" t="s">
        <v>694</v>
      </c>
      <c r="B73" s="34" t="s">
        <v>695</v>
      </c>
    </row>
    <row r="74" spans="1:7">
      <c r="A74" s="25" t="s">
        <v>100</v>
      </c>
      <c r="B74" s="53">
        <v>1465</v>
      </c>
    </row>
    <row r="75" spans="1:7">
      <c r="A75" s="25" t="s">
        <v>74</v>
      </c>
      <c r="B75" s="53">
        <v>3052.4</v>
      </c>
    </row>
    <row r="76" spans="1:7">
      <c r="A76" s="25" t="s">
        <v>88</v>
      </c>
      <c r="B76" s="53">
        <v>2336.1999999999998</v>
      </c>
    </row>
    <row r="77" spans="1:7">
      <c r="A77" s="25" t="s">
        <v>130</v>
      </c>
      <c r="B77" s="53">
        <v>1610.4000000000003</v>
      </c>
    </row>
    <row r="78" spans="1:7">
      <c r="A78" s="25" t="s">
        <v>21</v>
      </c>
      <c r="B78" s="53">
        <v>4496.4999999999991</v>
      </c>
      <c r="G78">
        <v>936.5</v>
      </c>
    </row>
    <row r="79" spans="1:7">
      <c r="F79">
        <v>836.5</v>
      </c>
      <c r="G79">
        <v>100</v>
      </c>
    </row>
    <row r="83" spans="1:9">
      <c r="A83" s="34" t="s">
        <v>694</v>
      </c>
      <c r="B83" s="34" t="s">
        <v>707</v>
      </c>
      <c r="C83" s="34" t="s">
        <v>697</v>
      </c>
      <c r="D83" s="30" t="s">
        <v>315</v>
      </c>
      <c r="E83" s="30" t="s">
        <v>701</v>
      </c>
      <c r="F83" s="30" t="s">
        <v>706</v>
      </c>
      <c r="G83" s="30" t="s">
        <v>702</v>
      </c>
      <c r="H83" s="30" t="s">
        <v>690</v>
      </c>
      <c r="I83" s="30" t="s">
        <v>703</v>
      </c>
    </row>
    <row r="84" spans="1:9">
      <c r="A84" s="25" t="s">
        <v>39</v>
      </c>
      <c r="B84" s="23">
        <v>148.17499999999998</v>
      </c>
      <c r="C84" s="27">
        <v>118.82499999999999</v>
      </c>
      <c r="D84" t="str">
        <f>A84</f>
        <v>Cola</v>
      </c>
      <c r="E84" s="27">
        <f>($F$79+$G$79)-F84</f>
        <v>788.32500000000005</v>
      </c>
      <c r="F84" s="27">
        <f>B84</f>
        <v>148.17499999999998</v>
      </c>
      <c r="G84">
        <v>200</v>
      </c>
      <c r="H84" s="27">
        <f>C84</f>
        <v>118.82499999999999</v>
      </c>
      <c r="I84" s="27">
        <f>728.5-H84</f>
        <v>609.67499999999995</v>
      </c>
    </row>
    <row r="85" spans="1:9">
      <c r="A85" s="25" t="s">
        <v>31</v>
      </c>
      <c r="B85" s="23">
        <v>179.54999999999998</v>
      </c>
      <c r="C85" s="27">
        <v>164.25</v>
      </c>
      <c r="D85" t="str">
        <f t="shared" ref="D85:D104" si="2">A85</f>
        <v>Sparkling Water</v>
      </c>
      <c r="E85" s="27">
        <f t="shared" ref="E85:E103" si="3">($F$79+$G$79)-F85</f>
        <v>756.95</v>
      </c>
      <c r="F85" s="27">
        <f t="shared" ref="F85:F103" si="4">B85</f>
        <v>179.54999999999998</v>
      </c>
      <c r="G85">
        <v>200</v>
      </c>
      <c r="H85" s="27">
        <f t="shared" ref="H85:H103" si="5">C85</f>
        <v>164.25</v>
      </c>
      <c r="I85" s="27">
        <f t="shared" ref="I85:I103" si="6">728.5-H85</f>
        <v>564.25</v>
      </c>
    </row>
    <row r="86" spans="1:9">
      <c r="A86" s="25" t="s">
        <v>118</v>
      </c>
      <c r="B86" s="23">
        <v>192.26</v>
      </c>
      <c r="C86" s="27">
        <v>153.54</v>
      </c>
      <c r="D86" t="str">
        <f t="shared" si="2"/>
        <v>Tonic Water</v>
      </c>
      <c r="E86" s="27">
        <f t="shared" si="3"/>
        <v>744.24</v>
      </c>
      <c r="F86" s="27">
        <f t="shared" si="4"/>
        <v>192.26</v>
      </c>
      <c r="G86">
        <v>200</v>
      </c>
      <c r="H86" s="27">
        <f t="shared" si="5"/>
        <v>153.54</v>
      </c>
      <c r="I86" s="27">
        <f t="shared" si="6"/>
        <v>574.96</v>
      </c>
    </row>
    <row r="87" spans="1:9">
      <c r="A87" s="25" t="s">
        <v>174</v>
      </c>
      <c r="B87" s="23">
        <v>206.26999999999998</v>
      </c>
      <c r="C87" s="27">
        <v>163.33000000000004</v>
      </c>
      <c r="D87" t="str">
        <f t="shared" si="2"/>
        <v>Grape Soda</v>
      </c>
      <c r="E87" s="27">
        <f t="shared" si="3"/>
        <v>730.23</v>
      </c>
      <c r="F87" s="27">
        <f t="shared" si="4"/>
        <v>206.26999999999998</v>
      </c>
      <c r="G87">
        <v>200</v>
      </c>
      <c r="H87" s="27">
        <f t="shared" si="5"/>
        <v>163.33000000000004</v>
      </c>
      <c r="I87" s="27">
        <f t="shared" si="6"/>
        <v>565.16999999999996</v>
      </c>
    </row>
    <row r="88" spans="1:9">
      <c r="A88" s="25" t="s">
        <v>662</v>
      </c>
      <c r="B88" s="23">
        <v>258.81</v>
      </c>
      <c r="C88" s="27">
        <v>209.99000000000004</v>
      </c>
      <c r="D88" t="str">
        <f t="shared" si="2"/>
        <v>Orange Soda</v>
      </c>
      <c r="E88" s="27">
        <f t="shared" si="3"/>
        <v>677.69</v>
      </c>
      <c r="F88" s="27">
        <f t="shared" si="4"/>
        <v>258.81</v>
      </c>
      <c r="G88">
        <v>200</v>
      </c>
      <c r="H88" s="27">
        <f t="shared" si="5"/>
        <v>209.99000000000004</v>
      </c>
      <c r="I88" s="27">
        <f t="shared" si="6"/>
        <v>518.51</v>
      </c>
    </row>
    <row r="89" spans="1:9">
      <c r="A89" s="25" t="s">
        <v>181</v>
      </c>
      <c r="B89" s="23">
        <v>264.21000000000004</v>
      </c>
      <c r="C89" s="27">
        <v>184.58999999999995</v>
      </c>
      <c r="D89" t="str">
        <f t="shared" si="2"/>
        <v>Pineapple Juice</v>
      </c>
      <c r="E89" s="27">
        <f t="shared" si="3"/>
        <v>672.29</v>
      </c>
      <c r="F89" s="27">
        <f t="shared" si="4"/>
        <v>264.21000000000004</v>
      </c>
      <c r="G89">
        <v>200</v>
      </c>
      <c r="H89" s="27">
        <f t="shared" si="5"/>
        <v>184.58999999999995</v>
      </c>
      <c r="I89" s="27">
        <f t="shared" si="6"/>
        <v>543.91000000000008</v>
      </c>
    </row>
    <row r="90" spans="1:9">
      <c r="A90" s="25" t="s">
        <v>202</v>
      </c>
      <c r="B90" s="23">
        <v>268.52499999999998</v>
      </c>
      <c r="C90" s="27">
        <v>205.77499999999998</v>
      </c>
      <c r="D90" t="str">
        <f t="shared" si="2"/>
        <v>Zero Cola</v>
      </c>
      <c r="E90" s="27">
        <f t="shared" si="3"/>
        <v>667.97500000000002</v>
      </c>
      <c r="F90" s="27">
        <f t="shared" si="4"/>
        <v>268.52499999999998</v>
      </c>
      <c r="G90">
        <v>200</v>
      </c>
      <c r="H90" s="27">
        <f t="shared" si="5"/>
        <v>205.77499999999998</v>
      </c>
      <c r="I90" s="27">
        <f t="shared" si="6"/>
        <v>522.72500000000002</v>
      </c>
    </row>
    <row r="91" spans="1:9">
      <c r="A91" s="25" t="s">
        <v>154</v>
      </c>
      <c r="B91" s="23">
        <v>296.60000000000002</v>
      </c>
      <c r="C91" s="27">
        <v>285.39999999999998</v>
      </c>
      <c r="D91" t="str">
        <f t="shared" si="2"/>
        <v xml:space="preserve">Mineral Water
</v>
      </c>
      <c r="E91" s="27">
        <f t="shared" si="3"/>
        <v>639.9</v>
      </c>
      <c r="F91" s="27">
        <f t="shared" si="4"/>
        <v>296.60000000000002</v>
      </c>
      <c r="G91">
        <v>200</v>
      </c>
      <c r="H91" s="27">
        <f t="shared" si="5"/>
        <v>285.39999999999998</v>
      </c>
      <c r="I91" s="27">
        <f t="shared" si="6"/>
        <v>443.1</v>
      </c>
    </row>
    <row r="92" spans="1:9">
      <c r="A92" s="25" t="s">
        <v>669</v>
      </c>
      <c r="B92" s="23">
        <v>297.14999999999998</v>
      </c>
      <c r="C92" s="27">
        <v>261.45</v>
      </c>
      <c r="D92" t="str">
        <f t="shared" si="2"/>
        <v>Spring Water</v>
      </c>
      <c r="E92" s="27">
        <f t="shared" si="3"/>
        <v>639.35</v>
      </c>
      <c r="F92" s="27">
        <f t="shared" si="4"/>
        <v>297.14999999999998</v>
      </c>
      <c r="G92">
        <v>200</v>
      </c>
      <c r="H92" s="27">
        <f t="shared" si="5"/>
        <v>261.45</v>
      </c>
      <c r="I92" s="27">
        <f t="shared" si="6"/>
        <v>467.05</v>
      </c>
    </row>
    <row r="93" spans="1:9">
      <c r="A93" s="25" t="s">
        <v>665</v>
      </c>
      <c r="B93" s="23">
        <v>297.28499999999997</v>
      </c>
      <c r="C93" s="27">
        <v>208.81500000000005</v>
      </c>
      <c r="D93" t="str">
        <f t="shared" si="2"/>
        <v>Berry Splash</v>
      </c>
      <c r="E93" s="27">
        <f t="shared" si="3"/>
        <v>639.21500000000003</v>
      </c>
      <c r="F93" s="27">
        <f t="shared" si="4"/>
        <v>297.28499999999997</v>
      </c>
      <c r="G93">
        <v>200</v>
      </c>
      <c r="H93" s="27">
        <f t="shared" si="5"/>
        <v>208.81500000000005</v>
      </c>
      <c r="I93" s="27">
        <f t="shared" si="6"/>
        <v>519.68499999999995</v>
      </c>
    </row>
    <row r="94" spans="1:9">
      <c r="A94" s="25" t="s">
        <v>661</v>
      </c>
      <c r="B94" s="23">
        <v>309.29999999999995</v>
      </c>
      <c r="C94" s="27">
        <v>288.29999999999995</v>
      </c>
      <c r="D94" t="str">
        <f t="shared" si="2"/>
        <v>Still Water</v>
      </c>
      <c r="E94" s="27">
        <f t="shared" si="3"/>
        <v>627.20000000000005</v>
      </c>
      <c r="F94" s="27">
        <f t="shared" si="4"/>
        <v>309.29999999999995</v>
      </c>
      <c r="G94">
        <v>200</v>
      </c>
      <c r="H94" s="27">
        <f t="shared" si="5"/>
        <v>288.29999999999995</v>
      </c>
      <c r="I94" s="27">
        <f t="shared" si="6"/>
        <v>440.20000000000005</v>
      </c>
    </row>
    <row r="95" spans="1:9">
      <c r="A95" s="25" t="s">
        <v>209</v>
      </c>
      <c r="B95" s="23">
        <v>322.39999999999998</v>
      </c>
      <c r="C95" s="27">
        <v>259.60000000000002</v>
      </c>
      <c r="D95" t="str">
        <f t="shared" si="2"/>
        <v>Kids Juice</v>
      </c>
      <c r="E95" s="27">
        <f t="shared" si="3"/>
        <v>614.1</v>
      </c>
      <c r="F95" s="27">
        <f t="shared" si="4"/>
        <v>322.39999999999998</v>
      </c>
      <c r="G95">
        <v>200</v>
      </c>
      <c r="H95" s="27">
        <f t="shared" si="5"/>
        <v>259.60000000000002</v>
      </c>
      <c r="I95" s="27">
        <f t="shared" si="6"/>
        <v>468.9</v>
      </c>
    </row>
    <row r="96" spans="1:9">
      <c r="A96" s="25" t="s">
        <v>668</v>
      </c>
      <c r="B96" s="23">
        <v>401.55</v>
      </c>
      <c r="C96" s="27">
        <v>313.45000000000005</v>
      </c>
      <c r="D96" t="str">
        <f t="shared" si="2"/>
        <v>Peach Tea</v>
      </c>
      <c r="E96" s="27">
        <f t="shared" si="3"/>
        <v>534.95000000000005</v>
      </c>
      <c r="F96" s="27">
        <f t="shared" si="4"/>
        <v>401.55</v>
      </c>
      <c r="G96">
        <v>200</v>
      </c>
      <c r="H96" s="27">
        <f t="shared" si="5"/>
        <v>313.45000000000005</v>
      </c>
      <c r="I96" s="27">
        <f t="shared" si="6"/>
        <v>415.04999999999995</v>
      </c>
    </row>
    <row r="97" spans="1:9">
      <c r="A97" s="25" t="s">
        <v>666</v>
      </c>
      <c r="B97" s="23">
        <v>409.815</v>
      </c>
      <c r="C97" s="27">
        <v>337.68499999999995</v>
      </c>
      <c r="D97" t="str">
        <f t="shared" si="2"/>
        <v>Mango Juice</v>
      </c>
      <c r="E97" s="27">
        <f t="shared" si="3"/>
        <v>526.68499999999995</v>
      </c>
      <c r="F97" s="27">
        <f t="shared" si="4"/>
        <v>409.815</v>
      </c>
      <c r="G97">
        <v>200</v>
      </c>
      <c r="H97" s="27">
        <f t="shared" si="5"/>
        <v>337.68499999999995</v>
      </c>
      <c r="I97" s="27">
        <f t="shared" si="6"/>
        <v>390.81500000000005</v>
      </c>
    </row>
    <row r="98" spans="1:9">
      <c r="A98" s="25" t="s">
        <v>85</v>
      </c>
      <c r="B98" s="23">
        <v>413.25000000000006</v>
      </c>
      <c r="C98" s="27">
        <v>343.24999999999994</v>
      </c>
      <c r="D98" t="str">
        <f t="shared" si="2"/>
        <v>Lemon Lime</v>
      </c>
      <c r="E98" s="27">
        <f t="shared" si="3"/>
        <v>523.25</v>
      </c>
      <c r="F98" s="27">
        <f t="shared" si="4"/>
        <v>413.25000000000006</v>
      </c>
      <c r="G98">
        <v>200</v>
      </c>
      <c r="H98" s="27">
        <f t="shared" si="5"/>
        <v>343.24999999999994</v>
      </c>
      <c r="I98" s="27">
        <f t="shared" si="6"/>
        <v>385.25000000000006</v>
      </c>
    </row>
    <row r="99" spans="1:9">
      <c r="A99" s="25" t="s">
        <v>663</v>
      </c>
      <c r="B99" s="23">
        <v>425.60000000000014</v>
      </c>
      <c r="C99" s="27">
        <v>342.39999999999986</v>
      </c>
      <c r="D99" t="str">
        <f t="shared" si="2"/>
        <v>Apple Juice</v>
      </c>
      <c r="E99" s="27">
        <f t="shared" si="3"/>
        <v>510.89999999999986</v>
      </c>
      <c r="F99" s="27">
        <f t="shared" si="4"/>
        <v>425.60000000000014</v>
      </c>
      <c r="G99">
        <v>200</v>
      </c>
      <c r="H99" s="27">
        <f t="shared" si="5"/>
        <v>342.39999999999986</v>
      </c>
      <c r="I99" s="27">
        <f t="shared" si="6"/>
        <v>386.10000000000014</v>
      </c>
    </row>
    <row r="100" spans="1:9">
      <c r="A100" s="25" t="s">
        <v>667</v>
      </c>
      <c r="B100" s="23">
        <v>465.59499999999991</v>
      </c>
      <c r="C100" s="27">
        <v>398.90499999999997</v>
      </c>
      <c r="D100" t="str">
        <f t="shared" si="2"/>
        <v>Vitamin Water</v>
      </c>
      <c r="E100" s="27">
        <f t="shared" si="3"/>
        <v>470.90500000000009</v>
      </c>
      <c r="F100" s="27">
        <f t="shared" si="4"/>
        <v>465.59499999999991</v>
      </c>
      <c r="G100">
        <v>200</v>
      </c>
      <c r="H100" s="27">
        <f t="shared" si="5"/>
        <v>398.90499999999997</v>
      </c>
      <c r="I100" s="27">
        <f t="shared" si="6"/>
        <v>329.59500000000003</v>
      </c>
    </row>
    <row r="101" spans="1:9">
      <c r="A101" s="25" t="s">
        <v>128</v>
      </c>
      <c r="B101" s="23">
        <v>538.23</v>
      </c>
      <c r="C101" s="27">
        <v>357.17</v>
      </c>
      <c r="D101" t="str">
        <f t="shared" si="2"/>
        <v>Iced Tea</v>
      </c>
      <c r="E101" s="27">
        <f t="shared" si="3"/>
        <v>398.27</v>
      </c>
      <c r="F101" s="27">
        <f t="shared" si="4"/>
        <v>538.23</v>
      </c>
      <c r="G101">
        <v>200</v>
      </c>
      <c r="H101" s="27">
        <f t="shared" si="5"/>
        <v>357.17</v>
      </c>
      <c r="I101" s="27">
        <f t="shared" si="6"/>
        <v>371.33</v>
      </c>
    </row>
    <row r="102" spans="1:9">
      <c r="A102" s="25" t="s">
        <v>166</v>
      </c>
      <c r="B102" s="23">
        <v>670.28999999999985</v>
      </c>
      <c r="C102" s="27">
        <v>533.9100000000002</v>
      </c>
      <c r="D102" t="str">
        <f t="shared" si="2"/>
        <v>Sparkling Citrus</v>
      </c>
      <c r="E102" s="27">
        <f t="shared" si="3"/>
        <v>266.21000000000015</v>
      </c>
      <c r="F102" s="27">
        <f t="shared" si="4"/>
        <v>670.28999999999985</v>
      </c>
      <c r="G102">
        <v>200</v>
      </c>
      <c r="H102" s="27">
        <f t="shared" si="5"/>
        <v>533.9100000000002</v>
      </c>
      <c r="I102" s="27">
        <f t="shared" si="6"/>
        <v>194.5899999999998</v>
      </c>
    </row>
    <row r="103" spans="1:9">
      <c r="A103" s="25" t="s">
        <v>664</v>
      </c>
      <c r="B103" s="23">
        <v>836.52500000000009</v>
      </c>
      <c r="C103" s="27">
        <v>628.47500000000002</v>
      </c>
      <c r="D103" t="str">
        <f t="shared" si="2"/>
        <v>Energy Boost</v>
      </c>
      <c r="E103" s="27">
        <f t="shared" si="3"/>
        <v>99.974999999999909</v>
      </c>
      <c r="F103" s="27">
        <f t="shared" si="4"/>
        <v>836.52500000000009</v>
      </c>
      <c r="G103">
        <v>200</v>
      </c>
      <c r="H103" s="27">
        <f t="shared" si="5"/>
        <v>628.47500000000002</v>
      </c>
      <c r="I103" s="27">
        <f t="shared" si="6"/>
        <v>100.02499999999998</v>
      </c>
    </row>
    <row r="104" spans="1:9">
      <c r="D104">
        <f t="shared" si="2"/>
        <v>0</v>
      </c>
      <c r="E104" s="23"/>
      <c r="F104" s="27"/>
      <c r="H104" s="27"/>
      <c r="I104" s="27"/>
    </row>
    <row r="106" spans="1:9">
      <c r="A106" s="34" t="s">
        <v>18</v>
      </c>
      <c r="B106" s="34" t="s">
        <v>695</v>
      </c>
      <c r="C106" s="30" t="s">
        <v>704</v>
      </c>
      <c r="D106" s="30" t="s">
        <v>705</v>
      </c>
      <c r="E106" s="30" t="s">
        <v>702</v>
      </c>
    </row>
    <row r="107" spans="1:9">
      <c r="A107" s="25" t="s">
        <v>18</v>
      </c>
      <c r="B107" s="53">
        <v>2113.8999999999996</v>
      </c>
      <c r="C107" t="str">
        <f>A107</f>
        <v>Café</v>
      </c>
      <c r="D107">
        <f>B107</f>
        <v>2113.8999999999996</v>
      </c>
      <c r="E107">
        <v>200</v>
      </c>
    </row>
    <row r="108" spans="1:9">
      <c r="A108" s="25" t="s">
        <v>140</v>
      </c>
      <c r="B108" s="53">
        <v>2347.9999999999995</v>
      </c>
      <c r="C108" t="str">
        <f t="shared" ref="C108:C112" si="7">A108</f>
        <v>Hotel</v>
      </c>
      <c r="D108">
        <f t="shared" ref="D108:D112" si="8">B108</f>
        <v>2347.9999999999995</v>
      </c>
      <c r="E108">
        <v>200</v>
      </c>
    </row>
    <row r="109" spans="1:9">
      <c r="A109" s="25" t="s">
        <v>70</v>
      </c>
      <c r="B109" s="53">
        <v>3121</v>
      </c>
      <c r="C109" t="str">
        <f t="shared" si="7"/>
        <v>Restaurant</v>
      </c>
      <c r="D109">
        <f t="shared" si="8"/>
        <v>3121</v>
      </c>
      <c r="E109">
        <v>200</v>
      </c>
    </row>
    <row r="110" spans="1:9">
      <c r="A110" s="25" t="s">
        <v>48</v>
      </c>
      <c r="B110" s="53">
        <v>2202.8999999999996</v>
      </c>
      <c r="C110" t="str">
        <f t="shared" si="7"/>
        <v>Retailer</v>
      </c>
      <c r="D110">
        <f t="shared" si="8"/>
        <v>2202.8999999999996</v>
      </c>
      <c r="E110">
        <v>200</v>
      </c>
    </row>
    <row r="111" spans="1:9">
      <c r="A111" s="25" t="s">
        <v>111</v>
      </c>
      <c r="B111" s="53">
        <v>760.8</v>
      </c>
      <c r="C111" t="str">
        <f t="shared" si="7"/>
        <v>Supermarket</v>
      </c>
      <c r="D111">
        <f t="shared" si="8"/>
        <v>760.8</v>
      </c>
      <c r="E111">
        <v>200</v>
      </c>
    </row>
    <row r="112" spans="1:9">
      <c r="A112" s="25" t="s">
        <v>27</v>
      </c>
      <c r="B112" s="53">
        <v>2413.8999999999996</v>
      </c>
      <c r="C112" t="str">
        <f t="shared" si="7"/>
        <v>Wholesaler</v>
      </c>
      <c r="D112">
        <f t="shared" si="8"/>
        <v>2413.8999999999996</v>
      </c>
      <c r="E112">
        <v>200</v>
      </c>
    </row>
    <row r="116" spans="1:7">
      <c r="A116" s="52" t="s">
        <v>712</v>
      </c>
      <c r="B116" s="52"/>
      <c r="C116" s="52"/>
    </row>
    <row r="118" spans="1:7">
      <c r="A118" s="39" t="s">
        <v>6</v>
      </c>
      <c r="B118" s="39" t="s">
        <v>83</v>
      </c>
      <c r="C118" s="39" t="s">
        <v>73</v>
      </c>
      <c r="D118" s="39" t="s">
        <v>20</v>
      </c>
      <c r="E118" s="39" t="s">
        <v>92</v>
      </c>
      <c r="F118" s="39" t="s">
        <v>51</v>
      </c>
      <c r="G118" s="39" t="s">
        <v>492</v>
      </c>
    </row>
    <row r="119" spans="1:7">
      <c r="A119" t="s">
        <v>101</v>
      </c>
      <c r="B119">
        <f>SUMIFS(Orders[Gross_Sales],Orders[County],$A119,Orders[Preferred_Channel],B$118)</f>
        <v>69.900000000000006</v>
      </c>
      <c r="C119">
        <f>SUMIFS(Orders[Gross_Sales],Orders[County],$A119,Orders[Preferred_Channel],C$118)</f>
        <v>105.2</v>
      </c>
      <c r="D119">
        <f>SUMIFS(Orders[Gross_Sales],Orders[County],$A119,Orders[Preferred_Channel],D$118)</f>
        <v>0</v>
      </c>
      <c r="E119">
        <f>SUMIFS(Orders[Gross_Sales],Orders[County],$A119,Orders[Preferred_Channel],E$118)</f>
        <v>592.4</v>
      </c>
      <c r="F119">
        <f>SUMIFS(Orders[Gross_Sales],Orders[County],$A119,Orders[Preferred_Channel],F$118)</f>
        <v>110.8</v>
      </c>
      <c r="G119">
        <f>SUM(B119:F119)</f>
        <v>878.3</v>
      </c>
    </row>
    <row r="120" spans="1:7">
      <c r="A120" t="s">
        <v>329</v>
      </c>
      <c r="B120">
        <f>SUMIFS(Orders[Gross_Sales],Orders[County],$A120,Orders[Preferred_Channel],B$118)</f>
        <v>78.900000000000006</v>
      </c>
      <c r="C120">
        <f>SUMIFS(Orders[Gross_Sales],Orders[County],$A120,Orders[Preferred_Channel],C$118)</f>
        <v>128.5</v>
      </c>
      <c r="D120">
        <f>SUMIFS(Orders[Gross_Sales],Orders[County],$A120,Orders[Preferred_Channel],D$118)</f>
        <v>36.1</v>
      </c>
      <c r="E120">
        <f>SUMIFS(Orders[Gross_Sales],Orders[County],$A120,Orders[Preferred_Channel],E$118)</f>
        <v>0</v>
      </c>
      <c r="F120">
        <f>SUMIFS(Orders[Gross_Sales],Orders[County],$A120,Orders[Preferred_Channel],F$118)</f>
        <v>0</v>
      </c>
      <c r="G120">
        <f t="shared" ref="G120:G134" si="9">SUM(B120:F120)</f>
        <v>243.5</v>
      </c>
    </row>
    <row r="121" spans="1:7">
      <c r="A121" t="s">
        <v>123</v>
      </c>
      <c r="B121">
        <f>SUMIFS(Orders[Gross_Sales],Orders[County],$A121,Orders[Preferred_Channel],B$118)</f>
        <v>0</v>
      </c>
      <c r="C121">
        <f>SUMIFS(Orders[Gross_Sales],Orders[County],$A121,Orders[Preferred_Channel],C$118)</f>
        <v>89.3</v>
      </c>
      <c r="D121">
        <f>SUMIFS(Orders[Gross_Sales],Orders[County],$A121,Orders[Preferred_Channel],D$118)</f>
        <v>11.2</v>
      </c>
      <c r="E121">
        <f>SUMIFS(Orders[Gross_Sales],Orders[County],$A121,Orders[Preferred_Channel],E$118)</f>
        <v>138</v>
      </c>
      <c r="F121">
        <f>SUMIFS(Orders[Gross_Sales],Orders[County],$A121,Orders[Preferred_Channel],F$118)</f>
        <v>186.59999999999997</v>
      </c>
      <c r="G121">
        <f t="shared" si="9"/>
        <v>425.09999999999997</v>
      </c>
    </row>
    <row r="122" spans="1:7">
      <c r="A122" t="s">
        <v>213</v>
      </c>
      <c r="B122">
        <f>SUMIFS(Orders[Gross_Sales],Orders[County],$A122,Orders[Preferred_Channel],B$118)</f>
        <v>0</v>
      </c>
      <c r="C122">
        <f>SUMIFS(Orders[Gross_Sales],Orders[County],$A122,Orders[Preferred_Channel],C$118)</f>
        <v>0</v>
      </c>
      <c r="D122">
        <f>SUMIFS(Orders[Gross_Sales],Orders[County],$A122,Orders[Preferred_Channel],D$118)</f>
        <v>95.6</v>
      </c>
      <c r="E122">
        <f>SUMIFS(Orders[Gross_Sales],Orders[County],$A122,Orders[Preferred_Channel],E$118)</f>
        <v>318.5</v>
      </c>
      <c r="F122">
        <f>SUMIFS(Orders[Gross_Sales],Orders[County],$A122,Orders[Preferred_Channel],F$118)</f>
        <v>0</v>
      </c>
      <c r="G122">
        <f t="shared" si="9"/>
        <v>414.1</v>
      </c>
    </row>
    <row r="123" spans="1:7">
      <c r="A123" t="s">
        <v>68</v>
      </c>
      <c r="B123">
        <f>SUMIFS(Orders[Gross_Sales],Orders[County],$A123,Orders[Preferred_Channel],B$118)</f>
        <v>0</v>
      </c>
      <c r="C123">
        <f>SUMIFS(Orders[Gross_Sales],Orders[County],$A123,Orders[Preferred_Channel],C$118)</f>
        <v>200.60000000000002</v>
      </c>
      <c r="D123">
        <f>SUMIFS(Orders[Gross_Sales],Orders[County],$A123,Orders[Preferred_Channel],D$118)</f>
        <v>254.89999999999998</v>
      </c>
      <c r="E123">
        <f>SUMIFS(Orders[Gross_Sales],Orders[County],$A123,Orders[Preferred_Channel],E$118)</f>
        <v>422.2</v>
      </c>
      <c r="F123">
        <f>SUMIFS(Orders[Gross_Sales],Orders[County],$A123,Orders[Preferred_Channel],F$118)</f>
        <v>201.2</v>
      </c>
      <c r="G123">
        <f t="shared" si="9"/>
        <v>1078.9000000000001</v>
      </c>
    </row>
    <row r="124" spans="1:7">
      <c r="A124" t="s">
        <v>35</v>
      </c>
      <c r="B124">
        <f>SUMIFS(Orders[Gross_Sales],Orders[County],$A124,Orders[Preferred_Channel],B$118)</f>
        <v>434.00000000000006</v>
      </c>
      <c r="C124">
        <f>SUMIFS(Orders[Gross_Sales],Orders[County],$A124,Orders[Preferred_Channel],C$118)</f>
        <v>0</v>
      </c>
      <c r="D124">
        <f>SUMIFS(Orders[Gross_Sales],Orders[County],$A124,Orders[Preferred_Channel],D$118)</f>
        <v>199.39999999999998</v>
      </c>
      <c r="E124">
        <f>SUMIFS(Orders[Gross_Sales],Orders[County],$A124,Orders[Preferred_Channel],E$118)</f>
        <v>0</v>
      </c>
      <c r="F124">
        <f>SUMIFS(Orders[Gross_Sales],Orders[County],$A124,Orders[Preferred_Channel],F$118)</f>
        <v>291.60000000000002</v>
      </c>
      <c r="G124">
        <f t="shared" si="9"/>
        <v>925.00000000000011</v>
      </c>
    </row>
    <row r="125" spans="1:7">
      <c r="A125" t="s">
        <v>47</v>
      </c>
      <c r="B125">
        <f>SUMIFS(Orders[Gross_Sales],Orders[County],$A125,Orders[Preferred_Channel],B$118)</f>
        <v>0</v>
      </c>
      <c r="C125">
        <f>SUMIFS(Orders[Gross_Sales],Orders[County],$A125,Orders[Preferred_Channel],C$118)</f>
        <v>178.8</v>
      </c>
      <c r="D125">
        <f>SUMIFS(Orders[Gross_Sales],Orders[County],$A125,Orders[Preferred_Channel],D$118)</f>
        <v>262.5</v>
      </c>
      <c r="E125">
        <f>SUMIFS(Orders[Gross_Sales],Orders[County],$A125,Orders[Preferred_Channel],E$118)</f>
        <v>0</v>
      </c>
      <c r="F125">
        <f>SUMIFS(Orders[Gross_Sales],Orders[County],$A125,Orders[Preferred_Channel],F$118)</f>
        <v>362.9</v>
      </c>
      <c r="G125">
        <f t="shared" si="9"/>
        <v>804.2</v>
      </c>
    </row>
    <row r="126" spans="1:7">
      <c r="A126" t="s">
        <v>15</v>
      </c>
      <c r="B126">
        <f>SUMIFS(Orders[Gross_Sales],Orders[County],$A126,Orders[Preferred_Channel],B$118)</f>
        <v>0</v>
      </c>
      <c r="C126">
        <f>SUMIFS(Orders[Gross_Sales],Orders[County],$A126,Orders[Preferred_Channel],C$118)</f>
        <v>0</v>
      </c>
      <c r="D126">
        <f>SUMIFS(Orders[Gross_Sales],Orders[County],$A126,Orders[Preferred_Channel],D$118)</f>
        <v>91.3</v>
      </c>
      <c r="E126">
        <f>SUMIFS(Orders[Gross_Sales],Orders[County],$A126,Orders[Preferred_Channel],E$118)</f>
        <v>122.50000000000001</v>
      </c>
      <c r="F126">
        <f>SUMIFS(Orders[Gross_Sales],Orders[County],$A126,Orders[Preferred_Channel],F$118)</f>
        <v>0</v>
      </c>
      <c r="G126">
        <f t="shared" si="9"/>
        <v>213.8</v>
      </c>
    </row>
    <row r="127" spans="1:7">
      <c r="A127" t="s">
        <v>252</v>
      </c>
      <c r="B127">
        <f>SUMIFS(Orders[Gross_Sales],Orders[County],$A127,Orders[Preferred_Channel],B$118)</f>
        <v>157.1</v>
      </c>
      <c r="C127">
        <f>SUMIFS(Orders[Gross_Sales],Orders[County],$A127,Orders[Preferred_Channel],C$118)</f>
        <v>0</v>
      </c>
      <c r="D127">
        <f>SUMIFS(Orders[Gross_Sales],Orders[County],$A127,Orders[Preferred_Channel],D$118)</f>
        <v>0</v>
      </c>
      <c r="E127">
        <f>SUMIFS(Orders[Gross_Sales],Orders[County],$A127,Orders[Preferred_Channel],E$118)</f>
        <v>705.69999999999993</v>
      </c>
      <c r="F127">
        <f>SUMIFS(Orders[Gross_Sales],Orders[County],$A127,Orders[Preferred_Channel],F$118)</f>
        <v>331.59999999999997</v>
      </c>
      <c r="G127">
        <f t="shared" si="9"/>
        <v>1194.3999999999999</v>
      </c>
    </row>
    <row r="128" spans="1:7">
      <c r="A128" t="s">
        <v>357</v>
      </c>
      <c r="B128">
        <f>SUMIFS(Orders[Gross_Sales],Orders[County],$A128,Orders[Preferred_Channel],B$118)</f>
        <v>0</v>
      </c>
      <c r="C128">
        <f>SUMIFS(Orders[Gross_Sales],Orders[County],$A128,Orders[Preferred_Channel],C$118)</f>
        <v>73.599999999999994</v>
      </c>
      <c r="D128">
        <f>SUMIFS(Orders[Gross_Sales],Orders[County],$A128,Orders[Preferred_Channel],D$118)</f>
        <v>212.4</v>
      </c>
      <c r="E128">
        <f>SUMIFS(Orders[Gross_Sales],Orders[County],$A128,Orders[Preferred_Channel],E$118)</f>
        <v>0</v>
      </c>
      <c r="F128">
        <f>SUMIFS(Orders[Gross_Sales],Orders[County],$A128,Orders[Preferred_Channel],F$118)</f>
        <v>0</v>
      </c>
      <c r="G128">
        <f t="shared" si="9"/>
        <v>286</v>
      </c>
    </row>
    <row r="129" spans="1:7">
      <c r="A129" t="s">
        <v>269</v>
      </c>
      <c r="B129">
        <f>SUMIFS(Orders[Gross_Sales],Orders[County],$A129,Orders[Preferred_Channel],B$118)</f>
        <v>0</v>
      </c>
      <c r="C129">
        <f>SUMIFS(Orders[Gross_Sales],Orders[County],$A129,Orders[Preferred_Channel],C$118)</f>
        <v>142.80000000000001</v>
      </c>
      <c r="D129">
        <f>SUMIFS(Orders[Gross_Sales],Orders[County],$A129,Orders[Preferred_Channel],D$118)</f>
        <v>219.3</v>
      </c>
      <c r="E129">
        <f>SUMIFS(Orders[Gross_Sales],Orders[County],$A129,Orders[Preferred_Channel],E$118)</f>
        <v>511</v>
      </c>
      <c r="F129">
        <f>SUMIFS(Orders[Gross_Sales],Orders[County],$A129,Orders[Preferred_Channel],F$118)</f>
        <v>0</v>
      </c>
      <c r="G129">
        <f t="shared" si="9"/>
        <v>873.1</v>
      </c>
    </row>
    <row r="130" spans="1:7">
      <c r="A130" t="s">
        <v>60</v>
      </c>
      <c r="B130">
        <f>SUMIFS(Orders[Gross_Sales],Orders[County],$A130,Orders[Preferred_Channel],B$118)</f>
        <v>358.8</v>
      </c>
      <c r="C130">
        <f>SUMIFS(Orders[Gross_Sales],Orders[County],$A130,Orders[Preferred_Channel],C$118)</f>
        <v>116.7</v>
      </c>
      <c r="D130">
        <f>SUMIFS(Orders[Gross_Sales],Orders[County],$A130,Orders[Preferred_Channel],D$118)</f>
        <v>132</v>
      </c>
      <c r="E130">
        <f>SUMIFS(Orders[Gross_Sales],Orders[County],$A130,Orders[Preferred_Channel],E$118)</f>
        <v>247.79999999999995</v>
      </c>
      <c r="F130">
        <f>SUMIFS(Orders[Gross_Sales],Orders[County],$A130,Orders[Preferred_Channel],F$118)</f>
        <v>285.29999999999995</v>
      </c>
      <c r="G130">
        <f t="shared" si="9"/>
        <v>1140.5999999999999</v>
      </c>
    </row>
    <row r="131" spans="1:7">
      <c r="A131" t="s">
        <v>256</v>
      </c>
      <c r="B131">
        <f>SUMIFS(Orders[Gross_Sales],Orders[County],$A131,Orders[Preferred_Channel],B$118)</f>
        <v>528.1</v>
      </c>
      <c r="C131">
        <f>SUMIFS(Orders[Gross_Sales],Orders[County],$A131,Orders[Preferred_Channel],C$118)</f>
        <v>0</v>
      </c>
      <c r="D131">
        <f>SUMIFS(Orders[Gross_Sales],Orders[County],$A131,Orders[Preferred_Channel],D$118)</f>
        <v>0</v>
      </c>
      <c r="E131">
        <f>SUMIFS(Orders[Gross_Sales],Orders[County],$A131,Orders[Preferred_Channel],E$118)</f>
        <v>121.6</v>
      </c>
      <c r="F131">
        <f>SUMIFS(Orders[Gross_Sales],Orders[County],$A131,Orders[Preferred_Channel],F$118)</f>
        <v>0</v>
      </c>
      <c r="G131">
        <f t="shared" si="9"/>
        <v>649.70000000000005</v>
      </c>
    </row>
    <row r="132" spans="1:7">
      <c r="A132" t="s">
        <v>26</v>
      </c>
      <c r="B132">
        <f>SUMIFS(Orders[Gross_Sales],Orders[County],$A132,Orders[Preferred_Channel],B$118)</f>
        <v>41.8</v>
      </c>
      <c r="C132">
        <f>SUMIFS(Orders[Gross_Sales],Orders[County],$A132,Orders[Preferred_Channel],C$118)</f>
        <v>134.80000000000001</v>
      </c>
      <c r="D132">
        <f>SUMIFS(Orders[Gross_Sales],Orders[County],$A132,Orders[Preferred_Channel],D$118)</f>
        <v>116.80000000000001</v>
      </c>
      <c r="E132">
        <f>SUMIFS(Orders[Gross_Sales],Orders[County],$A132,Orders[Preferred_Channel],E$118)</f>
        <v>516.30000000000007</v>
      </c>
      <c r="F132">
        <f>SUMIFS(Orders[Gross_Sales],Orders[County],$A132,Orders[Preferred_Channel],F$118)</f>
        <v>19.8</v>
      </c>
      <c r="G132">
        <f t="shared" si="9"/>
        <v>829.5</v>
      </c>
    </row>
    <row r="133" spans="1:7">
      <c r="A133" t="s">
        <v>131</v>
      </c>
      <c r="B133">
        <f>SUMIFS(Orders[Gross_Sales],Orders[County],$A133,Orders[Preferred_Channel],B$118)</f>
        <v>226.1</v>
      </c>
      <c r="C133">
        <f>SUMIFS(Orders[Gross_Sales],Orders[County],$A133,Orders[Preferred_Channel],C$118)</f>
        <v>566.9</v>
      </c>
      <c r="D133">
        <f>SUMIFS(Orders[Gross_Sales],Orders[County],$A133,Orders[Preferred_Channel],D$118)</f>
        <v>250.40000000000003</v>
      </c>
      <c r="E133">
        <f>SUMIFS(Orders[Gross_Sales],Orders[County],$A133,Orders[Preferred_Channel],E$118)</f>
        <v>486.59999999999997</v>
      </c>
      <c r="F133">
        <f>SUMIFS(Orders[Gross_Sales],Orders[County],$A133,Orders[Preferred_Channel],F$118)</f>
        <v>0</v>
      </c>
      <c r="G133">
        <f t="shared" si="9"/>
        <v>1530</v>
      </c>
    </row>
    <row r="134" spans="1:7">
      <c r="A134" t="s">
        <v>146</v>
      </c>
      <c r="B134">
        <f>SUMIFS(Orders[Gross_Sales],Orders[County],$A134,Orders[Preferred_Channel],B$118)</f>
        <v>155.70000000000002</v>
      </c>
      <c r="C134">
        <f>SUMIFS(Orders[Gross_Sales],Orders[County],$A134,Orders[Preferred_Channel],C$118)</f>
        <v>223.79999999999998</v>
      </c>
      <c r="D134">
        <f>SUMIFS(Orders[Gross_Sales],Orders[County],$A134,Orders[Preferred_Channel],D$118)</f>
        <v>504.09999999999997</v>
      </c>
      <c r="E134">
        <f>SUMIFS(Orders[Gross_Sales],Orders[County],$A134,Orders[Preferred_Channel],E$118)</f>
        <v>590.69999999999993</v>
      </c>
      <c r="F134">
        <f>SUMIFS(Orders[Gross_Sales],Orders[County],$A134,Orders[Preferred_Channel],F$118)</f>
        <v>0</v>
      </c>
      <c r="G134">
        <f t="shared" si="9"/>
        <v>1474.2999999999997</v>
      </c>
    </row>
    <row r="135" spans="1:7">
      <c r="A135" s="38" t="s">
        <v>492</v>
      </c>
      <c r="B135">
        <f t="shared" ref="B135:G135" si="10">SUM(B119:B134)</f>
        <v>2050.4</v>
      </c>
      <c r="C135">
        <f t="shared" si="10"/>
        <v>1961.0000000000002</v>
      </c>
      <c r="D135">
        <f t="shared" si="10"/>
        <v>2386</v>
      </c>
      <c r="E135">
        <f t="shared" si="10"/>
        <v>4773.3</v>
      </c>
      <c r="F135">
        <f t="shared" si="10"/>
        <v>1789.7999999999997</v>
      </c>
      <c r="G135">
        <f t="shared" si="10"/>
        <v>12960.5</v>
      </c>
    </row>
  </sheetData>
  <mergeCells count="2">
    <mergeCell ref="I3:K3"/>
    <mergeCell ref="A116:C116"/>
  </mergeCells>
  <pageMargins left="0.7" right="0.7" top="0.75" bottom="0.75" header="0.3" footer="0.3"/>
  <pageSetup paperSize="9" orientation="portrait"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FDB2-BD23-419F-B503-25741768E838}">
  <dimension ref="AF12"/>
  <sheetViews>
    <sheetView tabSelected="1" zoomScale="57" zoomScaleNormal="57" workbookViewId="0">
      <selection activeCell="AG22" sqref="AG22"/>
    </sheetView>
  </sheetViews>
  <sheetFormatPr defaultRowHeight="14.5"/>
  <sheetData>
    <row r="12" spans="32:32">
      <c r="AF12" s="36" t="s">
        <v>691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 (2)</vt:lpstr>
      <vt:lpstr>Products (2)</vt:lpstr>
      <vt:lpstr>Customers (2)</vt:lpstr>
      <vt:lpstr>Products</vt:lpstr>
      <vt:lpstr>Customers</vt:lpstr>
      <vt:lpstr>Orders</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Dorcas Ajibola</dc:creator>
  <cp:lastModifiedBy>Marvellous Umeilechukwu</cp:lastModifiedBy>
  <dcterms:created xsi:type="dcterms:W3CDTF">2026-07-24T10:31:31Z</dcterms:created>
  <dcterms:modified xsi:type="dcterms:W3CDTF">2026-09-04T12:03:46Z</dcterms:modified>
</cp:coreProperties>
</file>